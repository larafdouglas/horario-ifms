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istração" sheetId="1" r:id="rId5"/>
    <sheet state="visible" name="Arquitetura" sheetId="2" r:id="rId6"/>
    <sheet state="visible" name="Arte" sheetId="3" r:id="rId7"/>
    <sheet state="visible" name="Biologia" sheetId="4" r:id="rId8"/>
    <sheet state="visible" name="Ed. Física" sheetId="5" r:id="rId9"/>
    <sheet state="visible" name="Edificações" sheetId="6" r:id="rId10"/>
    <sheet state="visible" name="Filosofia" sheetId="7" r:id="rId11"/>
    <sheet state="visible" name="Física" sheetId="8" r:id="rId12"/>
    <sheet state="visible" name="Geografia" sheetId="9" r:id="rId13"/>
    <sheet state="visible" name="História" sheetId="10" r:id="rId14"/>
    <sheet state="visible" name="Informática" sheetId="11" r:id="rId15"/>
    <sheet state="visible" name="Matemática" sheetId="12" r:id="rId16"/>
    <sheet state="visible" name="Pedagogia" sheetId="13" r:id="rId17"/>
    <sheet state="visible" name="PortuguêsL.E.M." sheetId="14" r:id="rId18"/>
    <sheet state="visible" name="Química" sheetId="15" r:id="rId19"/>
    <sheet state="visible" name="Sociologia" sheetId="16" r:id="rId20"/>
  </sheets>
  <definedNames>
    <definedName hidden="1" localSheetId="0" name="_xlnm._FilterDatabase">'Administração'!$A$1:$V$41</definedName>
    <definedName hidden="1" localSheetId="1" name="_xlnm._FilterDatabase">Arquitetura!$A$1:$W$36</definedName>
    <definedName hidden="1" localSheetId="2" name="_xlnm._FilterDatabase">Arte!$A$1:$V$6</definedName>
    <definedName hidden="1" localSheetId="3" name="_xlnm._FilterDatabase">Biologia!$A$1:$V$14</definedName>
    <definedName hidden="1" localSheetId="4" name="_xlnm._FilterDatabase">'Ed. Física'!$A$1:$V$7</definedName>
    <definedName hidden="1" localSheetId="5" name="_xlnm._FilterDatabase">'Edificações'!$A$1:$W$31</definedName>
    <definedName hidden="1" localSheetId="6" name="_xlnm._FilterDatabase">Filosofia!$A$1:$V$7</definedName>
    <definedName hidden="1" localSheetId="7" name="_xlnm._FilterDatabase">'Física'!$A$1:$V$9</definedName>
    <definedName hidden="1" localSheetId="8" name="_xlnm._FilterDatabase">Geografia!$A$1:$V$8</definedName>
    <definedName hidden="1" localSheetId="9" name="_xlnm._FilterDatabase">'História'!$A$1:$V$9</definedName>
    <definedName hidden="1" localSheetId="10" name="_xlnm._FilterDatabase">'Informática'!$A$1:$V$48</definedName>
    <definedName hidden="1" localSheetId="11" name="_xlnm._FilterDatabase">'Matemática'!$A$1:$V$18</definedName>
    <definedName hidden="1" localSheetId="12" name="_xlnm._FilterDatabase">Pedagogia!$A$1:$M$866</definedName>
    <definedName hidden="1" localSheetId="13" name="_xlnm._FilterDatabase">'PortuguêsL.E.M.'!$A$1:$M$886</definedName>
    <definedName hidden="1" localSheetId="14" name="_xlnm._FilterDatabase">'Química'!$A$1:$M$919</definedName>
    <definedName hidden="1" localSheetId="15" name="_xlnm._FilterDatabase">Sociologia!$A$1:$V$8</definedName>
    <definedName hidden="1" localSheetId="1" name="Z_1F3284C1_1720_4A5A_9858_18A0C2CFEDB8_.wvu.FilterData">Arquitetura!$A$1:$I$924</definedName>
    <definedName hidden="1" localSheetId="5" name="Z_1F3284C1_1720_4A5A_9858_18A0C2CFEDB8_.wvu.FilterData">'Edificações'!$A$1:$J$893</definedName>
    <definedName hidden="1" localSheetId="1" name="Z_4C231062_5D4D_4DE6_B9D4_2D8A0C5A4DC8_.wvu.FilterData">Arquitetura!$A$1:$I$924</definedName>
    <definedName hidden="1" localSheetId="5" name="Z_4C231062_5D4D_4DE6_B9D4_2D8A0C5A4DC8_.wvu.FilterData">'Edificações'!$A$1:$J$893</definedName>
  </definedNames>
  <calcPr/>
  <customWorkbookViews>
    <customWorkbookView activeSheetId="0" maximized="1" windowHeight="0" windowWidth="0" guid="{1F3284C1-1720-4A5A-9858-18A0C2CFEDB8}" name="Filtro 1"/>
    <customWorkbookView activeSheetId="0" maximized="1" windowHeight="0" windowWidth="0" guid="{4C231062-5D4D-4DE6-B9D4-2D8A0C5A4DC8}" name="Filtro 2"/>
  </customWorkbookViews>
</workbook>
</file>

<file path=xl/sharedStrings.xml><?xml version="1.0" encoding="utf-8"?>
<sst xmlns="http://schemas.openxmlformats.org/spreadsheetml/2006/main" count="1850" uniqueCount="443">
  <si>
    <t>Curso</t>
  </si>
  <si>
    <t>Turma</t>
  </si>
  <si>
    <t>Unidade Curricular</t>
  </si>
  <si>
    <t>CH Semanal (h/a)</t>
  </si>
  <si>
    <t>Professor(a)</t>
  </si>
  <si>
    <t>Área Sugerida</t>
  </si>
  <si>
    <t>Período no PPC</t>
  </si>
  <si>
    <t>Observações da Coordenação</t>
  </si>
  <si>
    <t>Observações do(a) Professor(a)</t>
  </si>
  <si>
    <t>Cadastro</t>
  </si>
  <si>
    <t>Responsável</t>
  </si>
  <si>
    <t>Arquitetura e Urbanismo</t>
  </si>
  <si>
    <t>Noções de Matemática Financeira</t>
  </si>
  <si>
    <t>Valéria</t>
  </si>
  <si>
    <t>Administração</t>
  </si>
  <si>
    <t xml:space="preserve"> (disciplina não oferecida no tempo certo)não chocar com madeira e aço</t>
  </si>
  <si>
    <t>Ana</t>
  </si>
  <si>
    <t>Licenciatura em Computação</t>
  </si>
  <si>
    <t>Empreendedorismo e Inovação na Educação</t>
  </si>
  <si>
    <t>PSS/Adm</t>
  </si>
  <si>
    <t>Não chocar Prática de Ensino III / 2 presenciais em 17 semanas  + 26 EAD</t>
  </si>
  <si>
    <t>PROEJA - Edificações</t>
  </si>
  <si>
    <t>Noções de administração</t>
  </si>
  <si>
    <t>1TE + 1TS</t>
  </si>
  <si>
    <t>Técnico Integrado em Edificações</t>
  </si>
  <si>
    <t>DP</t>
  </si>
  <si>
    <t>Empreendedorismo</t>
  </si>
  <si>
    <t>Estevão</t>
  </si>
  <si>
    <t>Tec. Subs. Administração</t>
  </si>
  <si>
    <t>4026B</t>
  </si>
  <si>
    <t>Empreendedorismo e Inovação</t>
  </si>
  <si>
    <t>2 (módulo 4)</t>
  </si>
  <si>
    <t>Sábado matutino</t>
  </si>
  <si>
    <t>Introdução à legislação para empresas</t>
  </si>
  <si>
    <t>Introdução ao Marketing</t>
  </si>
  <si>
    <t>Gestão da Produção e Logística</t>
  </si>
  <si>
    <t>2 (módulo 5)</t>
  </si>
  <si>
    <t>Introdução à Contabilidade</t>
  </si>
  <si>
    <t>Marketing Digital e Mídias Sociais</t>
  </si>
  <si>
    <t>tec. Subs. Administração</t>
  </si>
  <si>
    <t>Gestão Ágil e de Projetos</t>
  </si>
  <si>
    <t>2 (módulo 6)</t>
  </si>
  <si>
    <t>Gestão da Qualidade e Serviços</t>
  </si>
  <si>
    <t>Métodos Financeiros Aplicados à Administração</t>
  </si>
  <si>
    <t>Tecnico subs. em Logística</t>
  </si>
  <si>
    <t>4126B</t>
  </si>
  <si>
    <t xml:space="preserve">quinta-feira noturno </t>
  </si>
  <si>
    <t>Espanhol Instrumental</t>
  </si>
  <si>
    <t>Gestão de Transportes (Frota e Modais) e Distribuição</t>
  </si>
  <si>
    <t>Gestão da Qualidade</t>
  </si>
  <si>
    <t>Planejamento Empresarial e Projetos Logísticos</t>
  </si>
  <si>
    <t>Sistemas de Informação Logística</t>
  </si>
  <si>
    <t>Gestão da Cadeia de Suprimentos</t>
  </si>
  <si>
    <t>Logística Internacional e Aduaneira</t>
  </si>
  <si>
    <t>Logística Reversa e Sustentabilidade</t>
  </si>
  <si>
    <t>4126A</t>
  </si>
  <si>
    <t xml:space="preserve">segunda noturno </t>
  </si>
  <si>
    <t>4026A</t>
  </si>
  <si>
    <t>terça-feira Noturno</t>
  </si>
  <si>
    <t>Materiais de construção 1</t>
  </si>
  <si>
    <t>Alisson</t>
  </si>
  <si>
    <t>Arquitetura</t>
  </si>
  <si>
    <t>2TE + 2TS - Não chocar com Desenho da construção civil II, Tecnologia da construção II e Tecnologia da construção I</t>
  </si>
  <si>
    <t>Douglas</t>
  </si>
  <si>
    <t>Optativa - Tópicos Especiais - Orientação</t>
  </si>
  <si>
    <t>Estudante -Gabriella Loureiro de Castro</t>
  </si>
  <si>
    <t>Sem sala de aula. Sugestão de uso Espaço Sala B02 (agendada), aquário ou sala de projeto (quando não usada)</t>
  </si>
  <si>
    <t>Projeto Integrado de Arquitetura, Urbanismo e Paisagismo</t>
  </si>
  <si>
    <t>Sala de ateliê 3h- lab informática 3h</t>
  </si>
  <si>
    <t xml:space="preserve">Sala de ateliê 3h (aulas no atelie e depois aulas no lab) /Lab informática 4h </t>
  </si>
  <si>
    <t>História da Arte, da Arquitetura e da Cidade II</t>
  </si>
  <si>
    <t>Sala de aula comum, com datashow</t>
  </si>
  <si>
    <t>colocar as aulas em sequência. Não dividir.</t>
  </si>
  <si>
    <t>Cibele</t>
  </si>
  <si>
    <t>Estudante -  Anacarolina Dourado Malagoli e Lorena Pinheiro da Silva</t>
  </si>
  <si>
    <t>1223 e 1222</t>
  </si>
  <si>
    <t>Projeto de Interiores / Projeto V</t>
  </si>
  <si>
    <t>Laboratório de render  7 semestre  e 9 semestre juntos / Oferecer vespertino com a turma 1223 então 7 semestre</t>
  </si>
  <si>
    <t>3 e 3 aulas em cada dia. Não chocar com Estruturas de madeir,a aço e concreto do 7 semestre</t>
  </si>
  <si>
    <t>Urbanismo I</t>
  </si>
  <si>
    <t>Sala com data show</t>
  </si>
  <si>
    <t>2 e 2 aulas em cada dia</t>
  </si>
  <si>
    <t>Optativa</t>
  </si>
  <si>
    <t>Tópicos em Arte Contemporânea</t>
  </si>
  <si>
    <t>3 aulas em um dia</t>
  </si>
  <si>
    <t>Projeto Urbano II</t>
  </si>
  <si>
    <t>Daniel</t>
  </si>
  <si>
    <t>laboratório de Informática (prioritário) - 3 / Ateliê (se for necessário dividir em dois dias. - 2.</t>
  </si>
  <si>
    <t>Projeto Urbano I</t>
  </si>
  <si>
    <t>Projeto Arquitetônico II / Projeto 2</t>
  </si>
  <si>
    <t>Lab informática 4h / Sala de ateliê 3h</t>
  </si>
  <si>
    <t>Software de desenho</t>
  </si>
  <si>
    <t>Felipo</t>
  </si>
  <si>
    <t>2TE + 1TS</t>
  </si>
  <si>
    <t>Laboratorio de informatica</t>
  </si>
  <si>
    <t>Atividades de Extensão III</t>
  </si>
  <si>
    <t>3 aulas em lab de informática e aulas pode ser sala normal</t>
  </si>
  <si>
    <t>Estudante - ARTHUR NUNES ESTEVO</t>
  </si>
  <si>
    <t>Desenho Universal</t>
  </si>
  <si>
    <t>Sala A3</t>
  </si>
  <si>
    <t>Infraestrutura e Sistemas Urbanos</t>
  </si>
  <si>
    <t>Arquitetura, Cidade e Cultura na América Latina</t>
  </si>
  <si>
    <t xml:space="preserve">Guilherme </t>
  </si>
  <si>
    <t>Trabalho de Conclusão de Curso</t>
  </si>
  <si>
    <t>sem sala</t>
  </si>
  <si>
    <t>Janine</t>
  </si>
  <si>
    <t>Estudante - Echilley Moraes de Oliveira e Natália Arruda Girotto</t>
  </si>
  <si>
    <t>Projeto Arquitetônico IV / Projeto 4</t>
  </si>
  <si>
    <t>laboratório de Informática- UC PPC 2017</t>
  </si>
  <si>
    <t>laboratório de Informática (prioritário) - 4 / Ateliê (se for necessário dividir em dois dias. - 3.</t>
  </si>
  <si>
    <t>Projeto Integrador 1</t>
  </si>
  <si>
    <t xml:space="preserve">PPC 2025. 1 EAD. </t>
  </si>
  <si>
    <t>Laboratório de informática</t>
  </si>
  <si>
    <t xml:space="preserve">Introdução ao trabalho de Conclusão de Curso </t>
  </si>
  <si>
    <t>DP - Luzia</t>
  </si>
  <si>
    <t>Projeto integrador</t>
  </si>
  <si>
    <t>Marta</t>
  </si>
  <si>
    <t>1TE + 1TS - Não chocar com inspeção e manutenção predial e instalações hidrossanitárias</t>
  </si>
  <si>
    <t>Estudante - Thalita Beline e Indrid da Silva Lima</t>
  </si>
  <si>
    <t>Metodologia Científica</t>
  </si>
  <si>
    <t>Laboratório - Sala - SA2</t>
  </si>
  <si>
    <t>Paisagismo</t>
  </si>
  <si>
    <t>Prática Profissional: Legislação, Ética e Exercício</t>
  </si>
  <si>
    <t>Conforto Ambiental II</t>
  </si>
  <si>
    <t>Introdução ao desenho técnico na construção civil</t>
  </si>
  <si>
    <t>Monica</t>
  </si>
  <si>
    <t>2TE + 2TS</t>
  </si>
  <si>
    <t>Ateliê - Sala de Pranchetas</t>
  </si>
  <si>
    <t>Plástica e Expressão Gráfica II</t>
  </si>
  <si>
    <t>Sala de ateliê-pranchetas</t>
  </si>
  <si>
    <t>Mônica</t>
  </si>
  <si>
    <t>Estudante -  Geovana Marciano</t>
  </si>
  <si>
    <t>Projeto Arquitetônico</t>
  </si>
  <si>
    <t xml:space="preserve">Monica </t>
  </si>
  <si>
    <t>Desenho da construção civil 2</t>
  </si>
  <si>
    <t>Tiago</t>
  </si>
  <si>
    <t>2TE + 2TS - Não chocar com Desenho da construção civil I, Filosofia, Gestão ambiental/Construções sustentáveis, Instalações hidrossanitárias, Tecnologia da construção I, Materiais de construção I e Tecnologia da construção II</t>
  </si>
  <si>
    <t xml:space="preserve">labb3. início da semana </t>
  </si>
  <si>
    <t>DP - Daira</t>
  </si>
  <si>
    <t>Desenho da construção civil I</t>
  </si>
  <si>
    <t>3TE + 3TS - Não chocar com Filosofia e Desenho da construção civil II</t>
  </si>
  <si>
    <t>Lab B3</t>
  </si>
  <si>
    <t>Informática Aplicada à Arquitetura e ao Urbanismo I</t>
  </si>
  <si>
    <t>LabB3</t>
  </si>
  <si>
    <t xml:space="preserve">as 5 aulas no mesmo dia </t>
  </si>
  <si>
    <t>CH TOTAL</t>
  </si>
  <si>
    <t>CH</t>
  </si>
  <si>
    <t>ch/prof</t>
  </si>
  <si>
    <t>Guilherme</t>
  </si>
  <si>
    <t>2226 e 2223</t>
  </si>
  <si>
    <t>*** Educação, Cultura e Diversidade</t>
  </si>
  <si>
    <t>Rafaela</t>
  </si>
  <si>
    <t>Arte</t>
  </si>
  <si>
    <t>Turmas reunidas / 100% EAD</t>
  </si>
  <si>
    <t xml:space="preserve">Como assim 100% EAD? O curso é presencial. Qual a justificativa? Vou precisar de horário extra de planejamento para preparar material EAD. </t>
  </si>
  <si>
    <t>ANa</t>
  </si>
  <si>
    <t>Técnico Integrado em Informática</t>
  </si>
  <si>
    <t>Arte 1</t>
  </si>
  <si>
    <t xml:space="preserve">Sala de aula com mesas, de preferência uma sala que comporte a quantidade de alunos e seja possível transitar. </t>
  </si>
  <si>
    <t>Arte 2</t>
  </si>
  <si>
    <t>PPC 2025.</t>
  </si>
  <si>
    <t>Criação Artística Digital</t>
  </si>
  <si>
    <t>2 presenciais em 17 semanas  + 26 EAD</t>
  </si>
  <si>
    <t>Laboratório que comporte a quantidade de estudantes, de forma que garanta um computador por aluno. Considerando o novo formato da disciplina também irei precisar de horário extra para elaborar atividades EAD para esta unidade curricular.</t>
  </si>
  <si>
    <t>Biologia 3</t>
  </si>
  <si>
    <t>Biologia</t>
  </si>
  <si>
    <t>Biologia 4</t>
  </si>
  <si>
    <t>Biologia 2</t>
  </si>
  <si>
    <t>Proejas Reunidos / Cadastrar em Edif</t>
  </si>
  <si>
    <t>Biologia 1</t>
  </si>
  <si>
    <t>Informática para Internet (PROEJA)</t>
  </si>
  <si>
    <t>5º</t>
  </si>
  <si>
    <t>Alocar nos primeiros horários (18h30 às 20h45)</t>
  </si>
  <si>
    <t>1026 e 1025</t>
  </si>
  <si>
    <r>
      <rPr>
        <rFont val="Comfortaa"/>
        <color theme="1"/>
        <sz val="9.0"/>
      </rPr>
      <t xml:space="preserve">PPC 2025. Unir com o 4o período. Sala: </t>
    </r>
    <r>
      <rPr>
        <rFont val="Comfortaa"/>
        <b/>
        <color theme="1"/>
        <sz val="9.0"/>
      </rPr>
      <t>anfiteatro</t>
    </r>
    <r>
      <rPr>
        <rFont val="Comfortaa"/>
        <color theme="1"/>
        <sz val="9.0"/>
      </rPr>
      <t>.</t>
    </r>
  </si>
  <si>
    <t>Educação Física 4</t>
  </si>
  <si>
    <t>Vinícius</t>
  </si>
  <si>
    <t>Ed. Física</t>
  </si>
  <si>
    <t>Educação Física 2</t>
  </si>
  <si>
    <t>Educação Física</t>
  </si>
  <si>
    <t>Educação Física 5</t>
  </si>
  <si>
    <t>*** Educação Profissional e Educação de Jovens e Adultos</t>
  </si>
  <si>
    <t>2 presenciais + 6 EAD</t>
  </si>
  <si>
    <t>EAD/Tempo Social</t>
  </si>
  <si>
    <t>Mecânica dos Solos</t>
  </si>
  <si>
    <t>Claudeir</t>
  </si>
  <si>
    <t>Edificações</t>
  </si>
  <si>
    <t>1 EAD.</t>
  </si>
  <si>
    <t>Tecnologia das Construções 2</t>
  </si>
  <si>
    <t>1 EAD</t>
  </si>
  <si>
    <t>3 tempos seguidos</t>
  </si>
  <si>
    <t>DP - Jacyellen e Cristian</t>
  </si>
  <si>
    <t>Tecnologia da Construção I</t>
  </si>
  <si>
    <t>2TE + 2TS - Não chocar com Desenho da construção civil II, Gestão ambiental/Construções sustentáveis, Instalações hidrossanitárias, Materiais de construção I e Tecnologia da construção II</t>
  </si>
  <si>
    <t>Topografia</t>
  </si>
  <si>
    <t>PPC 2025. 1 EAD.</t>
  </si>
  <si>
    <t>Estruturas de Aço</t>
  </si>
  <si>
    <t>Sistemas Estruturais I</t>
  </si>
  <si>
    <t>DP - Luzia e Jacyellen</t>
  </si>
  <si>
    <t>Instalações hidrossanitárias</t>
  </si>
  <si>
    <t>2TE + 2TS - Não chocar com Inspeção e manutenção predial, Projeto integrador, Desenho da construção civil II, Gestão ambiental/Construções sustentáveis e Tecnologia da construção I</t>
  </si>
  <si>
    <t>Fundações e obras de Contenção</t>
  </si>
  <si>
    <t>Fagner</t>
  </si>
  <si>
    <t>2 EAD.</t>
  </si>
  <si>
    <t>Orçamento de projetos e obras</t>
  </si>
  <si>
    <t>Estruturas de Concreto</t>
  </si>
  <si>
    <t>Instalações Elétricas</t>
  </si>
  <si>
    <t>Orçamento e Planejamento de Obras</t>
  </si>
  <si>
    <t>Tecnologia da Construção 2</t>
  </si>
  <si>
    <t>Marco</t>
  </si>
  <si>
    <t>2TE + 2TS - Não chocar com Desenho da construção civil II, Materiais de construção I e Tecnologia da construção I</t>
  </si>
  <si>
    <t>Avaliações e perícias</t>
  </si>
  <si>
    <t>Tecnologia da Construção II</t>
  </si>
  <si>
    <t>Materiais de Construção</t>
  </si>
  <si>
    <t xml:space="preserve">Laboratório de infraestrutura </t>
  </si>
  <si>
    <t>Estruturas de Concreto Armado, Aço e Madeira</t>
  </si>
  <si>
    <t>Matias</t>
  </si>
  <si>
    <t>Resistência dos materiais</t>
  </si>
  <si>
    <t>Estruturas de Madeira</t>
  </si>
  <si>
    <t>Não coincidir com Estrutura de aço e de concreto</t>
  </si>
  <si>
    <t>Sistemas Estruturais II</t>
  </si>
  <si>
    <t>Não coincidir com sistemas estruturais 1</t>
  </si>
  <si>
    <t>Mecânica dos Solos, Contenções e Fundações</t>
  </si>
  <si>
    <t xml:space="preserve">Matias </t>
  </si>
  <si>
    <t>Projeto Integrador 3</t>
  </si>
  <si>
    <t>Rodrigo</t>
  </si>
  <si>
    <t>Projeto Integrador 2</t>
  </si>
  <si>
    <t>Mecânica dos solos</t>
  </si>
  <si>
    <t>Higiene e segurança do trabalho</t>
  </si>
  <si>
    <t>DP - Jacyellen</t>
  </si>
  <si>
    <t>Gestão ambiental / Construções sustentáveis</t>
  </si>
  <si>
    <t>1TE + 1TS - Não chocar com Desenho da construção civil II, Instalações hidrossanitárias e Tecnologia da construção I</t>
  </si>
  <si>
    <t>Inspeção e manutenção predial</t>
  </si>
  <si>
    <t>PPC 2016 (6º)</t>
  </si>
  <si>
    <t>Não chocar com instalações hidrossanitárias e Projeto integrador / Apenas uma estudante (luzia)</t>
  </si>
  <si>
    <t>Construções Sustentáveis</t>
  </si>
  <si>
    <t xml:space="preserve">Rodrigo </t>
  </si>
  <si>
    <t>MÉDIA</t>
  </si>
  <si>
    <t>Média s/ Adelson</t>
  </si>
  <si>
    <t>PROFESSORES</t>
  </si>
  <si>
    <t>Média s/ Adelson s/ Marco</t>
  </si>
  <si>
    <t>Adelson</t>
  </si>
  <si>
    <t>Faltam</t>
  </si>
  <si>
    <t>Filosofia 4</t>
  </si>
  <si>
    <t>Ricardo</t>
  </si>
  <si>
    <t>Filosofia</t>
  </si>
  <si>
    <t>Filosofia 2</t>
  </si>
  <si>
    <t>2TE + 2TS - Não chocar com Desenho da construção civil I e Desenho da construção civil II / Apenas uma estudante (dayra)</t>
  </si>
  <si>
    <t>Física 3</t>
  </si>
  <si>
    <t>Antonio</t>
  </si>
  <si>
    <t>Física</t>
  </si>
  <si>
    <t>Nilson</t>
  </si>
  <si>
    <t>3TE + 3TS</t>
  </si>
  <si>
    <t>Física 6</t>
  </si>
  <si>
    <t>Física 2</t>
  </si>
  <si>
    <t>Física 4</t>
  </si>
  <si>
    <t>Geografia 4</t>
  </si>
  <si>
    <t>Danilo</t>
  </si>
  <si>
    <t>Geografia</t>
  </si>
  <si>
    <t>Geografia 2</t>
  </si>
  <si>
    <t>Joyce</t>
  </si>
  <si>
    <t>Estudos Socioambientais e Sustentabilidade I</t>
  </si>
  <si>
    <t>Geografia 3</t>
  </si>
  <si>
    <t>Geografia 1</t>
  </si>
  <si>
    <t>História 4</t>
  </si>
  <si>
    <t>História</t>
  </si>
  <si>
    <t>Leandro</t>
  </si>
  <si>
    <t>História 2</t>
  </si>
  <si>
    <t>História 1</t>
  </si>
  <si>
    <t>Proejas Reunidos / Cadastrar em Info</t>
  </si>
  <si>
    <t>2326 e 1126</t>
  </si>
  <si>
    <t>1º</t>
  </si>
  <si>
    <t>2h/a + 2TS - Alocar as aulas nos primeiros horários (18h30 às 20h45)</t>
  </si>
  <si>
    <t>Orientação da Prática Profissional II</t>
  </si>
  <si>
    <t>Alan</t>
  </si>
  <si>
    <t>Informática (qualquer)</t>
  </si>
  <si>
    <t>Engenharia de Software</t>
  </si>
  <si>
    <t>Informática/Web</t>
  </si>
  <si>
    <t>3 presenciais em 17 semanas + 29 EAD</t>
  </si>
  <si>
    <t>Aulas 2+2</t>
  </si>
  <si>
    <t>Metodologias da Educação em Computação</t>
  </si>
  <si>
    <t>Prática de Ensino III</t>
  </si>
  <si>
    <t>PPC ANTIGO / 2 sala + 5 vespertino / Não chocar Adminstração de Banco de Dados / Produção de Jogos Educativos / Gerência de Projetos em Tecnologia da Informação</t>
  </si>
  <si>
    <t>Gerência de Projetos em Tecnologia da Informação</t>
  </si>
  <si>
    <t>Informática/Redes</t>
  </si>
  <si>
    <t>PPC ANTIGO / 2 sala + 2 lab / Não chocar Prática de Ensino III</t>
  </si>
  <si>
    <t>Computadores, Ética e Sociedade</t>
  </si>
  <si>
    <t>Ana Cláudia</t>
  </si>
  <si>
    <t>1 aula presencial + 1 EAD</t>
  </si>
  <si>
    <t>Tópicos Especiais</t>
  </si>
  <si>
    <t>2 aulas presenciais + 2 EAD  - (Laboratório de Info)</t>
  </si>
  <si>
    <t>Tópicos Especiais II</t>
  </si>
  <si>
    <t>Informática Básica</t>
  </si>
  <si>
    <t>2h/a + 2TS</t>
  </si>
  <si>
    <t>Aulas no laboratório de informática</t>
  </si>
  <si>
    <t>Linguagem de Programação 1</t>
  </si>
  <si>
    <t>André</t>
  </si>
  <si>
    <t>4 aulas presenciais + 1 EAD</t>
  </si>
  <si>
    <t>2 + 2</t>
  </si>
  <si>
    <t>Padrões de Projeto</t>
  </si>
  <si>
    <t>PPC ANTIGO / 1 sala + 3 lab / Não chocar Adminstração de Banco de Dados</t>
  </si>
  <si>
    <t>1 sala + 3 lab</t>
  </si>
  <si>
    <t>Adminstração de Banco de Dados</t>
  </si>
  <si>
    <t>PPC ANTIGO / 2 sala + 2 lab / Não chocar Paradigma de Orientação a Objetos</t>
  </si>
  <si>
    <t>Frameworks</t>
  </si>
  <si>
    <t>Aurelio</t>
  </si>
  <si>
    <t>Lab - 3 aulas seguidas</t>
  </si>
  <si>
    <t>DP e 2223</t>
  </si>
  <si>
    <t>*** Estágio Supervionado 3</t>
  </si>
  <si>
    <t>2 presenciais + as demais período vespertino</t>
  </si>
  <si>
    <t>Desenvolvimento Web</t>
  </si>
  <si>
    <t>Jean</t>
  </si>
  <si>
    <t>Aulas no Laboratório de Info</t>
  </si>
  <si>
    <t>Aulas no laboratório que caibam todos os estudantes e não dividir as aulas entre intervalos, 2+2</t>
  </si>
  <si>
    <t>Projeto de Tópicos especiais de informática 1</t>
  </si>
  <si>
    <t>2 aulas no período vespertino - (Laboratório de Info)</t>
  </si>
  <si>
    <t>Aulas no laboratório que caibam todos os estudantes e não dividir as aulas entre intervalos</t>
  </si>
  <si>
    <t>Programação Front-end</t>
  </si>
  <si>
    <t>3 aulas presenciais + 1 EAD  - (Laboratório de Info)</t>
  </si>
  <si>
    <t>Aulas em um dia só, aulas no laboratório que caibam todos os estudantes, não dividir as aulas entre intervalos</t>
  </si>
  <si>
    <t>Programação Web I</t>
  </si>
  <si>
    <t>Aulas em um dia só, aulas no laboratório, não dividir entre intervalos</t>
  </si>
  <si>
    <t>Informática aplicada</t>
  </si>
  <si>
    <t>Aulas em Laboratório, condizente com o tamanho da turma</t>
  </si>
  <si>
    <t>*** Elaboração de TCC 2</t>
  </si>
  <si>
    <t>Sistema operacionais</t>
  </si>
  <si>
    <t>Laboratório B12</t>
  </si>
  <si>
    <t>Instalação e Gerenciamento de Serviços Web</t>
  </si>
  <si>
    <t>3º</t>
  </si>
  <si>
    <t>Aulas em Laboratório de Informatica, condizente com o tamanho da turma</t>
  </si>
  <si>
    <t>Fundamentos de Segurança da Informação</t>
  </si>
  <si>
    <t>1h/a + 1TS</t>
  </si>
  <si>
    <t>Linguagem de Programação 2</t>
  </si>
  <si>
    <t>Lucas</t>
  </si>
  <si>
    <t>4 aulas presenciais + 1 EAD - (Laboratório de Info)</t>
  </si>
  <si>
    <t>Lab onde caibam todos os estudantes. 2+2</t>
  </si>
  <si>
    <t>Tópicos no Ensino de Computação na Educação Básica</t>
  </si>
  <si>
    <t>Não chocar Prática de Ensino III / 2 presenciais + 6 EAD</t>
  </si>
  <si>
    <t>Programação com Estrutuda de Dados</t>
  </si>
  <si>
    <t>3 presenciais em 17 semanas + 29 EAD / Não chocar Prática de Ensino III</t>
  </si>
  <si>
    <t>Lab, 3 seguidas</t>
  </si>
  <si>
    <t>Algoritmos e Lógica de Programação</t>
  </si>
  <si>
    <t>4 presenciais em 17 semanas + 32 EAD</t>
  </si>
  <si>
    <t>Atividades Acadêmicas de Extensão II</t>
  </si>
  <si>
    <t>Murilo</t>
  </si>
  <si>
    <t>Atividades Acadêmicas de Extensão I</t>
  </si>
  <si>
    <t xml:space="preserve">Sistema de Gerenciamento de Conteúdo </t>
  </si>
  <si>
    <t>Lab, duas aulas seguidas</t>
  </si>
  <si>
    <t>Paradigma de Orientação a Objetos</t>
  </si>
  <si>
    <t>PPC ANTIGO / 1 sala + 2 lab / Não chocar Adminstração de Banco de Dados</t>
  </si>
  <si>
    <t>Lab, duas aulas seguidas.</t>
  </si>
  <si>
    <t>Redes de Computadores</t>
  </si>
  <si>
    <t>Patrik</t>
  </si>
  <si>
    <t>Lab 2+2 (se possível Lab C9)</t>
  </si>
  <si>
    <t>Sistemas Operacionais Modernos</t>
  </si>
  <si>
    <t>Lab - 2 aulas seguidas (se possível Lab C9)</t>
  </si>
  <si>
    <t>Lógica de Programação</t>
  </si>
  <si>
    <t>2h/a + 2TS (TS iniciando as 17h)</t>
  </si>
  <si>
    <t>Sistemas Operacionais e Manutenção</t>
  </si>
  <si>
    <t>2h/a + 2TS (TS iniciando às 17h)</t>
  </si>
  <si>
    <t>Laboratório de Hardware?</t>
  </si>
  <si>
    <t>Disciplina Optativa II</t>
  </si>
  <si>
    <t>PSS/Karol</t>
  </si>
  <si>
    <t>Atividades Acadêmicas de Extensão III</t>
  </si>
  <si>
    <t>Elaboração de TCC 1</t>
  </si>
  <si>
    <t>Produção de Jogos Educativos</t>
  </si>
  <si>
    <t>PPC ANTIGO / 3 sala + 2 lab / Não chocar Prática de Ensino III / Produção de Jogos Educativos</t>
  </si>
  <si>
    <t>Educação a Distância e Ambientes Virtuais de Aprendizagem</t>
  </si>
  <si>
    <t>Roberto/Junior</t>
  </si>
  <si>
    <t>2+1 - Aulas no Laboratório</t>
  </si>
  <si>
    <t>Projeto de Banco de Dados</t>
  </si>
  <si>
    <t>4 presenciais em 17 semanas + 32 EAD / Não chocar Prática de Ensino III</t>
  </si>
  <si>
    <t>duplas 2+2 - Aulas no Laboratório</t>
  </si>
  <si>
    <t>Construção de Páginas Web II</t>
  </si>
  <si>
    <t>duplas - Aulas no Laboratório</t>
  </si>
  <si>
    <t>Informática Aplicada à Web</t>
  </si>
  <si>
    <t>Projeto de Tópicos Especiais de Informática 1</t>
  </si>
  <si>
    <t>Yujuan</t>
  </si>
  <si>
    <t>Automação e Robótica</t>
  </si>
  <si>
    <t>Projeto de Infraestrutura</t>
  </si>
  <si>
    <t>Tópicos em Computação I</t>
  </si>
  <si>
    <t xml:space="preserve">CH </t>
  </si>
  <si>
    <t xml:space="preserve"> </t>
  </si>
  <si>
    <t>Matemática 4</t>
  </si>
  <si>
    <t>Ewerton</t>
  </si>
  <si>
    <t>Matemática</t>
  </si>
  <si>
    <t>Dividir aulas em 2+1, preferencialmente com as duas aulas sem serem geminadas no 3º e 4º tempos.</t>
  </si>
  <si>
    <t>Matemática 3</t>
  </si>
  <si>
    <t>Matemática 5</t>
  </si>
  <si>
    <t>Matemática 6</t>
  </si>
  <si>
    <t>Matemática 2</t>
  </si>
  <si>
    <t>Mirélly</t>
  </si>
  <si>
    <t>Matemática 1</t>
  </si>
  <si>
    <t>Estatística</t>
  </si>
  <si>
    <t>PSS/Estevão/Ana</t>
  </si>
  <si>
    <t>Fundamentos de matemática</t>
  </si>
  <si>
    <t>Estatística Aplicada</t>
  </si>
  <si>
    <t>Fundamentos de Matemática II</t>
  </si>
  <si>
    <t>4 aulas por semana em 17 semanas + 12 aulas EaD</t>
  </si>
  <si>
    <t>Matemática aplicada</t>
  </si>
  <si>
    <t>Atividades Acadêmicas de Extensão IV</t>
  </si>
  <si>
    <t>Moacir</t>
  </si>
  <si>
    <t>Pedagogia</t>
  </si>
  <si>
    <t>Sala de aula</t>
  </si>
  <si>
    <t>Avaliação do Ensino e da Aprendizagem</t>
  </si>
  <si>
    <t>Didática I</t>
  </si>
  <si>
    <t>Psicologia da Educação</t>
  </si>
  <si>
    <t>Tendências Pedagógicas</t>
  </si>
  <si>
    <t>PPC ANTIGO / 2 sala / Não chocar Prática de Ensino III</t>
  </si>
  <si>
    <t>Língua Portuguesa e Literatura Brasileira 6</t>
  </si>
  <si>
    <t>Gustavo</t>
  </si>
  <si>
    <t>Português/L.E.M.</t>
  </si>
  <si>
    <t>Língua Portuguesa e Literatura Brasileira 4</t>
  </si>
  <si>
    <t>CENID</t>
  </si>
  <si>
    <t>Espanhol Básico I</t>
  </si>
  <si>
    <t>Joel</t>
  </si>
  <si>
    <t>Noturno</t>
  </si>
  <si>
    <t>Pode colocar terça e quinta, mas como fictício pois dias oficiais somente após o edital.</t>
  </si>
  <si>
    <t>Língua Portuguesa e Literatura Brasileira 5</t>
  </si>
  <si>
    <t>Quarta ou Quinta à noite</t>
  </si>
  <si>
    <t>Língua Portuguesa e Literatura Brasileira 2</t>
  </si>
  <si>
    <t>Ao menos 1 aula em laboratório por questões da problematização do uso de celulares.</t>
  </si>
  <si>
    <t>Escrita Científica</t>
  </si>
  <si>
    <t>Mariana</t>
  </si>
  <si>
    <t>Língua Estrangeira Moderna - Inglês</t>
  </si>
  <si>
    <t>Língua Estrangeira Moderna - Inglês 4</t>
  </si>
  <si>
    <t>Língua Estrangeira Moderna - Inglês 1</t>
  </si>
  <si>
    <t>Inglês Básico I</t>
  </si>
  <si>
    <t>Victor</t>
  </si>
  <si>
    <t>Língua Portuguesa e Literatura Brasileira 3</t>
  </si>
  <si>
    <t>Língua Portuguesa e Literatura Brasileira 1</t>
  </si>
  <si>
    <t>3h/a + 3TS - Alocar as aulas nos primeiros horários (18h30às 20h45)</t>
  </si>
  <si>
    <t>Química 4</t>
  </si>
  <si>
    <t>Química</t>
  </si>
  <si>
    <t>Química 2</t>
  </si>
  <si>
    <t>Química 1</t>
  </si>
  <si>
    <t>Química 3</t>
  </si>
  <si>
    <t>Sociologia</t>
  </si>
  <si>
    <t>Sociologia 2</t>
  </si>
  <si>
    <t>Sociologia 4</t>
  </si>
  <si>
    <t>Sociologia da Educação</t>
  </si>
  <si>
    <t>Sociologia Urbana</t>
  </si>
  <si>
    <t>Sala comum sem data show se precisar. Prof trabalha com textos e debate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</si>
</sst>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9.0"/>
      <color rgb="FFFFFFFF"/>
      <name val="Comfortaa"/>
    </font>
    <font>
      <sz val="9.0"/>
      <color theme="1"/>
      <name val="Comfortaa"/>
    </font>
    <font>
      <color theme="1"/>
      <name val="Arial"/>
    </font>
    <font>
      <b/>
      <sz val="9.0"/>
      <color theme="1"/>
      <name val="Comfortaa"/>
    </font>
    <font>
      <b/>
      <color theme="1"/>
      <name val="Calibri"/>
      <scheme val="minor"/>
    </font>
    <font>
      <sz val="9.0"/>
      <color rgb="FF333333"/>
      <name val="Comfortaa"/>
    </font>
    <font>
      <sz val="11.0"/>
      <color theme="1"/>
      <name val="Calibri"/>
    </font>
    <font>
      <sz val="9.0"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  <font>
      <sz val="9.0"/>
      <color theme="1"/>
      <name val="Arial"/>
    </font>
    <font>
      <sz val="11.0"/>
      <color theme="1"/>
      <name val="Comfortaa"/>
    </font>
  </fonts>
  <fills count="1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2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2" xfId="0" applyAlignment="1" applyFont="1" applyNumberFormat="1">
      <alignment horizontal="center" shrinkToFit="0" vertical="center" wrapText="1"/>
    </xf>
    <xf borderId="0" fillId="3" fontId="2" numFmtId="2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4" fontId="2" numFmtId="0" xfId="0" applyAlignment="1" applyFill="1" applyFont="1">
      <alignment horizontal="center" shrinkToFit="0" vertical="center" wrapText="1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vertical="center"/>
    </xf>
    <xf borderId="0" fillId="4" fontId="2" numFmtId="2" xfId="0" applyAlignment="1" applyFont="1" applyNumberFormat="1">
      <alignment horizontal="center" vertical="center"/>
    </xf>
    <xf borderId="0" fillId="4" fontId="2" numFmtId="4" xfId="0" applyAlignment="1" applyFont="1" applyNumberFormat="1">
      <alignment horizontal="center" readingOrder="0" vertical="center"/>
    </xf>
    <xf borderId="0" fillId="4" fontId="2" numFmtId="0" xfId="0" applyAlignment="1" applyFont="1">
      <alignment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5" fontId="2" numFmtId="2" xfId="0" applyAlignment="1" applyFont="1" applyNumberFormat="1">
      <alignment horizontal="center" vertical="center"/>
    </xf>
    <xf borderId="0" fillId="5" fontId="2" numFmtId="4" xfId="0" applyAlignment="1" applyFont="1" applyNumberFormat="1">
      <alignment horizontal="center" readingOrder="0" vertical="center"/>
    </xf>
    <xf borderId="0" fillId="5" fontId="2" numFmtId="0" xfId="0" applyAlignment="1" applyFont="1">
      <alignment readingOrder="0" vertical="center"/>
    </xf>
    <xf borderId="0" fillId="5" fontId="3" numFmtId="0" xfId="0" applyAlignment="1" applyFont="1">
      <alignment vertical="center"/>
    </xf>
    <xf borderId="0" fillId="6" fontId="2" numFmtId="0" xfId="0" applyAlignment="1" applyFill="1" applyFont="1">
      <alignment horizontal="center" shrinkToFit="0" vertical="center" wrapText="1"/>
    </xf>
    <xf borderId="0" fillId="6" fontId="2" numFmtId="0" xfId="0" applyAlignment="1" applyFont="1">
      <alignment shrinkToFit="0" vertical="center" wrapText="1"/>
    </xf>
    <xf borderId="0" fillId="6" fontId="2" numFmtId="2" xfId="0" applyAlignment="1" applyFont="1" applyNumberFormat="1">
      <alignment horizontal="center" shrinkToFit="0" vertical="center" wrapText="1"/>
    </xf>
    <xf borderId="0" fillId="6" fontId="2" numFmtId="2" xfId="0" applyAlignment="1" applyFont="1" applyNumberFormat="1">
      <alignment horizontal="center" readingOrder="0" shrinkToFit="0" vertical="center" wrapText="1"/>
    </xf>
    <xf borderId="0" fillId="6" fontId="2" numFmtId="0" xfId="0" applyAlignment="1" applyFont="1">
      <alignment horizontal="center" vertical="center"/>
    </xf>
    <xf borderId="0" fillId="6" fontId="3" numFmtId="0" xfId="0" applyAlignment="1" applyFont="1">
      <alignment vertical="center"/>
    </xf>
    <xf borderId="0" fillId="7" fontId="2" numFmtId="0" xfId="0" applyAlignment="1" applyFill="1" applyFont="1">
      <alignment horizontal="center" shrinkToFit="0" vertical="center" wrapText="1"/>
    </xf>
    <xf borderId="0" fillId="7" fontId="2" numFmtId="0" xfId="0" applyAlignment="1" applyFont="1">
      <alignment horizontal="center" vertical="center"/>
    </xf>
    <xf borderId="0" fillId="7" fontId="2" numFmtId="0" xfId="0" applyAlignment="1" applyFont="1">
      <alignment vertical="center"/>
    </xf>
    <xf borderId="0" fillId="7" fontId="2" numFmtId="4" xfId="0" applyAlignment="1" applyFont="1" applyNumberFormat="1">
      <alignment horizontal="center" shrinkToFit="0" vertical="center" wrapText="1"/>
    </xf>
    <xf borderId="0" fillId="7" fontId="2" numFmtId="2" xfId="0" applyAlignment="1" applyFont="1" applyNumberFormat="1">
      <alignment horizontal="center" readingOrder="0" shrinkToFit="0" vertical="center" wrapText="1"/>
    </xf>
    <xf borderId="0" fillId="8" fontId="2" numFmtId="0" xfId="0" applyAlignment="1" applyFill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0" fillId="8" fontId="2" numFmtId="0" xfId="0" applyAlignment="1" applyFont="1">
      <alignment vertical="center"/>
    </xf>
    <xf borderId="0" fillId="8" fontId="2" numFmtId="4" xfId="0" applyAlignment="1" applyFont="1" applyNumberFormat="1">
      <alignment horizontal="center" shrinkToFit="0" vertical="center" wrapText="1"/>
    </xf>
    <xf borderId="0" fillId="8" fontId="2" numFmtId="4" xfId="0" applyAlignment="1" applyFont="1" applyNumberFormat="1">
      <alignment horizontal="center" readingOrder="0" shrinkToFit="0" vertical="center" wrapText="1"/>
    </xf>
    <xf borderId="0" fillId="7" fontId="2" numFmtId="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2" fontId="1" numFmtId="1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shrinkToFit="0" vertical="center" wrapText="1"/>
    </xf>
    <xf borderId="0" fillId="5" fontId="2" numFmtId="2" xfId="0" applyAlignment="1" applyFont="1" applyNumberForma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1" xfId="0" applyAlignment="1" applyFont="1" applyNumberFormat="1">
      <alignment readingOrder="0" shrinkToFit="0" vertical="center" wrapText="1"/>
    </xf>
    <xf borderId="0" fillId="5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2" numFmtId="1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1" xfId="0" applyAlignment="1" applyFont="1" applyNumberFormat="1">
      <alignment horizontal="center" shrinkToFit="0" vertical="center" wrapText="1"/>
    </xf>
    <xf borderId="0" fillId="3" fontId="2" numFmtId="1" xfId="0" applyAlignment="1" applyFont="1" applyNumberFormat="1">
      <alignment shrinkToFit="0" vertical="center" wrapText="1"/>
    </xf>
    <xf borderId="0" fillId="3" fontId="2" numFmtId="1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2" numFmtId="2" xfId="0" applyAlignment="1" applyFont="1" applyNumberFormat="1">
      <alignment shrinkToFit="0" vertical="center" wrapText="1"/>
    </xf>
    <xf borderId="0" fillId="3" fontId="2" numFmtId="2" xfId="0" applyAlignment="1" applyFont="1" applyNumberFormat="1">
      <alignment readingOrder="0" shrinkToFit="0" vertical="center" wrapText="1"/>
    </xf>
    <xf borderId="0" fillId="3" fontId="2" numFmtId="49" xfId="0" applyAlignment="1" applyFont="1" applyNumberFormat="1">
      <alignment horizontal="center" shrinkToFit="0" vertical="center" wrapText="1"/>
    </xf>
    <xf borderId="0" fillId="3" fontId="3" numFmtId="1" xfId="0" applyAlignment="1" applyFont="1" applyNumberFormat="1">
      <alignment shrinkToFit="0" vertical="center" wrapText="1"/>
    </xf>
    <xf borderId="0" fillId="3" fontId="3" numFmtId="1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9" fontId="2" numFmtId="2" xfId="0" applyAlignment="1" applyFill="1" applyFont="1" applyNumberForma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shrinkToFit="0" vertical="center" wrapText="1"/>
    </xf>
    <xf borderId="0" fillId="5" fontId="2" numFmtId="1" xfId="0" applyAlignment="1" applyFont="1" applyNumberFormat="1">
      <alignment horizontal="center" shrinkToFit="0" vertical="center" wrapText="1"/>
    </xf>
    <xf borderId="0" fillId="5" fontId="2" numFmtId="1" xfId="0" applyAlignment="1" applyFont="1" applyNumberFormat="1">
      <alignment horizontal="center" readingOrder="0" shrinkToFit="0" vertical="center" wrapText="1"/>
    </xf>
    <xf borderId="0" fillId="5" fontId="3" numFmtId="1" xfId="0" applyAlignment="1" applyFont="1" applyNumberFormat="1">
      <alignment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shrinkToFit="0" vertical="center" wrapText="1"/>
    </xf>
    <xf borderId="0" fillId="6" fontId="2" numFmtId="1" xfId="0" applyAlignment="1" applyFont="1" applyNumberFormat="1">
      <alignment horizontal="center" shrinkToFit="0" vertical="center" wrapText="1"/>
    </xf>
    <xf borderId="0" fillId="6" fontId="2" numFmtId="1" xfId="0" applyAlignment="1" applyFont="1" applyNumberFormat="1">
      <alignment horizontal="center" readingOrder="0" shrinkToFit="0" vertical="center" wrapText="1"/>
    </xf>
    <xf borderId="0" fillId="6" fontId="2" numFmtId="1" xfId="0" applyAlignment="1" applyFont="1" applyNumberFormat="1">
      <alignment readingOrder="0" shrinkToFit="0" vertical="center" wrapText="1"/>
    </xf>
    <xf borderId="0" fillId="5" fontId="2" numFmtId="1" xfId="0" applyAlignment="1" applyFont="1" applyNumberForma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1" xfId="0" applyAlignment="1" applyFont="1" applyNumberFormat="1">
      <alignment horizontal="right" readingOrder="0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right" readingOrder="0" shrinkToFit="0" vertical="center" wrapText="1"/>
    </xf>
    <xf borderId="2" fillId="0" fontId="4" numFmtId="1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2" numFmtId="2" xfId="0" applyAlignment="1" applyFont="1" applyNumberForma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2" fontId="1" numFmtId="4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left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10" fontId="2" numFmtId="0" xfId="0" applyAlignment="1" applyFont="1">
      <alignment horizontal="center" readingOrder="0" shrinkToFit="0" vertical="center" wrapText="1"/>
    </xf>
    <xf borderId="0" fillId="10" fontId="2" numFmtId="0" xfId="0" applyAlignment="1" applyFont="1">
      <alignment horizontal="left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6" fontId="7" numFmtId="0" xfId="0" applyAlignment="1" applyFont="1">
      <alignment shrinkToFit="0" vertical="center" wrapText="1"/>
    </xf>
    <xf borderId="0" fillId="6" fontId="3" numFmtId="0" xfId="0" applyAlignment="1" applyFont="1">
      <alignment shrinkToFit="0" vertical="center" wrapText="1"/>
    </xf>
    <xf borderId="0" fillId="5" fontId="2" numFmtId="0" xfId="0" applyAlignment="1" applyFont="1">
      <alignment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3" numFmtId="0" xfId="0" applyAlignment="1" applyFont="1">
      <alignment shrinkToFit="0" vertical="center" wrapText="1"/>
    </xf>
    <xf borderId="0" fillId="10" fontId="2" numFmtId="0" xfId="0" applyAlignment="1" applyFont="1">
      <alignment shrinkToFit="0" vertical="center" wrapText="1"/>
    </xf>
    <xf borderId="0" fillId="10" fontId="7" numFmtId="0" xfId="0" applyAlignment="1" applyFont="1">
      <alignment shrinkToFit="0" vertical="center" wrapText="1"/>
    </xf>
    <xf borderId="0" fillId="10" fontId="3" numFmtId="0" xfId="0" applyAlignment="1" applyFont="1">
      <alignment shrinkToFit="0" vertical="center" wrapText="1"/>
    </xf>
    <xf borderId="0" fillId="11" fontId="2" numFmtId="0" xfId="0" applyAlignment="1" applyFill="1" applyFont="1">
      <alignment shrinkToFit="0" vertical="center" wrapText="1"/>
    </xf>
    <xf borderId="0" fillId="11" fontId="2" numFmtId="0" xfId="0" applyAlignment="1" applyFont="1">
      <alignment horizontal="center" shrinkToFit="0" vertical="center" wrapText="1"/>
    </xf>
    <xf borderId="0" fillId="11" fontId="2" numFmtId="0" xfId="0" applyAlignment="1" applyFont="1">
      <alignment horizontal="center" readingOrder="0" shrinkToFit="0" vertical="center" wrapText="1"/>
    </xf>
    <xf borderId="0" fillId="11" fontId="3" numFmtId="0" xfId="0" applyAlignment="1" applyFont="1">
      <alignment shrinkToFit="0" vertical="center" wrapText="1"/>
    </xf>
    <xf borderId="0" fillId="4" fontId="3" numFmtId="0" xfId="0" applyAlignment="1" applyFont="1">
      <alignment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shrinkToFit="0" vertical="center" wrapText="1"/>
    </xf>
    <xf borderId="0" fillId="6" fontId="2" numFmtId="1" xfId="0" applyAlignment="1" applyFont="1" applyNumberFormat="1">
      <alignment shrinkToFit="0" vertical="center" wrapText="1"/>
    </xf>
    <xf borderId="0" fillId="6" fontId="3" numFmtId="0" xfId="0" applyAlignment="1" applyFont="1">
      <alignment readingOrder="0" shrinkToFit="0" vertical="center" wrapText="1"/>
    </xf>
    <xf borderId="0" fillId="6" fontId="3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shrinkToFit="0" vertical="center" wrapText="1"/>
    </xf>
    <xf borderId="0" fillId="5" fontId="4" numFmtId="2" xfId="0" applyAlignment="1" applyFont="1" applyNumberForma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1" xfId="0" applyAlignment="1" applyFont="1" applyNumberFormat="1">
      <alignment readingOrder="0" shrinkToFit="0" vertical="center" wrapText="1"/>
    </xf>
    <xf borderId="0" fillId="5" fontId="9" numFmtId="0" xfId="0" applyAlignment="1" applyFont="1">
      <alignment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shrinkToFit="0" vertical="center" wrapText="1"/>
    </xf>
    <xf borderId="0" fillId="6" fontId="4" numFmtId="2" xfId="0" applyAlignment="1" applyFont="1" applyNumberFormat="1">
      <alignment horizontal="center" readingOrder="0" shrinkToFit="0" vertical="center" wrapText="1"/>
    </xf>
    <xf borderId="0" fillId="6" fontId="4" numFmtId="1" xfId="0" applyAlignment="1" applyFont="1" applyNumberFormat="1">
      <alignment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3" fontId="3" numFmtId="2" xfId="0" applyAlignment="1" applyFont="1" applyNumberFormat="1">
      <alignment shrinkToFit="0" vertical="center" wrapText="1"/>
    </xf>
    <xf borderId="0" fillId="6" fontId="3" numFmtId="1" xfId="0" applyAlignment="1" applyFont="1" applyNumberFormat="1">
      <alignment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4" numFmtId="1" xfId="0" applyAlignment="1" applyFont="1" applyNumberFormat="1">
      <alignment shrinkToFit="0" vertical="center" wrapText="1"/>
    </xf>
    <xf borderId="0" fillId="0" fontId="10" numFmtId="2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4" numFmtId="2" xfId="0" applyAlignment="1" applyFont="1" applyNumberFormat="1">
      <alignment horizontal="center" shrinkToFit="0" vertical="center" wrapText="1"/>
    </xf>
    <xf borderId="0" fillId="11" fontId="2" numFmtId="1" xfId="0" applyAlignment="1" applyFont="1" applyNumberFormat="1">
      <alignment horizontal="center" readingOrder="0" shrinkToFit="0" vertical="center" wrapText="1"/>
    </xf>
    <xf borderId="0" fillId="11" fontId="2" numFmtId="1" xfId="0" applyAlignment="1" applyFont="1" applyNumberFormat="1">
      <alignment shrinkToFit="0" vertical="center" wrapText="1"/>
    </xf>
    <xf borderId="0" fillId="10" fontId="2" numFmtId="1" xfId="0" applyAlignment="1" applyFont="1" applyNumberFormat="1">
      <alignment horizontal="center" shrinkToFit="0" vertical="center" wrapText="1"/>
    </xf>
    <xf borderId="0" fillId="10" fontId="3" numFmtId="1" xfId="0" applyAlignment="1" applyFont="1" applyNumberFormat="1">
      <alignment shrinkToFit="0" vertical="center" wrapText="1"/>
    </xf>
    <xf borderId="0" fillId="11" fontId="2" numFmtId="1" xfId="0" applyAlignment="1" applyFont="1" applyNumberFormat="1">
      <alignment horizontal="center" shrinkToFit="0" vertical="center" wrapText="1"/>
    </xf>
    <xf borderId="0" fillId="0" fontId="8" numFmtId="1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" xfId="0" applyAlignment="1" applyFont="1" applyNumberForma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4" fontId="2" numFmtId="3" xfId="0" applyAlignment="1" applyFont="1" applyNumberFormat="1">
      <alignment horizontal="center" shrinkToFit="0" vertical="center" wrapText="1"/>
    </xf>
    <xf borderId="0" fillId="4" fontId="2" numFmtId="49" xfId="0" applyAlignment="1" applyFont="1" applyNumberFormat="1">
      <alignment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10" fontId="2" numFmtId="3" xfId="0" applyAlignment="1" applyFont="1" applyNumberFormat="1">
      <alignment horizontal="center" shrinkToFit="0" vertical="center" wrapText="1"/>
    </xf>
    <xf borderId="0" fillId="10" fontId="2" numFmtId="49" xfId="0" applyAlignment="1" applyFont="1" applyNumberFormat="1">
      <alignment shrinkToFit="0" vertical="center" wrapText="1"/>
    </xf>
    <xf borderId="0" fillId="11" fontId="2" numFmtId="3" xfId="0" applyAlignment="1" applyFont="1" applyNumberFormat="1">
      <alignment horizontal="center" shrinkToFit="0" vertical="center" wrapText="1"/>
    </xf>
    <xf borderId="0" fillId="11" fontId="2" numFmtId="49" xfId="0" applyAlignment="1" applyFont="1" applyNumberFormat="1">
      <alignment shrinkToFit="0" vertical="center" wrapText="1"/>
    </xf>
    <xf borderId="0" fillId="11" fontId="3" numFmtId="0" xfId="0" applyAlignment="1" applyFont="1">
      <alignment readingOrder="0" shrinkToFit="0" vertical="center" wrapText="1"/>
    </xf>
    <xf borderId="0" fillId="10" fontId="2" numFmtId="0" xfId="0" applyAlignment="1" applyFont="1">
      <alignment readingOrder="0" shrinkToFit="0" vertical="center" wrapText="1"/>
    </xf>
    <xf borderId="0" fillId="10" fontId="2" numFmtId="3" xfId="0" applyAlignment="1" applyFont="1" applyNumberFormat="1">
      <alignment horizontal="center" readingOrder="0"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11" fontId="3" numFmtId="49" xfId="0" applyAlignment="1" applyFont="1" applyNumberFormat="1">
      <alignment shrinkToFit="0" vertical="center" wrapText="1"/>
    </xf>
    <xf borderId="0" fillId="5" fontId="2" numFmtId="3" xfId="0" applyAlignment="1" applyFont="1" applyNumberFormat="1">
      <alignment horizontal="center" shrinkToFit="0" vertical="center" wrapText="1"/>
    </xf>
    <xf borderId="0" fillId="5" fontId="11" numFmtId="49" xfId="0" applyAlignment="1" applyFont="1" applyNumberForma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4" fontId="2" numFmtId="3" xfId="0" applyAlignment="1" applyFont="1" applyNumberFormat="1">
      <alignment horizontal="center" readingOrder="0" shrinkToFit="0" vertical="center" wrapText="1"/>
    </xf>
    <xf borderId="0" fillId="11" fontId="2" numFmtId="49" xfId="0" applyAlignment="1" applyFont="1" applyNumberFormat="1">
      <alignment readingOrder="0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10" fontId="3" numFmtId="0" xfId="0" applyAlignment="1" applyFont="1">
      <alignment horizontal="center" readingOrder="0" shrinkToFit="0" vertical="center" wrapText="1"/>
    </xf>
    <xf borderId="0" fillId="4" fontId="2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10" fontId="2" numFmtId="1" xfId="0" applyAlignment="1" applyFont="1" applyNumberFormat="1">
      <alignment horizontal="center" readingOrder="0" shrinkToFit="0" vertical="center" wrapText="1"/>
    </xf>
    <xf borderId="0" fillId="12" fontId="2" numFmtId="0" xfId="0" applyAlignment="1" applyFill="1" applyFont="1">
      <alignment horizontal="center" shrinkToFit="0" vertical="center" wrapText="1"/>
    </xf>
    <xf borderId="0" fillId="12" fontId="2" numFmtId="0" xfId="0" applyAlignment="1" applyFont="1">
      <alignment shrinkToFit="0" vertical="center" wrapText="1"/>
    </xf>
    <xf borderId="0" fillId="12" fontId="2" numFmtId="1" xfId="0" applyAlignment="1" applyFont="1" applyNumberFormat="1">
      <alignment horizontal="center" shrinkToFit="0" vertical="center" wrapText="1"/>
    </xf>
    <xf borderId="0" fillId="12" fontId="2" numFmtId="1" xfId="0" applyAlignment="1" applyFont="1" applyNumberFormat="1">
      <alignment horizontal="center" readingOrder="0" shrinkToFit="0" vertical="center" wrapText="1"/>
    </xf>
    <xf borderId="0" fillId="12" fontId="2" numFmtId="0" xfId="0" applyAlignment="1" applyFont="1">
      <alignment readingOrder="0" shrinkToFit="0" vertical="center" wrapText="1"/>
    </xf>
    <xf borderId="0" fillId="11" fontId="2" numFmtId="0" xfId="0" applyAlignment="1" applyFont="1">
      <alignment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4" fontId="2" numFmtId="1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1" xfId="0" applyAlignment="1" applyFont="1" applyNumberForma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1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14"/>
    <col customWidth="1" min="2" max="2" width="10.43"/>
    <col customWidth="1" min="3" max="3" width="44.86"/>
    <col customWidth="1" min="4" max="4" width="15.43"/>
    <col customWidth="1" min="5" max="5" width="14.57"/>
    <col customWidth="1" min="6" max="6" width="17.0"/>
    <col customWidth="1" min="7" max="7" width="13.86"/>
    <col customWidth="1" min="8" max="8" width="34.86"/>
    <col customWidth="1" min="9" max="9" width="31.86"/>
    <col customWidth="1" min="10" max="10" width="12.29"/>
    <col customWidth="1" min="11" max="11" width="15.14"/>
    <col customWidth="1" min="12" max="22" width="30.4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2.5" customHeight="1">
      <c r="A2" s="8" t="s">
        <v>11</v>
      </c>
      <c r="B2" s="8">
        <v>1222.0</v>
      </c>
      <c r="C2" s="9" t="s">
        <v>12</v>
      </c>
      <c r="D2" s="10">
        <v>2.0</v>
      </c>
      <c r="E2" s="11" t="s">
        <v>13</v>
      </c>
      <c r="F2" s="10" t="s">
        <v>14</v>
      </c>
      <c r="G2" s="8">
        <v>6.0</v>
      </c>
      <c r="H2" s="9" t="s">
        <v>15</v>
      </c>
      <c r="I2" s="9"/>
      <c r="J2" s="12" t="b">
        <v>0</v>
      </c>
      <c r="K2" s="13" t="s">
        <v>16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ht="22.5" customHeight="1">
      <c r="A3" s="14" t="s">
        <v>17</v>
      </c>
      <c r="B3" s="15">
        <v>2223.0</v>
      </c>
      <c r="C3" s="16" t="s">
        <v>18</v>
      </c>
      <c r="D3" s="17">
        <v>3.0</v>
      </c>
      <c r="E3" s="18" t="s">
        <v>19</v>
      </c>
      <c r="F3" s="17" t="s">
        <v>14</v>
      </c>
      <c r="G3" s="15">
        <v>8.0</v>
      </c>
      <c r="H3" s="19" t="s">
        <v>20</v>
      </c>
      <c r="I3" s="19"/>
      <c r="J3" s="12" t="b">
        <v>0</v>
      </c>
      <c r="K3" s="13" t="s">
        <v>16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ht="22.5" customHeight="1">
      <c r="A4" s="20" t="s">
        <v>21</v>
      </c>
      <c r="B4" s="21">
        <v>1126.0</v>
      </c>
      <c r="C4" s="22" t="s">
        <v>22</v>
      </c>
      <c r="D4" s="23">
        <v>2.0</v>
      </c>
      <c r="E4" s="24" t="s">
        <v>19</v>
      </c>
      <c r="F4" s="23" t="s">
        <v>14</v>
      </c>
      <c r="G4" s="21">
        <v>1.0</v>
      </c>
      <c r="H4" s="25" t="s">
        <v>23</v>
      </c>
      <c r="I4" s="26"/>
      <c r="J4" s="12" t="b">
        <v>0</v>
      </c>
      <c r="K4" s="13" t="s">
        <v>16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ht="22.5" customHeight="1">
      <c r="A5" s="27" t="s">
        <v>24</v>
      </c>
      <c r="B5" s="27" t="s">
        <v>25</v>
      </c>
      <c r="C5" s="28" t="s">
        <v>26</v>
      </c>
      <c r="D5" s="29">
        <v>2.0</v>
      </c>
      <c r="E5" s="30" t="s">
        <v>13</v>
      </c>
      <c r="F5" s="29" t="s">
        <v>14</v>
      </c>
      <c r="G5" s="31">
        <v>2.0</v>
      </c>
      <c r="H5" s="32"/>
      <c r="I5" s="32"/>
      <c r="J5" s="13" t="b">
        <v>1</v>
      </c>
      <c r="K5" s="13" t="s">
        <v>27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ht="22.5" customHeight="1">
      <c r="A6" s="33" t="s">
        <v>28</v>
      </c>
      <c r="B6" s="34" t="s">
        <v>29</v>
      </c>
      <c r="C6" s="35" t="s">
        <v>30</v>
      </c>
      <c r="D6" s="36">
        <f t="shared" ref="D6:D41" si="1">5/9</f>
        <v>0.5555555556</v>
      </c>
      <c r="E6" s="37" t="s">
        <v>13</v>
      </c>
      <c r="F6" s="36" t="s">
        <v>14</v>
      </c>
      <c r="G6" s="34" t="s">
        <v>31</v>
      </c>
      <c r="H6" s="35" t="s">
        <v>32</v>
      </c>
      <c r="I6" s="35"/>
      <c r="J6" s="13" t="b">
        <v>1</v>
      </c>
      <c r="K6" s="13" t="s">
        <v>16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ht="22.5" customHeight="1">
      <c r="A7" s="33" t="s">
        <v>28</v>
      </c>
      <c r="B7" s="34" t="s">
        <v>29</v>
      </c>
      <c r="C7" s="35" t="s">
        <v>33</v>
      </c>
      <c r="D7" s="36">
        <f t="shared" si="1"/>
        <v>0.5555555556</v>
      </c>
      <c r="E7" s="37" t="s">
        <v>13</v>
      </c>
      <c r="F7" s="36" t="s">
        <v>14</v>
      </c>
      <c r="G7" s="34" t="s">
        <v>31</v>
      </c>
      <c r="H7" s="35" t="s">
        <v>32</v>
      </c>
      <c r="I7" s="35"/>
      <c r="J7" s="13" t="b">
        <v>1</v>
      </c>
      <c r="K7" s="13" t="s">
        <v>16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ht="22.5" customHeight="1">
      <c r="A8" s="33" t="s">
        <v>28</v>
      </c>
      <c r="B8" s="34" t="s">
        <v>29</v>
      </c>
      <c r="C8" s="35" t="s">
        <v>34</v>
      </c>
      <c r="D8" s="36">
        <f t="shared" si="1"/>
        <v>0.5555555556</v>
      </c>
      <c r="E8" s="37" t="s">
        <v>13</v>
      </c>
      <c r="F8" s="36" t="s">
        <v>14</v>
      </c>
      <c r="G8" s="34" t="s">
        <v>31</v>
      </c>
      <c r="H8" s="35" t="s">
        <v>32</v>
      </c>
      <c r="I8" s="35"/>
      <c r="J8" s="13" t="b">
        <v>1</v>
      </c>
      <c r="K8" s="13" t="s">
        <v>16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ht="22.5" customHeight="1">
      <c r="A9" s="33" t="s">
        <v>28</v>
      </c>
      <c r="B9" s="34" t="s">
        <v>29</v>
      </c>
      <c r="C9" s="35" t="s">
        <v>35</v>
      </c>
      <c r="D9" s="36">
        <f t="shared" si="1"/>
        <v>0.5555555556</v>
      </c>
      <c r="E9" s="37" t="s">
        <v>13</v>
      </c>
      <c r="F9" s="36" t="s">
        <v>14</v>
      </c>
      <c r="G9" s="34" t="s">
        <v>36</v>
      </c>
      <c r="H9" s="35" t="s">
        <v>32</v>
      </c>
      <c r="I9" s="35"/>
      <c r="J9" s="13" t="b">
        <v>1</v>
      </c>
      <c r="K9" s="13" t="s">
        <v>16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ht="22.5" customHeight="1">
      <c r="A10" s="33" t="s">
        <v>28</v>
      </c>
      <c r="B10" s="34" t="s">
        <v>29</v>
      </c>
      <c r="C10" s="35" t="s">
        <v>37</v>
      </c>
      <c r="D10" s="36">
        <f t="shared" si="1"/>
        <v>0.5555555556</v>
      </c>
      <c r="E10" s="37" t="s">
        <v>13</v>
      </c>
      <c r="F10" s="36" t="s">
        <v>14</v>
      </c>
      <c r="G10" s="34" t="s">
        <v>36</v>
      </c>
      <c r="H10" s="35" t="s">
        <v>32</v>
      </c>
      <c r="I10" s="35"/>
      <c r="J10" s="13" t="b">
        <v>1</v>
      </c>
      <c r="K10" s="13" t="s">
        <v>16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ht="22.5" customHeight="1">
      <c r="A11" s="33" t="s">
        <v>28</v>
      </c>
      <c r="B11" s="34" t="s">
        <v>29</v>
      </c>
      <c r="C11" s="35" t="s">
        <v>38</v>
      </c>
      <c r="D11" s="36">
        <f t="shared" si="1"/>
        <v>0.5555555556</v>
      </c>
      <c r="E11" s="37" t="s">
        <v>13</v>
      </c>
      <c r="F11" s="36" t="s">
        <v>14</v>
      </c>
      <c r="G11" s="34" t="s">
        <v>36</v>
      </c>
      <c r="H11" s="35" t="s">
        <v>32</v>
      </c>
      <c r="I11" s="35"/>
      <c r="J11" s="13" t="b">
        <v>1</v>
      </c>
      <c r="K11" s="13" t="s">
        <v>16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ht="22.5" customHeight="1">
      <c r="A12" s="33" t="s">
        <v>39</v>
      </c>
      <c r="B12" s="34" t="s">
        <v>29</v>
      </c>
      <c r="C12" s="35" t="s">
        <v>40</v>
      </c>
      <c r="D12" s="36">
        <f t="shared" si="1"/>
        <v>0.5555555556</v>
      </c>
      <c r="E12" s="37" t="s">
        <v>13</v>
      </c>
      <c r="F12" s="36" t="s">
        <v>14</v>
      </c>
      <c r="G12" s="34" t="s">
        <v>41</v>
      </c>
      <c r="H12" s="35" t="s">
        <v>32</v>
      </c>
      <c r="I12" s="35"/>
      <c r="J12" s="13" t="b">
        <v>1</v>
      </c>
      <c r="K12" s="13" t="s">
        <v>16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ht="22.5" customHeight="1">
      <c r="A13" s="33" t="s">
        <v>39</v>
      </c>
      <c r="B13" s="34" t="s">
        <v>29</v>
      </c>
      <c r="C13" s="35" t="s">
        <v>42</v>
      </c>
      <c r="D13" s="36">
        <f t="shared" si="1"/>
        <v>0.5555555556</v>
      </c>
      <c r="E13" s="37" t="s">
        <v>13</v>
      </c>
      <c r="F13" s="36" t="s">
        <v>14</v>
      </c>
      <c r="G13" s="34" t="s">
        <v>41</v>
      </c>
      <c r="H13" s="35" t="s">
        <v>32</v>
      </c>
      <c r="I13" s="35"/>
      <c r="J13" s="13" t="b">
        <v>1</v>
      </c>
      <c r="K13" s="13" t="s">
        <v>16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ht="22.5" customHeight="1">
      <c r="A14" s="33" t="s">
        <v>39</v>
      </c>
      <c r="B14" s="34" t="s">
        <v>29</v>
      </c>
      <c r="C14" s="35" t="s">
        <v>43</v>
      </c>
      <c r="D14" s="36">
        <f t="shared" si="1"/>
        <v>0.5555555556</v>
      </c>
      <c r="E14" s="37" t="s">
        <v>13</v>
      </c>
      <c r="F14" s="36" t="s">
        <v>14</v>
      </c>
      <c r="G14" s="34" t="s">
        <v>41</v>
      </c>
      <c r="H14" s="35" t="s">
        <v>32</v>
      </c>
      <c r="I14" s="35"/>
      <c r="J14" s="13" t="b">
        <v>1</v>
      </c>
      <c r="K14" s="13" t="s">
        <v>16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ht="22.5" customHeight="1">
      <c r="A15" s="38" t="s">
        <v>44</v>
      </c>
      <c r="B15" s="39" t="s">
        <v>45</v>
      </c>
      <c r="C15" s="40" t="s">
        <v>26</v>
      </c>
      <c r="D15" s="41">
        <f t="shared" si="1"/>
        <v>0.5555555556</v>
      </c>
      <c r="E15" s="42" t="s">
        <v>19</v>
      </c>
      <c r="F15" s="41" t="s">
        <v>14</v>
      </c>
      <c r="G15" s="38" t="s">
        <v>31</v>
      </c>
      <c r="H15" s="40" t="s">
        <v>46</v>
      </c>
      <c r="I15" s="40"/>
      <c r="J15" s="13" t="b">
        <v>1</v>
      </c>
      <c r="K15" s="13" t="s">
        <v>16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ht="22.5" customHeight="1">
      <c r="A16" s="38" t="s">
        <v>44</v>
      </c>
      <c r="B16" s="39" t="s">
        <v>45</v>
      </c>
      <c r="C16" s="40" t="s">
        <v>47</v>
      </c>
      <c r="D16" s="41">
        <f t="shared" si="1"/>
        <v>0.5555555556</v>
      </c>
      <c r="E16" s="42" t="s">
        <v>19</v>
      </c>
      <c r="F16" s="41" t="s">
        <v>14</v>
      </c>
      <c r="G16" s="38" t="s">
        <v>31</v>
      </c>
      <c r="H16" s="40" t="s">
        <v>46</v>
      </c>
      <c r="I16" s="40"/>
      <c r="J16" s="13" t="b">
        <v>1</v>
      </c>
      <c r="K16" s="13" t="s">
        <v>16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ht="22.5" customHeight="1">
      <c r="A17" s="38" t="s">
        <v>44</v>
      </c>
      <c r="B17" s="39" t="s">
        <v>45</v>
      </c>
      <c r="C17" s="40" t="s">
        <v>48</v>
      </c>
      <c r="D17" s="41">
        <f t="shared" si="1"/>
        <v>0.5555555556</v>
      </c>
      <c r="E17" s="42" t="s">
        <v>19</v>
      </c>
      <c r="F17" s="41" t="s">
        <v>14</v>
      </c>
      <c r="G17" s="38" t="s">
        <v>31</v>
      </c>
      <c r="H17" s="40" t="s">
        <v>46</v>
      </c>
      <c r="I17" s="40"/>
      <c r="J17" s="13" t="b">
        <v>1</v>
      </c>
      <c r="K17" s="13" t="s">
        <v>16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ht="22.5" customHeight="1">
      <c r="A18" s="38" t="s">
        <v>44</v>
      </c>
      <c r="B18" s="39" t="s">
        <v>45</v>
      </c>
      <c r="C18" s="40" t="s">
        <v>49</v>
      </c>
      <c r="D18" s="41">
        <f t="shared" si="1"/>
        <v>0.5555555556</v>
      </c>
      <c r="E18" s="42" t="s">
        <v>19</v>
      </c>
      <c r="F18" s="41" t="s">
        <v>14</v>
      </c>
      <c r="G18" s="38" t="s">
        <v>36</v>
      </c>
      <c r="H18" s="40" t="s">
        <v>46</v>
      </c>
      <c r="I18" s="40"/>
      <c r="J18" s="13" t="b">
        <v>1</v>
      </c>
      <c r="K18" s="13" t="s">
        <v>16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ht="22.5" customHeight="1">
      <c r="A19" s="38" t="s">
        <v>44</v>
      </c>
      <c r="B19" s="39" t="s">
        <v>45</v>
      </c>
      <c r="C19" s="40" t="s">
        <v>50</v>
      </c>
      <c r="D19" s="41">
        <f t="shared" si="1"/>
        <v>0.5555555556</v>
      </c>
      <c r="E19" s="42" t="s">
        <v>19</v>
      </c>
      <c r="F19" s="41" t="s">
        <v>14</v>
      </c>
      <c r="G19" s="38" t="s">
        <v>36</v>
      </c>
      <c r="H19" s="40" t="s">
        <v>46</v>
      </c>
      <c r="I19" s="40"/>
      <c r="J19" s="13" t="b">
        <v>1</v>
      </c>
      <c r="K19" s="13" t="s">
        <v>16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ht="22.5" customHeight="1">
      <c r="A20" s="38" t="s">
        <v>44</v>
      </c>
      <c r="B20" s="39" t="s">
        <v>45</v>
      </c>
      <c r="C20" s="40" t="s">
        <v>51</v>
      </c>
      <c r="D20" s="41">
        <f t="shared" si="1"/>
        <v>0.5555555556</v>
      </c>
      <c r="E20" s="42" t="s">
        <v>19</v>
      </c>
      <c r="F20" s="41" t="s">
        <v>14</v>
      </c>
      <c r="G20" s="38" t="s">
        <v>36</v>
      </c>
      <c r="H20" s="40" t="s">
        <v>46</v>
      </c>
      <c r="I20" s="40"/>
      <c r="J20" s="13" t="b">
        <v>1</v>
      </c>
      <c r="K20" s="13" t="s">
        <v>16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ht="22.5" customHeight="1">
      <c r="A21" s="38" t="s">
        <v>44</v>
      </c>
      <c r="B21" s="39" t="s">
        <v>45</v>
      </c>
      <c r="C21" s="40" t="s">
        <v>52</v>
      </c>
      <c r="D21" s="41">
        <f t="shared" si="1"/>
        <v>0.5555555556</v>
      </c>
      <c r="E21" s="42" t="s">
        <v>19</v>
      </c>
      <c r="F21" s="41" t="s">
        <v>14</v>
      </c>
      <c r="G21" s="38" t="s">
        <v>41</v>
      </c>
      <c r="H21" s="40" t="s">
        <v>46</v>
      </c>
      <c r="I21" s="40"/>
      <c r="J21" s="13" t="b">
        <v>1</v>
      </c>
      <c r="K21" s="13" t="s">
        <v>16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ht="22.5" customHeight="1">
      <c r="A22" s="38" t="s">
        <v>44</v>
      </c>
      <c r="B22" s="39" t="s">
        <v>45</v>
      </c>
      <c r="C22" s="40" t="s">
        <v>53</v>
      </c>
      <c r="D22" s="41">
        <f t="shared" si="1"/>
        <v>0.5555555556</v>
      </c>
      <c r="E22" s="42" t="s">
        <v>19</v>
      </c>
      <c r="F22" s="41" t="s">
        <v>14</v>
      </c>
      <c r="G22" s="38" t="s">
        <v>41</v>
      </c>
      <c r="H22" s="40" t="s">
        <v>46</v>
      </c>
      <c r="I22" s="40"/>
      <c r="J22" s="13" t="b">
        <v>1</v>
      </c>
      <c r="K22" s="13" t="s">
        <v>16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ht="22.5" customHeight="1">
      <c r="A23" s="38" t="s">
        <v>44</v>
      </c>
      <c r="B23" s="39" t="s">
        <v>45</v>
      </c>
      <c r="C23" s="40" t="s">
        <v>54</v>
      </c>
      <c r="D23" s="41">
        <f t="shared" si="1"/>
        <v>0.5555555556</v>
      </c>
      <c r="E23" s="42" t="s">
        <v>19</v>
      </c>
      <c r="F23" s="41" t="s">
        <v>14</v>
      </c>
      <c r="G23" s="38" t="s">
        <v>41</v>
      </c>
      <c r="H23" s="40" t="s">
        <v>46</v>
      </c>
      <c r="I23" s="40"/>
      <c r="J23" s="13" t="b">
        <v>1</v>
      </c>
      <c r="K23" s="13" t="s">
        <v>16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ht="22.5" customHeight="1">
      <c r="A24" s="38" t="s">
        <v>44</v>
      </c>
      <c r="B24" s="39" t="s">
        <v>55</v>
      </c>
      <c r="C24" s="40" t="s">
        <v>26</v>
      </c>
      <c r="D24" s="41">
        <f t="shared" si="1"/>
        <v>0.5555555556</v>
      </c>
      <c r="E24" s="42" t="s">
        <v>19</v>
      </c>
      <c r="F24" s="41" t="s">
        <v>14</v>
      </c>
      <c r="G24" s="38" t="s">
        <v>31</v>
      </c>
      <c r="H24" s="40" t="s">
        <v>56</v>
      </c>
      <c r="I24" s="40"/>
      <c r="J24" s="13" t="b">
        <v>1</v>
      </c>
      <c r="K24" s="13" t="s">
        <v>16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22.5" customHeight="1">
      <c r="A25" s="38" t="s">
        <v>44</v>
      </c>
      <c r="B25" s="39" t="s">
        <v>55</v>
      </c>
      <c r="C25" s="40" t="s">
        <v>47</v>
      </c>
      <c r="D25" s="41">
        <f t="shared" si="1"/>
        <v>0.5555555556</v>
      </c>
      <c r="E25" s="42" t="s">
        <v>19</v>
      </c>
      <c r="F25" s="41" t="s">
        <v>14</v>
      </c>
      <c r="G25" s="38" t="s">
        <v>31</v>
      </c>
      <c r="H25" s="40" t="s">
        <v>56</v>
      </c>
      <c r="I25" s="40"/>
      <c r="J25" s="13" t="b">
        <v>1</v>
      </c>
      <c r="K25" s="13" t="s">
        <v>16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ht="22.5" customHeight="1">
      <c r="A26" s="38" t="s">
        <v>44</v>
      </c>
      <c r="B26" s="39" t="s">
        <v>55</v>
      </c>
      <c r="C26" s="40" t="s">
        <v>48</v>
      </c>
      <c r="D26" s="41">
        <f t="shared" si="1"/>
        <v>0.5555555556</v>
      </c>
      <c r="E26" s="42" t="s">
        <v>19</v>
      </c>
      <c r="F26" s="41" t="s">
        <v>14</v>
      </c>
      <c r="G26" s="38" t="s">
        <v>31</v>
      </c>
      <c r="H26" s="40" t="s">
        <v>56</v>
      </c>
      <c r="I26" s="40"/>
      <c r="J26" s="13" t="b">
        <v>1</v>
      </c>
      <c r="K26" s="13" t="s">
        <v>16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22.5" customHeight="1">
      <c r="A27" s="38" t="s">
        <v>44</v>
      </c>
      <c r="B27" s="39" t="s">
        <v>55</v>
      </c>
      <c r="C27" s="40" t="s">
        <v>49</v>
      </c>
      <c r="D27" s="41">
        <f t="shared" si="1"/>
        <v>0.5555555556</v>
      </c>
      <c r="E27" s="42" t="s">
        <v>19</v>
      </c>
      <c r="F27" s="41" t="s">
        <v>14</v>
      </c>
      <c r="G27" s="38" t="s">
        <v>36</v>
      </c>
      <c r="H27" s="40" t="s">
        <v>56</v>
      </c>
      <c r="I27" s="40"/>
      <c r="J27" s="13" t="b">
        <v>1</v>
      </c>
      <c r="K27" s="13" t="s">
        <v>16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22.5" customHeight="1">
      <c r="A28" s="38" t="s">
        <v>44</v>
      </c>
      <c r="B28" s="39" t="s">
        <v>55</v>
      </c>
      <c r="C28" s="40" t="s">
        <v>50</v>
      </c>
      <c r="D28" s="41">
        <f t="shared" si="1"/>
        <v>0.5555555556</v>
      </c>
      <c r="E28" s="42" t="s">
        <v>19</v>
      </c>
      <c r="F28" s="41" t="s">
        <v>14</v>
      </c>
      <c r="G28" s="38" t="s">
        <v>36</v>
      </c>
      <c r="H28" s="40" t="s">
        <v>56</v>
      </c>
      <c r="I28" s="40"/>
      <c r="J28" s="13" t="b">
        <v>1</v>
      </c>
      <c r="K28" s="13" t="s">
        <v>16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22.5" customHeight="1">
      <c r="A29" s="38" t="s">
        <v>44</v>
      </c>
      <c r="B29" s="39" t="s">
        <v>55</v>
      </c>
      <c r="C29" s="40" t="s">
        <v>51</v>
      </c>
      <c r="D29" s="41">
        <f t="shared" si="1"/>
        <v>0.5555555556</v>
      </c>
      <c r="E29" s="42" t="s">
        <v>19</v>
      </c>
      <c r="F29" s="41" t="s">
        <v>14</v>
      </c>
      <c r="G29" s="38" t="s">
        <v>36</v>
      </c>
      <c r="H29" s="40" t="s">
        <v>56</v>
      </c>
      <c r="I29" s="40"/>
      <c r="J29" s="13" t="b">
        <v>1</v>
      </c>
      <c r="K29" s="13" t="s">
        <v>16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22.5" customHeight="1">
      <c r="A30" s="38" t="s">
        <v>44</v>
      </c>
      <c r="B30" s="39" t="s">
        <v>55</v>
      </c>
      <c r="C30" s="40" t="s">
        <v>52</v>
      </c>
      <c r="D30" s="41">
        <f t="shared" si="1"/>
        <v>0.5555555556</v>
      </c>
      <c r="E30" s="42" t="s">
        <v>19</v>
      </c>
      <c r="F30" s="41" t="s">
        <v>14</v>
      </c>
      <c r="G30" s="38" t="s">
        <v>41</v>
      </c>
      <c r="H30" s="40" t="s">
        <v>56</v>
      </c>
      <c r="I30" s="40"/>
      <c r="J30" s="13" t="b">
        <v>1</v>
      </c>
      <c r="K30" s="13" t="s">
        <v>16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22.5" customHeight="1">
      <c r="A31" s="38" t="s">
        <v>44</v>
      </c>
      <c r="B31" s="39" t="s">
        <v>55</v>
      </c>
      <c r="C31" s="40" t="s">
        <v>53</v>
      </c>
      <c r="D31" s="41">
        <f t="shared" si="1"/>
        <v>0.5555555556</v>
      </c>
      <c r="E31" s="42" t="s">
        <v>19</v>
      </c>
      <c r="F31" s="41" t="s">
        <v>14</v>
      </c>
      <c r="G31" s="38" t="s">
        <v>41</v>
      </c>
      <c r="H31" s="40" t="s">
        <v>56</v>
      </c>
      <c r="I31" s="40"/>
      <c r="J31" s="13" t="b">
        <v>1</v>
      </c>
      <c r="K31" s="13" t="s">
        <v>16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ht="22.5" customHeight="1">
      <c r="A32" s="38" t="s">
        <v>44</v>
      </c>
      <c r="B32" s="39" t="s">
        <v>55</v>
      </c>
      <c r="C32" s="40" t="s">
        <v>54</v>
      </c>
      <c r="D32" s="41">
        <f t="shared" si="1"/>
        <v>0.5555555556</v>
      </c>
      <c r="E32" s="42" t="s">
        <v>19</v>
      </c>
      <c r="F32" s="41" t="s">
        <v>14</v>
      </c>
      <c r="G32" s="38" t="s">
        <v>41</v>
      </c>
      <c r="H32" s="40" t="s">
        <v>56</v>
      </c>
      <c r="I32" s="40"/>
      <c r="J32" s="13" t="b">
        <v>1</v>
      </c>
      <c r="K32" s="13" t="s">
        <v>16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ht="22.5" customHeight="1">
      <c r="A33" s="33" t="s">
        <v>28</v>
      </c>
      <c r="B33" s="34" t="s">
        <v>57</v>
      </c>
      <c r="C33" s="35" t="s">
        <v>30</v>
      </c>
      <c r="D33" s="36">
        <f t="shared" si="1"/>
        <v>0.5555555556</v>
      </c>
      <c r="E33" s="43" t="s">
        <v>19</v>
      </c>
      <c r="F33" s="36" t="s">
        <v>14</v>
      </c>
      <c r="G33" s="34" t="s">
        <v>31</v>
      </c>
      <c r="H33" s="35" t="s">
        <v>58</v>
      </c>
      <c r="I33" s="35"/>
      <c r="J33" s="13" t="b">
        <v>1</v>
      </c>
      <c r="K33" s="13" t="s">
        <v>16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22.5" customHeight="1">
      <c r="A34" s="33" t="s">
        <v>28</v>
      </c>
      <c r="B34" s="34" t="s">
        <v>57</v>
      </c>
      <c r="C34" s="35" t="s">
        <v>33</v>
      </c>
      <c r="D34" s="36">
        <f t="shared" si="1"/>
        <v>0.5555555556</v>
      </c>
      <c r="E34" s="43" t="s">
        <v>19</v>
      </c>
      <c r="F34" s="36" t="s">
        <v>14</v>
      </c>
      <c r="G34" s="34" t="s">
        <v>31</v>
      </c>
      <c r="H34" s="35" t="s">
        <v>58</v>
      </c>
      <c r="I34" s="35"/>
      <c r="J34" s="13" t="b">
        <v>1</v>
      </c>
      <c r="K34" s="13" t="s">
        <v>16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22.5" customHeight="1">
      <c r="A35" s="33" t="s">
        <v>28</v>
      </c>
      <c r="B35" s="34" t="s">
        <v>57</v>
      </c>
      <c r="C35" s="35" t="s">
        <v>34</v>
      </c>
      <c r="D35" s="36">
        <f t="shared" si="1"/>
        <v>0.5555555556</v>
      </c>
      <c r="E35" s="43" t="s">
        <v>19</v>
      </c>
      <c r="F35" s="36" t="s">
        <v>14</v>
      </c>
      <c r="G35" s="34" t="s">
        <v>31</v>
      </c>
      <c r="H35" s="35" t="s">
        <v>58</v>
      </c>
      <c r="I35" s="35"/>
      <c r="J35" s="13" t="b">
        <v>1</v>
      </c>
      <c r="K35" s="13" t="s">
        <v>16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22.5" customHeight="1">
      <c r="A36" s="33" t="s">
        <v>28</v>
      </c>
      <c r="B36" s="34" t="s">
        <v>57</v>
      </c>
      <c r="C36" s="35" t="s">
        <v>35</v>
      </c>
      <c r="D36" s="36">
        <f t="shared" si="1"/>
        <v>0.5555555556</v>
      </c>
      <c r="E36" s="43" t="s">
        <v>19</v>
      </c>
      <c r="F36" s="36" t="s">
        <v>14</v>
      </c>
      <c r="G36" s="34" t="s">
        <v>36</v>
      </c>
      <c r="H36" s="35" t="s">
        <v>58</v>
      </c>
      <c r="I36" s="35"/>
      <c r="J36" s="13" t="b">
        <v>1</v>
      </c>
      <c r="K36" s="13" t="s">
        <v>16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22.5" customHeight="1">
      <c r="A37" s="33" t="s">
        <v>28</v>
      </c>
      <c r="B37" s="34" t="s">
        <v>57</v>
      </c>
      <c r="C37" s="35" t="s">
        <v>37</v>
      </c>
      <c r="D37" s="36">
        <f t="shared" si="1"/>
        <v>0.5555555556</v>
      </c>
      <c r="E37" s="43" t="s">
        <v>19</v>
      </c>
      <c r="F37" s="36" t="s">
        <v>14</v>
      </c>
      <c r="G37" s="34" t="s">
        <v>36</v>
      </c>
      <c r="H37" s="35" t="s">
        <v>58</v>
      </c>
      <c r="I37" s="35"/>
      <c r="J37" s="13" t="b">
        <v>1</v>
      </c>
      <c r="K37" s="13" t="s">
        <v>16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ht="22.5" customHeight="1">
      <c r="A38" s="33" t="s">
        <v>28</v>
      </c>
      <c r="B38" s="34" t="s">
        <v>57</v>
      </c>
      <c r="C38" s="35" t="s">
        <v>38</v>
      </c>
      <c r="D38" s="36">
        <f t="shared" si="1"/>
        <v>0.5555555556</v>
      </c>
      <c r="E38" s="43" t="s">
        <v>19</v>
      </c>
      <c r="F38" s="36" t="s">
        <v>14</v>
      </c>
      <c r="G38" s="34" t="s">
        <v>36</v>
      </c>
      <c r="H38" s="35" t="s">
        <v>58</v>
      </c>
      <c r="I38" s="35"/>
      <c r="J38" s="13" t="b">
        <v>1</v>
      </c>
      <c r="K38" s="13" t="s">
        <v>16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ht="22.5" customHeight="1">
      <c r="A39" s="33" t="s">
        <v>39</v>
      </c>
      <c r="B39" s="34" t="s">
        <v>57</v>
      </c>
      <c r="C39" s="35" t="s">
        <v>40</v>
      </c>
      <c r="D39" s="36">
        <f t="shared" si="1"/>
        <v>0.5555555556</v>
      </c>
      <c r="E39" s="43" t="s">
        <v>19</v>
      </c>
      <c r="F39" s="36" t="s">
        <v>14</v>
      </c>
      <c r="G39" s="34" t="s">
        <v>41</v>
      </c>
      <c r="H39" s="35" t="s">
        <v>58</v>
      </c>
      <c r="I39" s="35"/>
      <c r="J39" s="13" t="b">
        <v>1</v>
      </c>
      <c r="K39" s="13" t="s">
        <v>16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ht="22.5" customHeight="1">
      <c r="A40" s="33" t="s">
        <v>39</v>
      </c>
      <c r="B40" s="34" t="s">
        <v>57</v>
      </c>
      <c r="C40" s="35" t="s">
        <v>42</v>
      </c>
      <c r="D40" s="36">
        <f t="shared" si="1"/>
        <v>0.5555555556</v>
      </c>
      <c r="E40" s="43" t="s">
        <v>19</v>
      </c>
      <c r="F40" s="36" t="s">
        <v>14</v>
      </c>
      <c r="G40" s="34" t="s">
        <v>41</v>
      </c>
      <c r="H40" s="35" t="s">
        <v>58</v>
      </c>
      <c r="I40" s="35"/>
      <c r="J40" s="13" t="b">
        <v>1</v>
      </c>
      <c r="K40" s="13" t="s">
        <v>16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ht="22.5" customHeight="1">
      <c r="A41" s="33" t="s">
        <v>39</v>
      </c>
      <c r="B41" s="34" t="s">
        <v>57</v>
      </c>
      <c r="C41" s="35" t="s">
        <v>43</v>
      </c>
      <c r="D41" s="36">
        <f t="shared" si="1"/>
        <v>0.5555555556</v>
      </c>
      <c r="E41" s="43" t="s">
        <v>19</v>
      </c>
      <c r="F41" s="36" t="s">
        <v>14</v>
      </c>
      <c r="G41" s="34" t="s">
        <v>41</v>
      </c>
      <c r="H41" s="35" t="s">
        <v>58</v>
      </c>
      <c r="I41" s="35"/>
      <c r="J41" s="13" t="b">
        <v>1</v>
      </c>
      <c r="K41" s="13" t="s">
        <v>16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ht="22.5" customHeight="1">
      <c r="A42" s="44"/>
      <c r="B42" s="45"/>
      <c r="C42" s="45"/>
      <c r="D42" s="46"/>
      <c r="E42" s="47"/>
      <c r="F42" s="45"/>
      <c r="G42" s="45"/>
      <c r="H42" s="48"/>
      <c r="I42" s="45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</row>
    <row r="43" ht="22.5" customHeight="1">
      <c r="A43" s="44"/>
      <c r="B43" s="45"/>
      <c r="C43" s="45"/>
      <c r="D43" s="46"/>
      <c r="E43" s="47"/>
      <c r="F43" s="45"/>
      <c r="G43" s="45"/>
      <c r="H43" s="48"/>
      <c r="I43" s="45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 ht="22.5" customHeight="1">
      <c r="A44" s="44"/>
      <c r="B44" s="45"/>
      <c r="C44" s="45"/>
      <c r="D44" s="46"/>
      <c r="E44" s="47"/>
      <c r="F44" s="45"/>
      <c r="G44" s="45"/>
      <c r="H44" s="48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 ht="22.5" customHeight="1">
      <c r="A45" s="44"/>
      <c r="B45" s="45"/>
      <c r="C45" s="45"/>
      <c r="D45" s="46"/>
      <c r="E45" s="47"/>
      <c r="F45" s="45"/>
      <c r="G45" s="45"/>
      <c r="H45" s="48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  <row r="46" ht="22.5" customHeight="1">
      <c r="A46" s="44"/>
      <c r="B46" s="45"/>
      <c r="C46" s="45"/>
      <c r="D46" s="46"/>
      <c r="E46" s="47"/>
      <c r="F46" s="45"/>
      <c r="G46" s="45"/>
      <c r="H46" s="48"/>
      <c r="I46" s="45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</row>
    <row r="47" ht="22.5" customHeight="1">
      <c r="A47" s="44"/>
      <c r="B47" s="45"/>
      <c r="C47" s="45"/>
      <c r="D47" s="46"/>
      <c r="E47" s="47"/>
      <c r="F47" s="45"/>
      <c r="G47" s="45"/>
      <c r="H47" s="48"/>
      <c r="I47" s="45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 ht="22.5" customHeight="1">
      <c r="A48" s="44"/>
      <c r="B48" s="45"/>
      <c r="C48" s="45"/>
      <c r="D48" s="46"/>
      <c r="E48" s="47"/>
      <c r="F48" s="45"/>
      <c r="G48" s="45"/>
      <c r="H48" s="48"/>
      <c r="I48" s="45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</row>
    <row r="49" ht="22.5" customHeight="1">
      <c r="A49" s="44"/>
      <c r="B49" s="45"/>
      <c r="C49" s="45"/>
      <c r="D49" s="46"/>
      <c r="E49" s="47"/>
      <c r="F49" s="45"/>
      <c r="G49" s="45"/>
      <c r="H49" s="48"/>
      <c r="I49" s="45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</row>
    <row r="50" ht="22.5" customHeight="1">
      <c r="A50" s="44"/>
      <c r="B50" s="45"/>
      <c r="C50" s="45"/>
      <c r="D50" s="46"/>
      <c r="E50" s="47"/>
      <c r="F50" s="45"/>
      <c r="G50" s="45"/>
      <c r="H50" s="48"/>
      <c r="I50" s="45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</row>
    <row r="51" ht="22.5" customHeight="1">
      <c r="A51" s="44"/>
      <c r="B51" s="45"/>
      <c r="C51" s="45"/>
      <c r="D51" s="46"/>
      <c r="E51" s="47"/>
      <c r="F51" s="45"/>
      <c r="G51" s="45"/>
      <c r="H51" s="48"/>
      <c r="I51" s="45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</row>
    <row r="52" ht="22.5" customHeight="1">
      <c r="A52" s="44"/>
      <c r="B52" s="45"/>
      <c r="C52" s="45"/>
      <c r="D52" s="46"/>
      <c r="E52" s="47"/>
      <c r="F52" s="45"/>
      <c r="G52" s="45"/>
      <c r="H52" s="48"/>
      <c r="I52" s="45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</row>
    <row r="53" ht="22.5" customHeight="1">
      <c r="A53" s="44"/>
      <c r="B53" s="45"/>
      <c r="C53" s="45"/>
      <c r="D53" s="46"/>
      <c r="E53" s="47"/>
      <c r="F53" s="45"/>
      <c r="G53" s="45"/>
      <c r="H53" s="48"/>
      <c r="I53" s="45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</row>
    <row r="54" ht="22.5" customHeight="1">
      <c r="A54" s="44"/>
      <c r="B54" s="45"/>
      <c r="C54" s="45"/>
      <c r="D54" s="46"/>
      <c r="E54" s="47"/>
      <c r="F54" s="45"/>
      <c r="G54" s="45"/>
      <c r="H54" s="48"/>
      <c r="I54" s="45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</row>
    <row r="55" ht="22.5" customHeight="1">
      <c r="A55" s="44"/>
      <c r="B55" s="45"/>
      <c r="C55" s="45"/>
      <c r="D55" s="46"/>
      <c r="E55" s="47"/>
      <c r="F55" s="45"/>
      <c r="G55" s="45"/>
      <c r="H55" s="48"/>
      <c r="I55" s="45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</row>
    <row r="56" ht="22.5" customHeight="1">
      <c r="A56" s="44"/>
      <c r="B56" s="45"/>
      <c r="C56" s="45"/>
      <c r="D56" s="46"/>
      <c r="E56" s="47"/>
      <c r="F56" s="45"/>
      <c r="G56" s="45"/>
      <c r="H56" s="48"/>
      <c r="I56" s="45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 ht="22.5" customHeight="1">
      <c r="A57" s="44"/>
      <c r="B57" s="45"/>
      <c r="C57" s="45"/>
      <c r="D57" s="46"/>
      <c r="E57" s="47"/>
      <c r="F57" s="45"/>
      <c r="G57" s="45"/>
      <c r="H57" s="48"/>
      <c r="I57" s="4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</row>
    <row r="58" ht="22.5" customHeight="1">
      <c r="A58" s="44"/>
      <c r="B58" s="45"/>
      <c r="C58" s="45"/>
      <c r="D58" s="46"/>
      <c r="E58" s="47"/>
      <c r="F58" s="45"/>
      <c r="G58" s="45"/>
      <c r="H58" s="48"/>
      <c r="I58" s="4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</row>
    <row r="59" ht="22.5" customHeight="1">
      <c r="A59" s="44"/>
      <c r="B59" s="45"/>
      <c r="C59" s="45"/>
      <c r="D59" s="46"/>
      <c r="E59" s="47"/>
      <c r="F59" s="45"/>
      <c r="G59" s="45"/>
      <c r="H59" s="48"/>
      <c r="I59" s="45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</row>
    <row r="60" ht="22.5" customHeight="1">
      <c r="A60" s="44"/>
      <c r="B60" s="45"/>
      <c r="C60" s="45"/>
      <c r="D60" s="46"/>
      <c r="E60" s="47"/>
      <c r="F60" s="45"/>
      <c r="G60" s="45"/>
      <c r="H60" s="48"/>
      <c r="I60" s="45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 ht="22.5" customHeight="1">
      <c r="A61" s="44"/>
      <c r="B61" s="45"/>
      <c r="C61" s="45"/>
      <c r="D61" s="46"/>
      <c r="E61" s="47"/>
      <c r="F61" s="45"/>
      <c r="G61" s="45"/>
      <c r="H61" s="48"/>
      <c r="I61" s="45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 ht="22.5" customHeight="1">
      <c r="A62" s="44"/>
      <c r="B62" s="45"/>
      <c r="C62" s="45"/>
      <c r="D62" s="46"/>
      <c r="E62" s="47"/>
      <c r="F62" s="45"/>
      <c r="G62" s="45"/>
      <c r="H62" s="48"/>
      <c r="I62" s="45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 ht="22.5" customHeight="1">
      <c r="A63" s="44"/>
      <c r="B63" s="45"/>
      <c r="C63" s="45"/>
      <c r="D63" s="46"/>
      <c r="E63" s="47"/>
      <c r="F63" s="45"/>
      <c r="G63" s="45"/>
      <c r="H63" s="48"/>
      <c r="I63" s="45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  <row r="64" ht="22.5" customHeight="1">
      <c r="A64" s="44"/>
      <c r="B64" s="45"/>
      <c r="C64" s="45"/>
      <c r="D64" s="46"/>
      <c r="E64" s="47"/>
      <c r="F64" s="45"/>
      <c r="G64" s="45"/>
      <c r="H64" s="48"/>
      <c r="I64" s="45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</row>
    <row r="65" ht="22.5" customHeight="1">
      <c r="A65" s="44"/>
      <c r="B65" s="45"/>
      <c r="C65" s="45"/>
      <c r="D65" s="46"/>
      <c r="E65" s="47"/>
      <c r="F65" s="45"/>
      <c r="G65" s="45"/>
      <c r="H65" s="48"/>
      <c r="I65" s="45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 ht="22.5" customHeight="1">
      <c r="A66" s="44"/>
      <c r="B66" s="45"/>
      <c r="C66" s="45"/>
      <c r="D66" s="46"/>
      <c r="E66" s="47"/>
      <c r="F66" s="45"/>
      <c r="G66" s="45"/>
      <c r="H66" s="48"/>
      <c r="I66" s="45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 ht="22.5" customHeight="1">
      <c r="A67" s="44"/>
      <c r="B67" s="45"/>
      <c r="C67" s="45"/>
      <c r="D67" s="46"/>
      <c r="E67" s="47"/>
      <c r="F67" s="45"/>
      <c r="G67" s="45"/>
      <c r="H67" s="48"/>
      <c r="I67" s="45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 ht="22.5" customHeight="1">
      <c r="A68" s="44"/>
      <c r="B68" s="45"/>
      <c r="C68" s="45"/>
      <c r="D68" s="46"/>
      <c r="E68" s="47"/>
      <c r="F68" s="45"/>
      <c r="G68" s="45"/>
      <c r="H68" s="48"/>
      <c r="I68" s="4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 ht="22.5" customHeight="1">
      <c r="A69" s="44"/>
      <c r="B69" s="45"/>
      <c r="C69" s="45"/>
      <c r="D69" s="46"/>
      <c r="E69" s="47"/>
      <c r="F69" s="45"/>
      <c r="G69" s="45"/>
      <c r="H69" s="48"/>
      <c r="I69" s="45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 ht="22.5" customHeight="1">
      <c r="A70" s="44"/>
      <c r="B70" s="45"/>
      <c r="C70" s="45"/>
      <c r="D70" s="46"/>
      <c r="E70" s="47"/>
      <c r="F70" s="45"/>
      <c r="G70" s="45"/>
      <c r="H70" s="48"/>
      <c r="I70" s="45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 ht="22.5" customHeight="1">
      <c r="A71" s="44"/>
      <c r="B71" s="45"/>
      <c r="C71" s="45"/>
      <c r="D71" s="46"/>
      <c r="E71" s="47"/>
      <c r="F71" s="45"/>
      <c r="G71" s="45"/>
      <c r="H71" s="48"/>
      <c r="I71" s="45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 ht="22.5" customHeight="1">
      <c r="A72" s="44"/>
      <c r="B72" s="45"/>
      <c r="C72" s="45"/>
      <c r="D72" s="46"/>
      <c r="E72" s="47"/>
      <c r="F72" s="45"/>
      <c r="G72" s="45"/>
      <c r="H72" s="48"/>
      <c r="I72" s="45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 ht="22.5" customHeight="1">
      <c r="A73" s="44"/>
      <c r="B73" s="45"/>
      <c r="C73" s="45"/>
      <c r="D73" s="46"/>
      <c r="E73" s="47"/>
      <c r="F73" s="45"/>
      <c r="G73" s="45"/>
      <c r="H73" s="48"/>
      <c r="I73" s="45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 ht="22.5" customHeight="1">
      <c r="A74" s="44"/>
      <c r="B74" s="45"/>
      <c r="C74" s="45"/>
      <c r="D74" s="46"/>
      <c r="E74" s="47"/>
      <c r="F74" s="45"/>
      <c r="G74" s="45"/>
      <c r="H74" s="48"/>
      <c r="I74" s="45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 ht="22.5" customHeight="1">
      <c r="A75" s="44"/>
      <c r="B75" s="45"/>
      <c r="C75" s="45"/>
      <c r="D75" s="46"/>
      <c r="E75" s="47"/>
      <c r="F75" s="45"/>
      <c r="G75" s="45"/>
      <c r="H75" s="48"/>
      <c r="I75" s="45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 ht="22.5" customHeight="1">
      <c r="A76" s="44"/>
      <c r="B76" s="45"/>
      <c r="C76" s="45"/>
      <c r="D76" s="46"/>
      <c r="E76" s="47"/>
      <c r="F76" s="45"/>
      <c r="G76" s="45"/>
      <c r="H76" s="48"/>
      <c r="I76" s="45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 ht="22.5" customHeight="1">
      <c r="A77" s="44"/>
      <c r="B77" s="45"/>
      <c r="C77" s="45"/>
      <c r="D77" s="46"/>
      <c r="E77" s="47"/>
      <c r="F77" s="45"/>
      <c r="G77" s="45"/>
      <c r="H77" s="48"/>
      <c r="I77" s="45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 ht="22.5" customHeight="1">
      <c r="A78" s="44"/>
      <c r="B78" s="45"/>
      <c r="C78" s="45"/>
      <c r="D78" s="46"/>
      <c r="E78" s="47"/>
      <c r="F78" s="45"/>
      <c r="G78" s="45"/>
      <c r="H78" s="48"/>
      <c r="I78" s="45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 ht="22.5" customHeight="1">
      <c r="A79" s="44"/>
      <c r="B79" s="45"/>
      <c r="C79" s="45"/>
      <c r="D79" s="46"/>
      <c r="E79" s="47"/>
      <c r="F79" s="45"/>
      <c r="G79" s="45"/>
      <c r="H79" s="48"/>
      <c r="I79" s="45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 ht="22.5" customHeight="1">
      <c r="A80" s="44"/>
      <c r="B80" s="45"/>
      <c r="C80" s="45"/>
      <c r="D80" s="46"/>
      <c r="E80" s="47"/>
      <c r="F80" s="45"/>
      <c r="G80" s="45"/>
      <c r="H80" s="48"/>
      <c r="I80" s="45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 ht="22.5" customHeight="1">
      <c r="A81" s="44"/>
      <c r="B81" s="45"/>
      <c r="C81" s="45"/>
      <c r="D81" s="46"/>
      <c r="E81" s="47"/>
      <c r="F81" s="45"/>
      <c r="G81" s="45"/>
      <c r="H81" s="48"/>
      <c r="I81" s="45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 ht="22.5" customHeight="1">
      <c r="A82" s="44"/>
      <c r="B82" s="45"/>
      <c r="C82" s="45"/>
      <c r="D82" s="46"/>
      <c r="E82" s="47"/>
      <c r="F82" s="45"/>
      <c r="G82" s="45"/>
      <c r="H82" s="48"/>
      <c r="I82" s="45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 ht="22.5" customHeight="1">
      <c r="A83" s="44"/>
      <c r="B83" s="45"/>
      <c r="C83" s="45"/>
      <c r="D83" s="46"/>
      <c r="E83" s="47"/>
      <c r="F83" s="45"/>
      <c r="G83" s="45"/>
      <c r="H83" s="48"/>
      <c r="I83" s="45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 ht="22.5" customHeight="1">
      <c r="A84" s="44"/>
      <c r="B84" s="45"/>
      <c r="C84" s="45"/>
      <c r="D84" s="46"/>
      <c r="E84" s="47"/>
      <c r="F84" s="45"/>
      <c r="G84" s="45"/>
      <c r="H84" s="48"/>
      <c r="I84" s="45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 ht="22.5" customHeight="1">
      <c r="A85" s="44"/>
      <c r="B85" s="45"/>
      <c r="C85" s="45"/>
      <c r="D85" s="46"/>
      <c r="E85" s="47"/>
      <c r="F85" s="45"/>
      <c r="G85" s="45"/>
      <c r="H85" s="48"/>
      <c r="I85" s="45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 ht="22.5" customHeight="1">
      <c r="A86" s="44"/>
      <c r="B86" s="45"/>
      <c r="C86" s="45"/>
      <c r="D86" s="46"/>
      <c r="E86" s="47"/>
      <c r="F86" s="45"/>
      <c r="G86" s="45"/>
      <c r="H86" s="48"/>
      <c r="I86" s="45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 ht="22.5" customHeight="1">
      <c r="A87" s="44"/>
      <c r="B87" s="45"/>
      <c r="C87" s="45"/>
      <c r="D87" s="46"/>
      <c r="E87" s="47"/>
      <c r="F87" s="45"/>
      <c r="G87" s="45"/>
      <c r="H87" s="48"/>
      <c r="I87" s="45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 ht="22.5" customHeight="1">
      <c r="A88" s="44"/>
      <c r="B88" s="45"/>
      <c r="C88" s="45"/>
      <c r="D88" s="46"/>
      <c r="E88" s="47"/>
      <c r="F88" s="45"/>
      <c r="G88" s="45"/>
      <c r="H88" s="48"/>
      <c r="I88" s="45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 ht="22.5" customHeight="1">
      <c r="A89" s="44"/>
      <c r="B89" s="45"/>
      <c r="C89" s="45"/>
      <c r="D89" s="46"/>
      <c r="E89" s="47"/>
      <c r="F89" s="45"/>
      <c r="G89" s="45"/>
      <c r="H89" s="48"/>
      <c r="I89" s="45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 ht="22.5" customHeight="1">
      <c r="A90" s="44"/>
      <c r="B90" s="45"/>
      <c r="C90" s="45"/>
      <c r="D90" s="46"/>
      <c r="E90" s="47"/>
      <c r="F90" s="45"/>
      <c r="G90" s="45"/>
      <c r="H90" s="48"/>
      <c r="I90" s="4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 ht="22.5" customHeight="1">
      <c r="A91" s="44"/>
      <c r="B91" s="45"/>
      <c r="C91" s="45"/>
      <c r="D91" s="46"/>
      <c r="E91" s="47"/>
      <c r="F91" s="45"/>
      <c r="G91" s="45"/>
      <c r="H91" s="48"/>
      <c r="I91" s="45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 ht="22.5" customHeight="1">
      <c r="A92" s="44"/>
      <c r="B92" s="45"/>
      <c r="C92" s="45"/>
      <c r="D92" s="46"/>
      <c r="E92" s="47"/>
      <c r="F92" s="45"/>
      <c r="G92" s="45"/>
      <c r="H92" s="48"/>
      <c r="I92" s="45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 ht="22.5" customHeight="1">
      <c r="A93" s="44"/>
      <c r="B93" s="45"/>
      <c r="C93" s="45"/>
      <c r="D93" s="46"/>
      <c r="E93" s="47"/>
      <c r="F93" s="45"/>
      <c r="G93" s="45"/>
      <c r="H93" s="48"/>
      <c r="I93" s="45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 ht="22.5" customHeight="1">
      <c r="A94" s="44"/>
      <c r="B94" s="45"/>
      <c r="C94" s="45"/>
      <c r="D94" s="46"/>
      <c r="E94" s="47"/>
      <c r="F94" s="45"/>
      <c r="G94" s="45"/>
      <c r="H94" s="48"/>
      <c r="I94" s="45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 ht="22.5" customHeight="1">
      <c r="A95" s="44"/>
      <c r="B95" s="45"/>
      <c r="C95" s="45"/>
      <c r="D95" s="46"/>
      <c r="E95" s="47"/>
      <c r="F95" s="45"/>
      <c r="G95" s="45"/>
      <c r="H95" s="48"/>
      <c r="I95" s="45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 ht="22.5" customHeight="1">
      <c r="A96" s="44"/>
      <c r="B96" s="45"/>
      <c r="C96" s="45"/>
      <c r="D96" s="46"/>
      <c r="E96" s="47"/>
      <c r="F96" s="45"/>
      <c r="G96" s="45"/>
      <c r="H96" s="48"/>
      <c r="I96" s="45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 ht="22.5" customHeight="1">
      <c r="A97" s="44"/>
      <c r="B97" s="45"/>
      <c r="C97" s="45"/>
      <c r="D97" s="46"/>
      <c r="E97" s="47"/>
      <c r="F97" s="45"/>
      <c r="G97" s="45"/>
      <c r="H97" s="48"/>
      <c r="I97" s="45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 ht="22.5" customHeight="1">
      <c r="A98" s="44"/>
      <c r="B98" s="45"/>
      <c r="C98" s="45"/>
      <c r="D98" s="46"/>
      <c r="E98" s="47"/>
      <c r="F98" s="45"/>
      <c r="G98" s="45"/>
      <c r="H98" s="48"/>
      <c r="I98" s="45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 ht="22.5" customHeight="1">
      <c r="A99" s="44"/>
      <c r="B99" s="45"/>
      <c r="C99" s="45"/>
      <c r="D99" s="46"/>
      <c r="E99" s="47"/>
      <c r="F99" s="45"/>
      <c r="G99" s="45"/>
      <c r="H99" s="48"/>
      <c r="I99" s="45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 ht="22.5" customHeight="1">
      <c r="A100" s="44"/>
      <c r="B100" s="45"/>
      <c r="C100" s="45"/>
      <c r="D100" s="46"/>
      <c r="E100" s="47"/>
      <c r="F100" s="45"/>
      <c r="G100" s="45"/>
      <c r="H100" s="48"/>
      <c r="I100" s="45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  <row r="101" ht="22.5" customHeight="1">
      <c r="A101" s="44"/>
      <c r="B101" s="45"/>
      <c r="C101" s="45"/>
      <c r="D101" s="46"/>
      <c r="E101" s="47"/>
      <c r="F101" s="45"/>
      <c r="G101" s="45"/>
      <c r="H101" s="48"/>
      <c r="I101" s="45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</row>
    <row r="102" ht="22.5" customHeight="1">
      <c r="A102" s="44"/>
      <c r="B102" s="45"/>
      <c r="C102" s="45"/>
      <c r="D102" s="46"/>
      <c r="E102" s="47"/>
      <c r="F102" s="45"/>
      <c r="G102" s="45"/>
      <c r="H102" s="48"/>
      <c r="I102" s="45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</row>
    <row r="103" ht="22.5" customHeight="1">
      <c r="A103" s="44"/>
      <c r="B103" s="45"/>
      <c r="C103" s="45"/>
      <c r="D103" s="46"/>
      <c r="E103" s="47"/>
      <c r="F103" s="45"/>
      <c r="G103" s="45"/>
      <c r="H103" s="48"/>
      <c r="I103" s="45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</row>
    <row r="104" ht="22.5" customHeight="1">
      <c r="A104" s="44"/>
      <c r="B104" s="45"/>
      <c r="C104" s="45"/>
      <c r="D104" s="46"/>
      <c r="E104" s="47"/>
      <c r="F104" s="45"/>
      <c r="G104" s="45"/>
      <c r="H104" s="48"/>
      <c r="I104" s="45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</row>
    <row r="105" ht="22.5" customHeight="1">
      <c r="A105" s="44"/>
      <c r="B105" s="45"/>
      <c r="C105" s="45"/>
      <c r="D105" s="46"/>
      <c r="E105" s="47"/>
      <c r="F105" s="45"/>
      <c r="G105" s="45"/>
      <c r="H105" s="48"/>
      <c r="I105" s="45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</row>
    <row r="106" ht="22.5" customHeight="1">
      <c r="A106" s="44"/>
      <c r="B106" s="45"/>
      <c r="C106" s="45"/>
      <c r="D106" s="46"/>
      <c r="E106" s="47"/>
      <c r="F106" s="45"/>
      <c r="G106" s="45"/>
      <c r="H106" s="48"/>
      <c r="I106" s="45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</row>
    <row r="107" ht="22.5" customHeight="1">
      <c r="A107" s="44"/>
      <c r="B107" s="45"/>
      <c r="C107" s="45"/>
      <c r="D107" s="46"/>
      <c r="E107" s="47"/>
      <c r="F107" s="45"/>
      <c r="G107" s="45"/>
      <c r="H107" s="48"/>
      <c r="I107" s="45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</row>
    <row r="108" ht="22.5" customHeight="1">
      <c r="A108" s="44"/>
      <c r="B108" s="45"/>
      <c r="C108" s="45"/>
      <c r="D108" s="46"/>
      <c r="E108" s="47"/>
      <c r="F108" s="45"/>
      <c r="G108" s="45"/>
      <c r="H108" s="48"/>
      <c r="I108" s="45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</row>
    <row r="109" ht="22.5" customHeight="1">
      <c r="A109" s="44"/>
      <c r="B109" s="45"/>
      <c r="C109" s="45"/>
      <c r="D109" s="46"/>
      <c r="E109" s="47"/>
      <c r="F109" s="45"/>
      <c r="G109" s="45"/>
      <c r="H109" s="48"/>
      <c r="I109" s="45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</row>
    <row r="110" ht="22.5" customHeight="1">
      <c r="A110" s="44"/>
      <c r="B110" s="45"/>
      <c r="C110" s="45"/>
      <c r="D110" s="46"/>
      <c r="E110" s="47"/>
      <c r="F110" s="45"/>
      <c r="G110" s="45"/>
      <c r="H110" s="48"/>
      <c r="I110" s="45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</row>
    <row r="111" ht="22.5" customHeight="1">
      <c r="A111" s="44"/>
      <c r="B111" s="45"/>
      <c r="C111" s="45"/>
      <c r="D111" s="46"/>
      <c r="E111" s="47"/>
      <c r="F111" s="45"/>
      <c r="G111" s="45"/>
      <c r="H111" s="48"/>
      <c r="I111" s="45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</row>
    <row r="112" ht="22.5" customHeight="1">
      <c r="A112" s="44"/>
      <c r="B112" s="45"/>
      <c r="C112" s="45"/>
      <c r="D112" s="46"/>
      <c r="E112" s="47"/>
      <c r="F112" s="45"/>
      <c r="G112" s="45"/>
      <c r="H112" s="48"/>
      <c r="I112" s="45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</row>
    <row r="113" ht="22.5" customHeight="1">
      <c r="A113" s="44"/>
      <c r="B113" s="45"/>
      <c r="C113" s="45"/>
      <c r="D113" s="46"/>
      <c r="E113" s="47"/>
      <c r="F113" s="45"/>
      <c r="G113" s="45"/>
      <c r="H113" s="48"/>
      <c r="I113" s="45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 ht="22.5" customHeight="1">
      <c r="A114" s="44"/>
      <c r="B114" s="45"/>
      <c r="C114" s="45"/>
      <c r="D114" s="46"/>
      <c r="E114" s="47"/>
      <c r="F114" s="45"/>
      <c r="G114" s="45"/>
      <c r="H114" s="48"/>
      <c r="I114" s="45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 ht="22.5" customHeight="1">
      <c r="A115" s="44"/>
      <c r="B115" s="45"/>
      <c r="C115" s="45"/>
      <c r="D115" s="46"/>
      <c r="E115" s="47"/>
      <c r="F115" s="45"/>
      <c r="G115" s="45"/>
      <c r="H115" s="48"/>
      <c r="I115" s="45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 ht="22.5" customHeight="1">
      <c r="A116" s="44"/>
      <c r="B116" s="45"/>
      <c r="C116" s="45"/>
      <c r="D116" s="46"/>
      <c r="E116" s="47"/>
      <c r="F116" s="45"/>
      <c r="G116" s="45"/>
      <c r="H116" s="48"/>
      <c r="I116" s="45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 ht="22.5" customHeight="1">
      <c r="A117" s="44"/>
      <c r="B117" s="45"/>
      <c r="C117" s="45"/>
      <c r="D117" s="46"/>
      <c r="E117" s="47"/>
      <c r="F117" s="45"/>
      <c r="G117" s="45"/>
      <c r="H117" s="48"/>
      <c r="I117" s="45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 ht="22.5" customHeight="1">
      <c r="A118" s="44"/>
      <c r="B118" s="45"/>
      <c r="C118" s="45"/>
      <c r="D118" s="46"/>
      <c r="E118" s="47"/>
      <c r="F118" s="45"/>
      <c r="G118" s="45"/>
      <c r="H118" s="48"/>
      <c r="I118" s="45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 ht="22.5" customHeight="1">
      <c r="A119" s="44"/>
      <c r="B119" s="45"/>
      <c r="C119" s="45"/>
      <c r="D119" s="46"/>
      <c r="E119" s="47"/>
      <c r="F119" s="45"/>
      <c r="G119" s="45"/>
      <c r="H119" s="48"/>
      <c r="I119" s="45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</row>
    <row r="120" ht="22.5" customHeight="1">
      <c r="A120" s="44"/>
      <c r="B120" s="45"/>
      <c r="C120" s="45"/>
      <c r="D120" s="46"/>
      <c r="E120" s="47"/>
      <c r="F120" s="45"/>
      <c r="G120" s="45"/>
      <c r="H120" s="48"/>
      <c r="I120" s="45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</row>
    <row r="121" ht="22.5" customHeight="1">
      <c r="A121" s="44"/>
      <c r="B121" s="45"/>
      <c r="C121" s="45"/>
      <c r="D121" s="46"/>
      <c r="E121" s="47"/>
      <c r="F121" s="45"/>
      <c r="G121" s="45"/>
      <c r="H121" s="48"/>
      <c r="I121" s="45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</row>
    <row r="122" ht="22.5" customHeight="1">
      <c r="A122" s="44"/>
      <c r="B122" s="45"/>
      <c r="C122" s="45"/>
      <c r="D122" s="46"/>
      <c r="E122" s="47"/>
      <c r="F122" s="45"/>
      <c r="G122" s="45"/>
      <c r="H122" s="48"/>
      <c r="I122" s="45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</row>
    <row r="123" ht="22.5" customHeight="1">
      <c r="A123" s="44"/>
      <c r="B123" s="45"/>
      <c r="C123" s="45"/>
      <c r="D123" s="46"/>
      <c r="E123" s="47"/>
      <c r="F123" s="45"/>
      <c r="G123" s="45"/>
      <c r="H123" s="48"/>
      <c r="I123" s="45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</row>
    <row r="124" ht="22.5" customHeight="1">
      <c r="A124" s="44"/>
      <c r="B124" s="45"/>
      <c r="C124" s="45"/>
      <c r="D124" s="46"/>
      <c r="E124" s="47"/>
      <c r="F124" s="45"/>
      <c r="G124" s="45"/>
      <c r="H124" s="48"/>
      <c r="I124" s="45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</row>
    <row r="125" ht="22.5" customHeight="1">
      <c r="A125" s="44"/>
      <c r="B125" s="45"/>
      <c r="C125" s="45"/>
      <c r="D125" s="46"/>
      <c r="E125" s="47"/>
      <c r="F125" s="45"/>
      <c r="G125" s="45"/>
      <c r="H125" s="48"/>
      <c r="I125" s="45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</row>
    <row r="126" ht="22.5" customHeight="1">
      <c r="A126" s="44"/>
      <c r="B126" s="45"/>
      <c r="C126" s="45"/>
      <c r="D126" s="46"/>
      <c r="E126" s="47"/>
      <c r="F126" s="45"/>
      <c r="G126" s="45"/>
      <c r="H126" s="48"/>
      <c r="I126" s="45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</row>
    <row r="127" ht="22.5" customHeight="1">
      <c r="A127" s="44"/>
      <c r="B127" s="45"/>
      <c r="C127" s="45"/>
      <c r="D127" s="46"/>
      <c r="E127" s="47"/>
      <c r="F127" s="45"/>
      <c r="G127" s="45"/>
      <c r="H127" s="48"/>
      <c r="I127" s="45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</row>
    <row r="128" ht="22.5" customHeight="1">
      <c r="A128" s="44"/>
      <c r="B128" s="45"/>
      <c r="C128" s="45"/>
      <c r="D128" s="46"/>
      <c r="E128" s="47"/>
      <c r="F128" s="45"/>
      <c r="G128" s="45"/>
      <c r="H128" s="48"/>
      <c r="I128" s="45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</row>
    <row r="129" ht="22.5" customHeight="1">
      <c r="A129" s="44"/>
      <c r="B129" s="45"/>
      <c r="C129" s="45"/>
      <c r="D129" s="46"/>
      <c r="E129" s="47"/>
      <c r="F129" s="45"/>
      <c r="G129" s="45"/>
      <c r="H129" s="48"/>
      <c r="I129" s="45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 ht="22.5" customHeight="1">
      <c r="A130" s="44"/>
      <c r="B130" s="45"/>
      <c r="C130" s="45"/>
      <c r="D130" s="46"/>
      <c r="E130" s="47"/>
      <c r="F130" s="45"/>
      <c r="G130" s="45"/>
      <c r="H130" s="48"/>
      <c r="I130" s="45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</row>
    <row r="131" ht="22.5" customHeight="1">
      <c r="A131" s="44"/>
      <c r="B131" s="45"/>
      <c r="C131" s="45"/>
      <c r="D131" s="46"/>
      <c r="E131" s="47"/>
      <c r="F131" s="45"/>
      <c r="G131" s="45"/>
      <c r="H131" s="48"/>
      <c r="I131" s="45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</row>
    <row r="132" ht="22.5" customHeight="1">
      <c r="A132" s="44"/>
      <c r="B132" s="45"/>
      <c r="C132" s="45"/>
      <c r="D132" s="46"/>
      <c r="E132" s="47"/>
      <c r="F132" s="45"/>
      <c r="G132" s="45"/>
      <c r="H132" s="48"/>
      <c r="I132" s="45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</row>
    <row r="133" ht="22.5" customHeight="1">
      <c r="A133" s="44"/>
      <c r="B133" s="45"/>
      <c r="C133" s="45"/>
      <c r="D133" s="46"/>
      <c r="E133" s="47"/>
      <c r="F133" s="45"/>
      <c r="G133" s="45"/>
      <c r="H133" s="48"/>
      <c r="I133" s="45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</row>
    <row r="134" ht="22.5" customHeight="1">
      <c r="A134" s="44"/>
      <c r="B134" s="45"/>
      <c r="C134" s="45"/>
      <c r="D134" s="46"/>
      <c r="E134" s="47"/>
      <c r="F134" s="45"/>
      <c r="G134" s="45"/>
      <c r="H134" s="48"/>
      <c r="I134" s="45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</row>
    <row r="135" ht="22.5" customHeight="1">
      <c r="A135" s="44"/>
      <c r="B135" s="45"/>
      <c r="C135" s="45"/>
      <c r="D135" s="46"/>
      <c r="E135" s="47"/>
      <c r="F135" s="45"/>
      <c r="G135" s="45"/>
      <c r="H135" s="48"/>
      <c r="I135" s="45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</row>
    <row r="136" ht="22.5" customHeight="1">
      <c r="A136" s="44"/>
      <c r="B136" s="45"/>
      <c r="C136" s="45"/>
      <c r="D136" s="46"/>
      <c r="E136" s="47"/>
      <c r="F136" s="45"/>
      <c r="G136" s="45"/>
      <c r="H136" s="48"/>
      <c r="I136" s="45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</row>
    <row r="137" ht="22.5" customHeight="1">
      <c r="A137" s="44"/>
      <c r="B137" s="45"/>
      <c r="C137" s="45"/>
      <c r="D137" s="46"/>
      <c r="E137" s="47"/>
      <c r="F137" s="45"/>
      <c r="G137" s="45"/>
      <c r="H137" s="48"/>
      <c r="I137" s="45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</row>
    <row r="138" ht="22.5" customHeight="1">
      <c r="A138" s="44"/>
      <c r="B138" s="45"/>
      <c r="C138" s="45"/>
      <c r="D138" s="46"/>
      <c r="E138" s="47"/>
      <c r="F138" s="45"/>
      <c r="G138" s="45"/>
      <c r="H138" s="48"/>
      <c r="I138" s="45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</row>
    <row r="139" ht="22.5" customHeight="1">
      <c r="A139" s="44"/>
      <c r="B139" s="45"/>
      <c r="C139" s="45"/>
      <c r="D139" s="46"/>
      <c r="E139" s="47"/>
      <c r="F139" s="45"/>
      <c r="G139" s="45"/>
      <c r="H139" s="48"/>
      <c r="I139" s="45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</row>
    <row r="140" ht="22.5" customHeight="1">
      <c r="A140" s="44"/>
      <c r="B140" s="45"/>
      <c r="C140" s="45"/>
      <c r="D140" s="46"/>
      <c r="E140" s="47"/>
      <c r="F140" s="45"/>
      <c r="G140" s="45"/>
      <c r="H140" s="48"/>
      <c r="I140" s="45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</row>
    <row r="141" ht="22.5" customHeight="1">
      <c r="A141" s="44"/>
      <c r="B141" s="45"/>
      <c r="C141" s="45"/>
      <c r="D141" s="46"/>
      <c r="E141" s="47"/>
      <c r="F141" s="45"/>
      <c r="G141" s="45"/>
      <c r="H141" s="48"/>
      <c r="I141" s="45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</row>
    <row r="142" ht="22.5" customHeight="1">
      <c r="A142" s="44"/>
      <c r="B142" s="45"/>
      <c r="C142" s="45"/>
      <c r="D142" s="46"/>
      <c r="E142" s="47"/>
      <c r="F142" s="45"/>
      <c r="G142" s="45"/>
      <c r="H142" s="48"/>
      <c r="I142" s="45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</row>
    <row r="143" ht="22.5" customHeight="1">
      <c r="A143" s="44"/>
      <c r="B143" s="45"/>
      <c r="C143" s="45"/>
      <c r="D143" s="46"/>
      <c r="E143" s="47"/>
      <c r="F143" s="45"/>
      <c r="G143" s="45"/>
      <c r="H143" s="48"/>
      <c r="I143" s="45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</row>
    <row r="144" ht="22.5" customHeight="1">
      <c r="A144" s="44"/>
      <c r="B144" s="45"/>
      <c r="C144" s="45"/>
      <c r="D144" s="46"/>
      <c r="E144" s="47"/>
      <c r="F144" s="45"/>
      <c r="G144" s="45"/>
      <c r="H144" s="48"/>
      <c r="I144" s="45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</row>
    <row r="145" ht="22.5" customHeight="1">
      <c r="A145" s="44"/>
      <c r="B145" s="45"/>
      <c r="C145" s="45"/>
      <c r="D145" s="46"/>
      <c r="E145" s="47"/>
      <c r="F145" s="45"/>
      <c r="G145" s="45"/>
      <c r="H145" s="48"/>
      <c r="I145" s="45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</row>
    <row r="146" ht="22.5" customHeight="1">
      <c r="A146" s="44"/>
      <c r="B146" s="45"/>
      <c r="C146" s="45"/>
      <c r="D146" s="46"/>
      <c r="E146" s="47"/>
      <c r="F146" s="45"/>
      <c r="G146" s="45"/>
      <c r="H146" s="48"/>
      <c r="I146" s="45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</row>
    <row r="147" ht="22.5" customHeight="1">
      <c r="A147" s="44"/>
      <c r="B147" s="45"/>
      <c r="C147" s="45"/>
      <c r="D147" s="46"/>
      <c r="E147" s="47"/>
      <c r="F147" s="45"/>
      <c r="G147" s="45"/>
      <c r="H147" s="48"/>
      <c r="I147" s="45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 ht="22.5" customHeight="1">
      <c r="A148" s="44"/>
      <c r="B148" s="45"/>
      <c r="C148" s="45"/>
      <c r="D148" s="46"/>
      <c r="E148" s="47"/>
      <c r="F148" s="45"/>
      <c r="G148" s="45"/>
      <c r="H148" s="48"/>
      <c r="I148" s="45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 ht="22.5" customHeight="1">
      <c r="A149" s="44"/>
      <c r="B149" s="45"/>
      <c r="C149" s="45"/>
      <c r="D149" s="46"/>
      <c r="E149" s="47"/>
      <c r="F149" s="45"/>
      <c r="G149" s="45"/>
      <c r="H149" s="48"/>
      <c r="I149" s="45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 ht="22.5" customHeight="1">
      <c r="A150" s="44"/>
      <c r="B150" s="45"/>
      <c r="C150" s="45"/>
      <c r="D150" s="46"/>
      <c r="E150" s="47"/>
      <c r="F150" s="45"/>
      <c r="G150" s="45"/>
      <c r="H150" s="48"/>
      <c r="I150" s="45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 ht="22.5" customHeight="1">
      <c r="A151" s="44"/>
      <c r="B151" s="45"/>
      <c r="C151" s="45"/>
      <c r="D151" s="46"/>
      <c r="E151" s="47"/>
      <c r="F151" s="45"/>
      <c r="G151" s="45"/>
      <c r="H151" s="48"/>
      <c r="I151" s="45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</row>
    <row r="152" ht="22.5" customHeight="1">
      <c r="A152" s="44"/>
      <c r="B152" s="45"/>
      <c r="C152" s="45"/>
      <c r="D152" s="46"/>
      <c r="E152" s="47"/>
      <c r="F152" s="45"/>
      <c r="G152" s="45"/>
      <c r="H152" s="48"/>
      <c r="I152" s="45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</row>
    <row r="153" ht="22.5" customHeight="1">
      <c r="A153" s="44"/>
      <c r="B153" s="45"/>
      <c r="C153" s="45"/>
      <c r="D153" s="46"/>
      <c r="E153" s="47"/>
      <c r="F153" s="45"/>
      <c r="G153" s="45"/>
      <c r="H153" s="48"/>
      <c r="I153" s="45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</row>
    <row r="154" ht="22.5" customHeight="1">
      <c r="A154" s="44"/>
      <c r="B154" s="45"/>
      <c r="C154" s="45"/>
      <c r="D154" s="46"/>
      <c r="E154" s="47"/>
      <c r="F154" s="45"/>
      <c r="G154" s="45"/>
      <c r="H154" s="48"/>
      <c r="I154" s="45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</row>
    <row r="155" ht="22.5" customHeight="1">
      <c r="A155" s="44"/>
      <c r="B155" s="45"/>
      <c r="C155" s="45"/>
      <c r="D155" s="46"/>
      <c r="E155" s="47"/>
      <c r="F155" s="45"/>
      <c r="G155" s="45"/>
      <c r="H155" s="48"/>
      <c r="I155" s="45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</row>
    <row r="156" ht="22.5" customHeight="1">
      <c r="A156" s="44"/>
      <c r="B156" s="45"/>
      <c r="C156" s="45"/>
      <c r="D156" s="46"/>
      <c r="E156" s="47"/>
      <c r="F156" s="45"/>
      <c r="G156" s="45"/>
      <c r="H156" s="48"/>
      <c r="I156" s="45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</row>
    <row r="157" ht="22.5" customHeight="1">
      <c r="A157" s="44"/>
      <c r="B157" s="45"/>
      <c r="C157" s="45"/>
      <c r="D157" s="46"/>
      <c r="E157" s="47"/>
      <c r="F157" s="45"/>
      <c r="G157" s="45"/>
      <c r="H157" s="48"/>
      <c r="I157" s="45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</row>
    <row r="158" ht="22.5" customHeight="1">
      <c r="A158" s="44"/>
      <c r="B158" s="45"/>
      <c r="C158" s="45"/>
      <c r="D158" s="46"/>
      <c r="E158" s="47"/>
      <c r="F158" s="45"/>
      <c r="G158" s="45"/>
      <c r="H158" s="48"/>
      <c r="I158" s="45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</row>
    <row r="159" ht="22.5" customHeight="1">
      <c r="A159" s="44"/>
      <c r="B159" s="45"/>
      <c r="C159" s="45"/>
      <c r="D159" s="46"/>
      <c r="E159" s="47"/>
      <c r="F159" s="45"/>
      <c r="G159" s="45"/>
      <c r="H159" s="48"/>
      <c r="I159" s="45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</row>
    <row r="160" ht="22.5" customHeight="1">
      <c r="A160" s="44"/>
      <c r="B160" s="45"/>
      <c r="C160" s="45"/>
      <c r="D160" s="46"/>
      <c r="E160" s="47"/>
      <c r="F160" s="45"/>
      <c r="G160" s="45"/>
      <c r="H160" s="48"/>
      <c r="I160" s="45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</row>
    <row r="161" ht="22.5" customHeight="1">
      <c r="A161" s="44"/>
      <c r="B161" s="45"/>
      <c r="C161" s="45"/>
      <c r="D161" s="46"/>
      <c r="E161" s="47"/>
      <c r="F161" s="45"/>
      <c r="G161" s="45"/>
      <c r="H161" s="48"/>
      <c r="I161" s="45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</row>
    <row r="162" ht="22.5" customHeight="1">
      <c r="A162" s="44"/>
      <c r="B162" s="45"/>
      <c r="C162" s="45"/>
      <c r="D162" s="46"/>
      <c r="E162" s="47"/>
      <c r="F162" s="45"/>
      <c r="G162" s="45"/>
      <c r="H162" s="48"/>
      <c r="I162" s="45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</row>
    <row r="163" ht="22.5" customHeight="1">
      <c r="A163" s="44"/>
      <c r="B163" s="45"/>
      <c r="C163" s="45"/>
      <c r="D163" s="46"/>
      <c r="E163" s="47"/>
      <c r="F163" s="45"/>
      <c r="G163" s="45"/>
      <c r="H163" s="48"/>
      <c r="I163" s="45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</row>
    <row r="164" ht="22.5" customHeight="1">
      <c r="A164" s="44"/>
      <c r="B164" s="45"/>
      <c r="C164" s="45"/>
      <c r="D164" s="46"/>
      <c r="E164" s="47"/>
      <c r="F164" s="45"/>
      <c r="G164" s="45"/>
      <c r="H164" s="48"/>
      <c r="I164" s="45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 ht="22.5" customHeight="1">
      <c r="A165" s="44"/>
      <c r="B165" s="45"/>
      <c r="C165" s="45"/>
      <c r="D165" s="46"/>
      <c r="E165" s="47"/>
      <c r="F165" s="45"/>
      <c r="G165" s="45"/>
      <c r="H165" s="48"/>
      <c r="I165" s="45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</row>
    <row r="166" ht="22.5" customHeight="1">
      <c r="A166" s="44"/>
      <c r="B166" s="45"/>
      <c r="C166" s="45"/>
      <c r="D166" s="46"/>
      <c r="E166" s="47"/>
      <c r="F166" s="45"/>
      <c r="G166" s="45"/>
      <c r="H166" s="48"/>
      <c r="I166" s="45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</row>
    <row r="167" ht="22.5" customHeight="1">
      <c r="A167" s="44"/>
      <c r="B167" s="45"/>
      <c r="C167" s="45"/>
      <c r="D167" s="46"/>
      <c r="E167" s="47"/>
      <c r="F167" s="45"/>
      <c r="G167" s="45"/>
      <c r="H167" s="48"/>
      <c r="I167" s="45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</row>
    <row r="168" ht="22.5" customHeight="1">
      <c r="A168" s="44"/>
      <c r="B168" s="45"/>
      <c r="C168" s="45"/>
      <c r="D168" s="46"/>
      <c r="E168" s="47"/>
      <c r="F168" s="45"/>
      <c r="G168" s="45"/>
      <c r="H168" s="48"/>
      <c r="I168" s="45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</row>
    <row r="169" ht="22.5" customHeight="1">
      <c r="A169" s="44"/>
      <c r="B169" s="45"/>
      <c r="C169" s="45"/>
      <c r="D169" s="46"/>
      <c r="E169" s="47"/>
      <c r="F169" s="45"/>
      <c r="G169" s="45"/>
      <c r="H169" s="48"/>
      <c r="I169" s="45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</row>
    <row r="170" ht="22.5" customHeight="1">
      <c r="A170" s="44"/>
      <c r="B170" s="45"/>
      <c r="C170" s="45"/>
      <c r="D170" s="46"/>
      <c r="E170" s="47"/>
      <c r="F170" s="45"/>
      <c r="G170" s="45"/>
      <c r="H170" s="48"/>
      <c r="I170" s="45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</row>
    <row r="171" ht="22.5" customHeight="1">
      <c r="A171" s="44"/>
      <c r="B171" s="45"/>
      <c r="C171" s="45"/>
      <c r="D171" s="46"/>
      <c r="E171" s="47"/>
      <c r="F171" s="45"/>
      <c r="G171" s="45"/>
      <c r="H171" s="48"/>
      <c r="I171" s="45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</row>
    <row r="172" ht="22.5" customHeight="1">
      <c r="A172" s="44"/>
      <c r="B172" s="45"/>
      <c r="C172" s="45"/>
      <c r="D172" s="46"/>
      <c r="E172" s="47"/>
      <c r="F172" s="45"/>
      <c r="G172" s="45"/>
      <c r="H172" s="48"/>
      <c r="I172" s="45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</row>
    <row r="173" ht="22.5" customHeight="1">
      <c r="A173" s="44"/>
      <c r="B173" s="45"/>
      <c r="C173" s="45"/>
      <c r="D173" s="46"/>
      <c r="E173" s="47"/>
      <c r="F173" s="45"/>
      <c r="G173" s="45"/>
      <c r="H173" s="48"/>
      <c r="I173" s="45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</row>
    <row r="174" ht="22.5" customHeight="1">
      <c r="A174" s="44"/>
      <c r="B174" s="45"/>
      <c r="C174" s="45"/>
      <c r="D174" s="46"/>
      <c r="E174" s="47"/>
      <c r="F174" s="45"/>
      <c r="G174" s="45"/>
      <c r="H174" s="48"/>
      <c r="I174" s="45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</row>
    <row r="175" ht="22.5" customHeight="1">
      <c r="A175" s="44"/>
      <c r="B175" s="45"/>
      <c r="C175" s="45"/>
      <c r="D175" s="46"/>
      <c r="E175" s="47"/>
      <c r="F175" s="45"/>
      <c r="G175" s="45"/>
      <c r="H175" s="48"/>
      <c r="I175" s="45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</row>
    <row r="176" ht="22.5" customHeight="1">
      <c r="A176" s="44"/>
      <c r="B176" s="45"/>
      <c r="C176" s="45"/>
      <c r="D176" s="46"/>
      <c r="E176" s="47"/>
      <c r="F176" s="45"/>
      <c r="G176" s="45"/>
      <c r="H176" s="48"/>
      <c r="I176" s="45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</row>
    <row r="177" ht="22.5" customHeight="1">
      <c r="A177" s="44"/>
      <c r="B177" s="45"/>
      <c r="C177" s="45"/>
      <c r="D177" s="46"/>
      <c r="E177" s="47"/>
      <c r="F177" s="45"/>
      <c r="G177" s="45"/>
      <c r="H177" s="48"/>
      <c r="I177" s="45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</row>
    <row r="178" ht="22.5" customHeight="1">
      <c r="A178" s="44"/>
      <c r="B178" s="45"/>
      <c r="C178" s="45"/>
      <c r="D178" s="46"/>
      <c r="E178" s="47"/>
      <c r="F178" s="45"/>
      <c r="G178" s="45"/>
      <c r="H178" s="48"/>
      <c r="I178" s="45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</row>
    <row r="179" ht="22.5" customHeight="1">
      <c r="A179" s="44"/>
      <c r="B179" s="45"/>
      <c r="C179" s="45"/>
      <c r="D179" s="46"/>
      <c r="E179" s="47"/>
      <c r="F179" s="45"/>
      <c r="G179" s="45"/>
      <c r="H179" s="48"/>
      <c r="I179" s="45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</row>
    <row r="180" ht="22.5" customHeight="1">
      <c r="A180" s="44"/>
      <c r="B180" s="45"/>
      <c r="C180" s="45"/>
      <c r="D180" s="46"/>
      <c r="E180" s="47"/>
      <c r="F180" s="45"/>
      <c r="G180" s="45"/>
      <c r="H180" s="48"/>
      <c r="I180" s="45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 ht="22.5" customHeight="1">
      <c r="A181" s="44"/>
      <c r="B181" s="45"/>
      <c r="C181" s="45"/>
      <c r="D181" s="46"/>
      <c r="E181" s="47"/>
      <c r="F181" s="45"/>
      <c r="G181" s="45"/>
      <c r="H181" s="48"/>
      <c r="I181" s="45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</row>
    <row r="182" ht="22.5" customHeight="1">
      <c r="A182" s="44"/>
      <c r="B182" s="45"/>
      <c r="C182" s="45"/>
      <c r="D182" s="46"/>
      <c r="E182" s="47"/>
      <c r="F182" s="45"/>
      <c r="G182" s="45"/>
      <c r="H182" s="48"/>
      <c r="I182" s="45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</row>
    <row r="183" ht="22.5" customHeight="1">
      <c r="A183" s="44"/>
      <c r="B183" s="45"/>
      <c r="C183" s="45"/>
      <c r="D183" s="46"/>
      <c r="E183" s="47"/>
      <c r="F183" s="45"/>
      <c r="G183" s="45"/>
      <c r="H183" s="48"/>
      <c r="I183" s="45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</row>
    <row r="184" ht="22.5" customHeight="1">
      <c r="A184" s="44"/>
      <c r="B184" s="45"/>
      <c r="C184" s="45"/>
      <c r="D184" s="46"/>
      <c r="E184" s="47"/>
      <c r="F184" s="45"/>
      <c r="G184" s="45"/>
      <c r="H184" s="48"/>
      <c r="I184" s="45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</row>
    <row r="185" ht="22.5" customHeight="1">
      <c r="A185" s="44"/>
      <c r="B185" s="45"/>
      <c r="C185" s="45"/>
      <c r="D185" s="46"/>
      <c r="E185" s="47"/>
      <c r="F185" s="45"/>
      <c r="G185" s="45"/>
      <c r="H185" s="48"/>
      <c r="I185" s="45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</row>
    <row r="186" ht="22.5" customHeight="1">
      <c r="A186" s="44"/>
      <c r="B186" s="45"/>
      <c r="C186" s="45"/>
      <c r="D186" s="46"/>
      <c r="E186" s="47"/>
      <c r="F186" s="45"/>
      <c r="G186" s="45"/>
      <c r="H186" s="48"/>
      <c r="I186" s="45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</row>
    <row r="187" ht="22.5" customHeight="1">
      <c r="A187" s="44"/>
      <c r="B187" s="45"/>
      <c r="C187" s="45"/>
      <c r="D187" s="46"/>
      <c r="E187" s="47"/>
      <c r="F187" s="45"/>
      <c r="G187" s="45"/>
      <c r="H187" s="48"/>
      <c r="I187" s="45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</row>
    <row r="188" ht="22.5" customHeight="1">
      <c r="A188" s="44"/>
      <c r="B188" s="45"/>
      <c r="C188" s="45"/>
      <c r="D188" s="46"/>
      <c r="E188" s="47"/>
      <c r="F188" s="45"/>
      <c r="G188" s="45"/>
      <c r="H188" s="48"/>
      <c r="I188" s="45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</row>
    <row r="189" ht="22.5" customHeight="1">
      <c r="A189" s="44"/>
      <c r="B189" s="45"/>
      <c r="C189" s="45"/>
      <c r="D189" s="46"/>
      <c r="E189" s="47"/>
      <c r="F189" s="45"/>
      <c r="G189" s="45"/>
      <c r="H189" s="48"/>
      <c r="I189" s="45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</row>
    <row r="190" ht="22.5" customHeight="1">
      <c r="A190" s="44"/>
      <c r="B190" s="45"/>
      <c r="C190" s="45"/>
      <c r="D190" s="46"/>
      <c r="E190" s="47"/>
      <c r="F190" s="45"/>
      <c r="G190" s="45"/>
      <c r="H190" s="48"/>
      <c r="I190" s="45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</row>
    <row r="191" ht="22.5" customHeight="1">
      <c r="A191" s="44"/>
      <c r="B191" s="45"/>
      <c r="C191" s="45"/>
      <c r="D191" s="46"/>
      <c r="E191" s="47"/>
      <c r="F191" s="45"/>
      <c r="G191" s="45"/>
      <c r="H191" s="48"/>
      <c r="I191" s="45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</row>
    <row r="192" ht="22.5" customHeight="1">
      <c r="A192" s="44"/>
      <c r="B192" s="45"/>
      <c r="C192" s="45"/>
      <c r="D192" s="46"/>
      <c r="E192" s="47"/>
      <c r="F192" s="45"/>
      <c r="G192" s="45"/>
      <c r="H192" s="48"/>
      <c r="I192" s="45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</row>
    <row r="193" ht="22.5" customHeight="1">
      <c r="A193" s="44"/>
      <c r="B193" s="45"/>
      <c r="C193" s="45"/>
      <c r="D193" s="46"/>
      <c r="E193" s="47"/>
      <c r="F193" s="45"/>
      <c r="G193" s="45"/>
      <c r="H193" s="48"/>
      <c r="I193" s="45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</row>
    <row r="194" ht="22.5" customHeight="1">
      <c r="A194" s="44"/>
      <c r="B194" s="45"/>
      <c r="C194" s="45"/>
      <c r="D194" s="46"/>
      <c r="E194" s="47"/>
      <c r="F194" s="45"/>
      <c r="G194" s="45"/>
      <c r="H194" s="48"/>
      <c r="I194" s="45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</row>
    <row r="195" ht="22.5" customHeight="1">
      <c r="A195" s="44"/>
      <c r="B195" s="45"/>
      <c r="C195" s="45"/>
      <c r="D195" s="46"/>
      <c r="E195" s="47"/>
      <c r="F195" s="45"/>
      <c r="G195" s="45"/>
      <c r="H195" s="48"/>
      <c r="I195" s="45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</row>
    <row r="196" ht="22.5" customHeight="1">
      <c r="A196" s="44"/>
      <c r="B196" s="45"/>
      <c r="C196" s="45"/>
      <c r="D196" s="46"/>
      <c r="E196" s="47"/>
      <c r="F196" s="45"/>
      <c r="G196" s="45"/>
      <c r="H196" s="48"/>
      <c r="I196" s="45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</row>
    <row r="197" ht="22.5" customHeight="1">
      <c r="A197" s="44"/>
      <c r="B197" s="45"/>
      <c r="C197" s="45"/>
      <c r="D197" s="46"/>
      <c r="E197" s="47"/>
      <c r="F197" s="45"/>
      <c r="G197" s="45"/>
      <c r="H197" s="48"/>
      <c r="I197" s="45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</row>
    <row r="198" ht="22.5" customHeight="1">
      <c r="A198" s="44"/>
      <c r="B198" s="45"/>
      <c r="C198" s="45"/>
      <c r="D198" s="46"/>
      <c r="E198" s="47"/>
      <c r="F198" s="45"/>
      <c r="G198" s="45"/>
      <c r="H198" s="48"/>
      <c r="I198" s="45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</row>
    <row r="199" ht="22.5" customHeight="1">
      <c r="A199" s="44"/>
      <c r="B199" s="45"/>
      <c r="C199" s="45"/>
      <c r="D199" s="46"/>
      <c r="E199" s="47"/>
      <c r="F199" s="45"/>
      <c r="G199" s="45"/>
      <c r="H199" s="48"/>
      <c r="I199" s="45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 ht="22.5" customHeight="1">
      <c r="A200" s="44"/>
      <c r="B200" s="45"/>
      <c r="C200" s="45"/>
      <c r="D200" s="46"/>
      <c r="E200" s="47"/>
      <c r="F200" s="45"/>
      <c r="G200" s="45"/>
      <c r="H200" s="48"/>
      <c r="I200" s="45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 ht="22.5" customHeight="1">
      <c r="A201" s="44"/>
      <c r="B201" s="45"/>
      <c r="C201" s="45"/>
      <c r="D201" s="46"/>
      <c r="E201" s="47"/>
      <c r="F201" s="45"/>
      <c r="G201" s="45"/>
      <c r="H201" s="48"/>
      <c r="I201" s="45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 ht="22.5" customHeight="1">
      <c r="A202" s="44"/>
      <c r="B202" s="45"/>
      <c r="C202" s="45"/>
      <c r="D202" s="46"/>
      <c r="E202" s="47"/>
      <c r="F202" s="45"/>
      <c r="G202" s="45"/>
      <c r="H202" s="48"/>
      <c r="I202" s="45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 ht="22.5" customHeight="1">
      <c r="A203" s="44"/>
      <c r="B203" s="45"/>
      <c r="C203" s="45"/>
      <c r="D203" s="46"/>
      <c r="E203" s="47"/>
      <c r="F203" s="45"/>
      <c r="G203" s="45"/>
      <c r="H203" s="48"/>
      <c r="I203" s="45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 ht="22.5" customHeight="1">
      <c r="A204" s="44"/>
      <c r="B204" s="45"/>
      <c r="C204" s="45"/>
      <c r="D204" s="46"/>
      <c r="E204" s="47"/>
      <c r="F204" s="45"/>
      <c r="G204" s="45"/>
      <c r="H204" s="48"/>
      <c r="I204" s="45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 ht="22.5" customHeight="1">
      <c r="A205" s="44"/>
      <c r="B205" s="45"/>
      <c r="C205" s="45"/>
      <c r="D205" s="46"/>
      <c r="E205" s="47"/>
      <c r="F205" s="45"/>
      <c r="G205" s="45"/>
      <c r="H205" s="48"/>
      <c r="I205" s="45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 ht="22.5" customHeight="1">
      <c r="A206" s="44"/>
      <c r="B206" s="45"/>
      <c r="C206" s="45"/>
      <c r="D206" s="46"/>
      <c r="E206" s="47"/>
      <c r="F206" s="45"/>
      <c r="G206" s="45"/>
      <c r="H206" s="48"/>
      <c r="I206" s="45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 ht="22.5" customHeight="1">
      <c r="A207" s="44"/>
      <c r="B207" s="45"/>
      <c r="C207" s="45"/>
      <c r="D207" s="46"/>
      <c r="E207" s="47"/>
      <c r="F207" s="45"/>
      <c r="G207" s="45"/>
      <c r="H207" s="48"/>
      <c r="I207" s="45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</row>
    <row r="208" ht="22.5" customHeight="1">
      <c r="A208" s="44"/>
      <c r="B208" s="45"/>
      <c r="C208" s="45"/>
      <c r="D208" s="46"/>
      <c r="E208" s="47"/>
      <c r="F208" s="45"/>
      <c r="G208" s="45"/>
      <c r="H208" s="48"/>
      <c r="I208" s="45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</row>
    <row r="209" ht="22.5" customHeight="1">
      <c r="A209" s="44"/>
      <c r="B209" s="45"/>
      <c r="C209" s="45"/>
      <c r="D209" s="46"/>
      <c r="E209" s="47"/>
      <c r="F209" s="45"/>
      <c r="G209" s="45"/>
      <c r="H209" s="48"/>
      <c r="I209" s="45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 ht="22.5" customHeight="1">
      <c r="A210" s="44"/>
      <c r="B210" s="45"/>
      <c r="C210" s="45"/>
      <c r="D210" s="46"/>
      <c r="E210" s="47"/>
      <c r="F210" s="45"/>
      <c r="G210" s="45"/>
      <c r="H210" s="48"/>
      <c r="I210" s="45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 ht="22.5" customHeight="1">
      <c r="A211" s="44"/>
      <c r="B211" s="45"/>
      <c r="C211" s="45"/>
      <c r="D211" s="46"/>
      <c r="E211" s="47"/>
      <c r="F211" s="45"/>
      <c r="G211" s="45"/>
      <c r="H211" s="48"/>
      <c r="I211" s="45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 ht="22.5" customHeight="1">
      <c r="A212" s="44"/>
      <c r="B212" s="45"/>
      <c r="C212" s="45"/>
      <c r="D212" s="46"/>
      <c r="E212" s="47"/>
      <c r="F212" s="45"/>
      <c r="G212" s="45"/>
      <c r="H212" s="48"/>
      <c r="I212" s="45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 ht="22.5" customHeight="1">
      <c r="A213" s="44"/>
      <c r="B213" s="45"/>
      <c r="C213" s="45"/>
      <c r="D213" s="46"/>
      <c r="E213" s="47"/>
      <c r="F213" s="45"/>
      <c r="G213" s="45"/>
      <c r="H213" s="48"/>
      <c r="I213" s="45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 ht="22.5" customHeight="1">
      <c r="A214" s="44"/>
      <c r="B214" s="45"/>
      <c r="C214" s="45"/>
      <c r="D214" s="46"/>
      <c r="E214" s="47"/>
      <c r="F214" s="45"/>
      <c r="G214" s="45"/>
      <c r="H214" s="48"/>
      <c r="I214" s="45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 ht="22.5" customHeight="1">
      <c r="A215" s="44"/>
      <c r="B215" s="45"/>
      <c r="C215" s="45"/>
      <c r="D215" s="46"/>
      <c r="E215" s="47"/>
      <c r="F215" s="45"/>
      <c r="G215" s="45"/>
      <c r="H215" s="48"/>
      <c r="I215" s="45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 ht="22.5" customHeight="1">
      <c r="A216" s="44"/>
      <c r="B216" s="45"/>
      <c r="C216" s="45"/>
      <c r="D216" s="46"/>
      <c r="E216" s="47"/>
      <c r="F216" s="45"/>
      <c r="G216" s="45"/>
      <c r="H216" s="48"/>
      <c r="I216" s="45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</row>
    <row r="217" ht="22.5" customHeight="1">
      <c r="A217" s="44"/>
      <c r="B217" s="45"/>
      <c r="C217" s="45"/>
      <c r="D217" s="46"/>
      <c r="E217" s="47"/>
      <c r="F217" s="45"/>
      <c r="G217" s="45"/>
      <c r="H217" s="48"/>
      <c r="I217" s="45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</row>
    <row r="218" ht="22.5" customHeight="1">
      <c r="A218" s="44"/>
      <c r="B218" s="45"/>
      <c r="C218" s="45"/>
      <c r="D218" s="46"/>
      <c r="E218" s="47"/>
      <c r="F218" s="45"/>
      <c r="G218" s="45"/>
      <c r="H218" s="48"/>
      <c r="I218" s="45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</row>
    <row r="219" ht="22.5" customHeight="1">
      <c r="A219" s="44"/>
      <c r="B219" s="45"/>
      <c r="C219" s="45"/>
      <c r="D219" s="46"/>
      <c r="E219" s="47"/>
      <c r="F219" s="45"/>
      <c r="G219" s="45"/>
      <c r="H219" s="48"/>
      <c r="I219" s="45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</row>
    <row r="220" ht="22.5" customHeight="1">
      <c r="A220" s="44"/>
      <c r="B220" s="45"/>
      <c r="C220" s="45"/>
      <c r="D220" s="46"/>
      <c r="E220" s="47"/>
      <c r="F220" s="45"/>
      <c r="G220" s="45"/>
      <c r="H220" s="48"/>
      <c r="I220" s="45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</row>
    <row r="221" ht="22.5" customHeight="1">
      <c r="A221" s="44"/>
      <c r="B221" s="45"/>
      <c r="C221" s="45"/>
      <c r="D221" s="46"/>
      <c r="E221" s="47"/>
      <c r="F221" s="45"/>
      <c r="G221" s="45"/>
      <c r="H221" s="48"/>
      <c r="I221" s="45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</row>
    <row r="222" ht="22.5" customHeight="1">
      <c r="A222" s="44"/>
      <c r="B222" s="45"/>
      <c r="C222" s="45"/>
      <c r="D222" s="46"/>
      <c r="E222" s="47"/>
      <c r="F222" s="45"/>
      <c r="G222" s="45"/>
      <c r="H222" s="48"/>
      <c r="I222" s="45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</row>
    <row r="223" ht="22.5" customHeight="1">
      <c r="A223" s="44"/>
      <c r="B223" s="45"/>
      <c r="C223" s="45"/>
      <c r="D223" s="46"/>
      <c r="E223" s="47"/>
      <c r="F223" s="45"/>
      <c r="G223" s="45"/>
      <c r="H223" s="48"/>
      <c r="I223" s="45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</row>
    <row r="224" ht="22.5" customHeight="1">
      <c r="A224" s="44"/>
      <c r="B224" s="45"/>
      <c r="C224" s="45"/>
      <c r="D224" s="46"/>
      <c r="E224" s="47"/>
      <c r="F224" s="45"/>
      <c r="G224" s="45"/>
      <c r="H224" s="48"/>
      <c r="I224" s="45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</row>
    <row r="225" ht="22.5" customHeight="1">
      <c r="A225" s="44"/>
      <c r="B225" s="45"/>
      <c r="C225" s="45"/>
      <c r="D225" s="46"/>
      <c r="E225" s="47"/>
      <c r="F225" s="45"/>
      <c r="G225" s="45"/>
      <c r="H225" s="48"/>
      <c r="I225" s="45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</row>
    <row r="226" ht="22.5" customHeight="1">
      <c r="A226" s="44"/>
      <c r="B226" s="45"/>
      <c r="C226" s="45"/>
      <c r="D226" s="46"/>
      <c r="E226" s="47"/>
      <c r="F226" s="45"/>
      <c r="G226" s="45"/>
      <c r="H226" s="48"/>
      <c r="I226" s="45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</row>
    <row r="227" ht="22.5" customHeight="1">
      <c r="A227" s="44"/>
      <c r="B227" s="45"/>
      <c r="C227" s="45"/>
      <c r="D227" s="46"/>
      <c r="E227" s="47"/>
      <c r="F227" s="45"/>
      <c r="G227" s="45"/>
      <c r="H227" s="48"/>
      <c r="I227" s="45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</row>
    <row r="228" ht="22.5" customHeight="1">
      <c r="A228" s="44"/>
      <c r="B228" s="45"/>
      <c r="C228" s="45"/>
      <c r="D228" s="46"/>
      <c r="E228" s="47"/>
      <c r="F228" s="45"/>
      <c r="G228" s="45"/>
      <c r="H228" s="48"/>
      <c r="I228" s="45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</row>
    <row r="229" ht="22.5" customHeight="1">
      <c r="A229" s="44"/>
      <c r="B229" s="45"/>
      <c r="C229" s="45"/>
      <c r="D229" s="46"/>
      <c r="E229" s="47"/>
      <c r="F229" s="45"/>
      <c r="G229" s="45"/>
      <c r="H229" s="48"/>
      <c r="I229" s="45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</row>
    <row r="230" ht="22.5" customHeight="1">
      <c r="A230" s="44"/>
      <c r="B230" s="45"/>
      <c r="C230" s="45"/>
      <c r="D230" s="46"/>
      <c r="E230" s="47"/>
      <c r="F230" s="45"/>
      <c r="G230" s="45"/>
      <c r="H230" s="48"/>
      <c r="I230" s="45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</row>
    <row r="231" ht="22.5" customHeight="1">
      <c r="A231" s="44"/>
      <c r="B231" s="45"/>
      <c r="C231" s="45"/>
      <c r="D231" s="46"/>
      <c r="E231" s="47"/>
      <c r="F231" s="45"/>
      <c r="G231" s="45"/>
      <c r="H231" s="48"/>
      <c r="I231" s="45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</row>
    <row r="232" ht="22.5" customHeight="1">
      <c r="A232" s="44"/>
      <c r="B232" s="45"/>
      <c r="C232" s="45"/>
      <c r="D232" s="46"/>
      <c r="E232" s="47"/>
      <c r="F232" s="45"/>
      <c r="G232" s="45"/>
      <c r="H232" s="48"/>
      <c r="I232" s="45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</row>
    <row r="233" ht="22.5" customHeight="1">
      <c r="A233" s="44"/>
      <c r="B233" s="45"/>
      <c r="C233" s="45"/>
      <c r="D233" s="46"/>
      <c r="E233" s="47"/>
      <c r="F233" s="45"/>
      <c r="G233" s="45"/>
      <c r="H233" s="48"/>
      <c r="I233" s="45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</row>
    <row r="234" ht="22.5" customHeight="1">
      <c r="A234" s="44"/>
      <c r="B234" s="45"/>
      <c r="C234" s="45"/>
      <c r="D234" s="46"/>
      <c r="E234" s="47"/>
      <c r="F234" s="45"/>
      <c r="G234" s="45"/>
      <c r="H234" s="48"/>
      <c r="I234" s="45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</row>
    <row r="235" ht="22.5" customHeight="1">
      <c r="A235" s="44"/>
      <c r="B235" s="45"/>
      <c r="C235" s="45"/>
      <c r="D235" s="46"/>
      <c r="E235" s="47"/>
      <c r="F235" s="45"/>
      <c r="G235" s="45"/>
      <c r="H235" s="48"/>
      <c r="I235" s="45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</row>
    <row r="236" ht="22.5" customHeight="1">
      <c r="A236" s="44"/>
      <c r="B236" s="45"/>
      <c r="C236" s="45"/>
      <c r="D236" s="46"/>
      <c r="E236" s="47"/>
      <c r="F236" s="45"/>
      <c r="G236" s="45"/>
      <c r="H236" s="48"/>
      <c r="I236" s="45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</row>
    <row r="237" ht="22.5" customHeight="1">
      <c r="A237" s="44"/>
      <c r="B237" s="45"/>
      <c r="C237" s="45"/>
      <c r="D237" s="46"/>
      <c r="E237" s="47"/>
      <c r="F237" s="45"/>
      <c r="G237" s="45"/>
      <c r="H237" s="48"/>
      <c r="I237" s="45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</row>
    <row r="238" ht="22.5" customHeight="1">
      <c r="A238" s="44"/>
      <c r="B238" s="45"/>
      <c r="C238" s="45"/>
      <c r="D238" s="46"/>
      <c r="E238" s="47"/>
      <c r="F238" s="45"/>
      <c r="G238" s="45"/>
      <c r="H238" s="48"/>
      <c r="I238" s="45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</row>
    <row r="239" ht="22.5" customHeight="1">
      <c r="A239" s="44"/>
      <c r="B239" s="45"/>
      <c r="C239" s="45"/>
      <c r="D239" s="46"/>
      <c r="E239" s="47"/>
      <c r="F239" s="45"/>
      <c r="G239" s="45"/>
      <c r="H239" s="48"/>
      <c r="I239" s="45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</row>
    <row r="240" ht="22.5" customHeight="1">
      <c r="A240" s="44"/>
      <c r="B240" s="45"/>
      <c r="C240" s="45"/>
      <c r="D240" s="46"/>
      <c r="E240" s="47"/>
      <c r="F240" s="45"/>
      <c r="G240" s="45"/>
      <c r="H240" s="48"/>
      <c r="I240" s="45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</row>
    <row r="241" ht="22.5" customHeight="1">
      <c r="A241" s="44"/>
      <c r="B241" s="45"/>
      <c r="C241" s="45"/>
      <c r="D241" s="46"/>
      <c r="E241" s="47"/>
      <c r="F241" s="45"/>
      <c r="G241" s="45"/>
      <c r="H241" s="48"/>
      <c r="I241" s="45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 ht="22.5" customHeight="1">
      <c r="A242" s="44"/>
      <c r="B242" s="45"/>
      <c r="C242" s="45"/>
      <c r="D242" s="46"/>
      <c r="E242" s="47"/>
      <c r="F242" s="45"/>
      <c r="G242" s="45"/>
      <c r="H242" s="48"/>
      <c r="I242" s="45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 ht="22.5" customHeight="1">
      <c r="A243" s="44"/>
      <c r="B243" s="45"/>
      <c r="C243" s="45"/>
      <c r="D243" s="46"/>
      <c r="E243" s="47"/>
      <c r="F243" s="45"/>
      <c r="G243" s="45"/>
      <c r="H243" s="48"/>
      <c r="I243" s="45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 ht="22.5" customHeight="1">
      <c r="A244" s="44"/>
      <c r="B244" s="45"/>
      <c r="C244" s="45"/>
      <c r="D244" s="46"/>
      <c r="E244" s="47"/>
      <c r="F244" s="45"/>
      <c r="G244" s="45"/>
      <c r="H244" s="48"/>
      <c r="I244" s="45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 ht="22.5" customHeight="1">
      <c r="A245" s="44"/>
      <c r="B245" s="45"/>
      <c r="C245" s="45"/>
      <c r="D245" s="46"/>
      <c r="E245" s="47"/>
      <c r="F245" s="45"/>
      <c r="G245" s="45"/>
      <c r="H245" s="48"/>
      <c r="I245" s="45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 ht="22.5" customHeight="1">
      <c r="A246" s="44"/>
      <c r="B246" s="45"/>
      <c r="C246" s="45"/>
      <c r="D246" s="46"/>
      <c r="E246" s="47"/>
      <c r="F246" s="45"/>
      <c r="G246" s="45"/>
      <c r="H246" s="48"/>
      <c r="I246" s="45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 ht="22.5" customHeight="1">
      <c r="A247" s="44"/>
      <c r="B247" s="45"/>
      <c r="C247" s="45"/>
      <c r="D247" s="46"/>
      <c r="E247" s="47"/>
      <c r="F247" s="45"/>
      <c r="G247" s="45"/>
      <c r="H247" s="48"/>
      <c r="I247" s="45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 ht="22.5" customHeight="1">
      <c r="A248" s="44"/>
      <c r="B248" s="45"/>
      <c r="C248" s="45"/>
      <c r="D248" s="46"/>
      <c r="E248" s="47"/>
      <c r="F248" s="45"/>
      <c r="G248" s="45"/>
      <c r="H248" s="48"/>
      <c r="I248" s="45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 ht="22.5" customHeight="1">
      <c r="A249" s="44"/>
      <c r="B249" s="45"/>
      <c r="C249" s="45"/>
      <c r="D249" s="46"/>
      <c r="E249" s="47"/>
      <c r="F249" s="45"/>
      <c r="G249" s="45"/>
      <c r="H249" s="48"/>
      <c r="I249" s="45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 ht="22.5" customHeight="1">
      <c r="A250" s="44"/>
      <c r="B250" s="45"/>
      <c r="C250" s="45"/>
      <c r="D250" s="46"/>
      <c r="E250" s="47"/>
      <c r="F250" s="45"/>
      <c r="G250" s="45"/>
      <c r="H250" s="48"/>
      <c r="I250" s="45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</row>
    <row r="251" ht="22.5" customHeight="1">
      <c r="A251" s="44"/>
      <c r="B251" s="45"/>
      <c r="C251" s="45"/>
      <c r="D251" s="46"/>
      <c r="E251" s="47"/>
      <c r="F251" s="45"/>
      <c r="G251" s="45"/>
      <c r="H251" s="48"/>
      <c r="I251" s="45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</row>
    <row r="252" ht="22.5" customHeight="1">
      <c r="A252" s="44"/>
      <c r="B252" s="45"/>
      <c r="C252" s="45"/>
      <c r="D252" s="46"/>
      <c r="E252" s="47"/>
      <c r="F252" s="45"/>
      <c r="G252" s="45"/>
      <c r="H252" s="48"/>
      <c r="I252" s="45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</row>
    <row r="253" ht="22.5" customHeight="1">
      <c r="A253" s="44"/>
      <c r="B253" s="45"/>
      <c r="C253" s="45"/>
      <c r="D253" s="46"/>
      <c r="E253" s="47"/>
      <c r="F253" s="45"/>
      <c r="G253" s="45"/>
      <c r="H253" s="48"/>
      <c r="I253" s="45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</row>
    <row r="254" ht="22.5" customHeight="1">
      <c r="A254" s="44"/>
      <c r="B254" s="45"/>
      <c r="C254" s="45"/>
      <c r="D254" s="46"/>
      <c r="E254" s="47"/>
      <c r="F254" s="45"/>
      <c r="G254" s="45"/>
      <c r="H254" s="48"/>
      <c r="I254" s="45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</row>
    <row r="255" ht="22.5" customHeight="1">
      <c r="A255" s="44"/>
      <c r="B255" s="45"/>
      <c r="C255" s="45"/>
      <c r="D255" s="46"/>
      <c r="E255" s="47"/>
      <c r="F255" s="45"/>
      <c r="G255" s="45"/>
      <c r="H255" s="48"/>
      <c r="I255" s="45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</row>
    <row r="256" ht="22.5" customHeight="1">
      <c r="A256" s="44"/>
      <c r="B256" s="45"/>
      <c r="C256" s="45"/>
      <c r="D256" s="46"/>
      <c r="E256" s="47"/>
      <c r="F256" s="45"/>
      <c r="G256" s="45"/>
      <c r="H256" s="48"/>
      <c r="I256" s="45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</row>
    <row r="257" ht="22.5" customHeight="1">
      <c r="A257" s="44"/>
      <c r="B257" s="45"/>
      <c r="C257" s="45"/>
      <c r="D257" s="46"/>
      <c r="E257" s="47"/>
      <c r="F257" s="45"/>
      <c r="G257" s="45"/>
      <c r="H257" s="48"/>
      <c r="I257" s="45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</row>
    <row r="258" ht="22.5" customHeight="1">
      <c r="A258" s="44"/>
      <c r="B258" s="45"/>
      <c r="C258" s="45"/>
      <c r="D258" s="46"/>
      <c r="E258" s="47"/>
      <c r="F258" s="45"/>
      <c r="G258" s="45"/>
      <c r="H258" s="48"/>
      <c r="I258" s="45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</row>
    <row r="259" ht="22.5" customHeight="1">
      <c r="A259" s="44"/>
      <c r="B259" s="45"/>
      <c r="C259" s="45"/>
      <c r="D259" s="46"/>
      <c r="E259" s="47"/>
      <c r="F259" s="45"/>
      <c r="G259" s="45"/>
      <c r="H259" s="48"/>
      <c r="I259" s="45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</row>
    <row r="260" ht="22.5" customHeight="1">
      <c r="A260" s="44"/>
      <c r="B260" s="45"/>
      <c r="C260" s="45"/>
      <c r="D260" s="46"/>
      <c r="E260" s="47"/>
      <c r="F260" s="45"/>
      <c r="G260" s="45"/>
      <c r="H260" s="48"/>
      <c r="I260" s="45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</row>
    <row r="261" ht="22.5" customHeight="1">
      <c r="A261" s="44"/>
      <c r="B261" s="45"/>
      <c r="C261" s="45"/>
      <c r="D261" s="46"/>
      <c r="E261" s="47"/>
      <c r="F261" s="45"/>
      <c r="G261" s="45"/>
      <c r="H261" s="48"/>
      <c r="I261" s="45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</row>
    <row r="262" ht="22.5" customHeight="1">
      <c r="A262" s="44"/>
      <c r="B262" s="45"/>
      <c r="C262" s="45"/>
      <c r="D262" s="46"/>
      <c r="E262" s="47"/>
      <c r="F262" s="45"/>
      <c r="G262" s="45"/>
      <c r="H262" s="48"/>
      <c r="I262" s="45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</row>
    <row r="263" ht="22.5" customHeight="1">
      <c r="A263" s="44"/>
      <c r="B263" s="45"/>
      <c r="C263" s="45"/>
      <c r="D263" s="46"/>
      <c r="E263" s="47"/>
      <c r="F263" s="45"/>
      <c r="G263" s="45"/>
      <c r="H263" s="48"/>
      <c r="I263" s="45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</row>
    <row r="264" ht="22.5" customHeight="1">
      <c r="A264" s="44"/>
      <c r="B264" s="45"/>
      <c r="C264" s="45"/>
      <c r="D264" s="46"/>
      <c r="E264" s="47"/>
      <c r="F264" s="45"/>
      <c r="G264" s="45"/>
      <c r="H264" s="48"/>
      <c r="I264" s="45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</row>
    <row r="265" ht="22.5" customHeight="1">
      <c r="A265" s="44"/>
      <c r="B265" s="45"/>
      <c r="C265" s="45"/>
      <c r="D265" s="46"/>
      <c r="E265" s="47"/>
      <c r="F265" s="45"/>
      <c r="G265" s="45"/>
      <c r="H265" s="48"/>
      <c r="I265" s="45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</row>
    <row r="266" ht="22.5" customHeight="1">
      <c r="A266" s="44"/>
      <c r="B266" s="45"/>
      <c r="C266" s="45"/>
      <c r="D266" s="46"/>
      <c r="E266" s="47"/>
      <c r="F266" s="45"/>
      <c r="G266" s="45"/>
      <c r="H266" s="48"/>
      <c r="I266" s="45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</row>
    <row r="267" ht="22.5" customHeight="1">
      <c r="A267" s="44"/>
      <c r="B267" s="45"/>
      <c r="C267" s="45"/>
      <c r="D267" s="46"/>
      <c r="E267" s="47"/>
      <c r="F267" s="45"/>
      <c r="G267" s="45"/>
      <c r="H267" s="48"/>
      <c r="I267" s="45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</row>
    <row r="268" ht="22.5" customHeight="1">
      <c r="A268" s="44"/>
      <c r="B268" s="45"/>
      <c r="C268" s="45"/>
      <c r="D268" s="46"/>
      <c r="E268" s="47"/>
      <c r="F268" s="45"/>
      <c r="G268" s="45"/>
      <c r="H268" s="48"/>
      <c r="I268" s="45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</row>
    <row r="269" ht="22.5" customHeight="1">
      <c r="A269" s="44"/>
      <c r="B269" s="45"/>
      <c r="C269" s="45"/>
      <c r="D269" s="46"/>
      <c r="E269" s="47"/>
      <c r="F269" s="45"/>
      <c r="G269" s="45"/>
      <c r="H269" s="48"/>
      <c r="I269" s="45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</row>
    <row r="270" ht="22.5" customHeight="1">
      <c r="A270" s="44"/>
      <c r="B270" s="45"/>
      <c r="C270" s="45"/>
      <c r="D270" s="46"/>
      <c r="E270" s="47"/>
      <c r="F270" s="45"/>
      <c r="G270" s="45"/>
      <c r="H270" s="48"/>
      <c r="I270" s="45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</row>
    <row r="271" ht="22.5" customHeight="1">
      <c r="A271" s="44"/>
      <c r="B271" s="45"/>
      <c r="C271" s="45"/>
      <c r="D271" s="46"/>
      <c r="E271" s="47"/>
      <c r="F271" s="45"/>
      <c r="G271" s="45"/>
      <c r="H271" s="48"/>
      <c r="I271" s="45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</row>
    <row r="272" ht="22.5" customHeight="1">
      <c r="A272" s="44"/>
      <c r="B272" s="45"/>
      <c r="C272" s="45"/>
      <c r="D272" s="46"/>
      <c r="E272" s="47"/>
      <c r="F272" s="45"/>
      <c r="G272" s="45"/>
      <c r="H272" s="48"/>
      <c r="I272" s="45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</row>
    <row r="273" ht="22.5" customHeight="1">
      <c r="A273" s="44"/>
      <c r="B273" s="45"/>
      <c r="C273" s="45"/>
      <c r="D273" s="46"/>
      <c r="E273" s="47"/>
      <c r="F273" s="45"/>
      <c r="G273" s="45"/>
      <c r="H273" s="48"/>
      <c r="I273" s="45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</row>
    <row r="274" ht="22.5" customHeight="1">
      <c r="A274" s="44"/>
      <c r="B274" s="45"/>
      <c r="C274" s="45"/>
      <c r="D274" s="46"/>
      <c r="E274" s="47"/>
      <c r="F274" s="45"/>
      <c r="G274" s="45"/>
      <c r="H274" s="48"/>
      <c r="I274" s="45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</row>
    <row r="275" ht="22.5" customHeight="1">
      <c r="A275" s="44"/>
      <c r="B275" s="45"/>
      <c r="C275" s="45"/>
      <c r="D275" s="46"/>
      <c r="E275" s="47"/>
      <c r="F275" s="45"/>
      <c r="G275" s="45"/>
      <c r="H275" s="48"/>
      <c r="I275" s="45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</row>
    <row r="276" ht="22.5" customHeight="1">
      <c r="A276" s="44"/>
      <c r="B276" s="45"/>
      <c r="C276" s="45"/>
      <c r="D276" s="46"/>
      <c r="E276" s="47"/>
      <c r="F276" s="45"/>
      <c r="G276" s="45"/>
      <c r="H276" s="48"/>
      <c r="I276" s="45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</row>
    <row r="277" ht="22.5" customHeight="1">
      <c r="A277" s="44"/>
      <c r="B277" s="45"/>
      <c r="C277" s="45"/>
      <c r="D277" s="46"/>
      <c r="E277" s="47"/>
      <c r="F277" s="45"/>
      <c r="G277" s="45"/>
      <c r="H277" s="48"/>
      <c r="I277" s="45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</row>
    <row r="278" ht="22.5" customHeight="1">
      <c r="A278" s="44"/>
      <c r="B278" s="45"/>
      <c r="C278" s="45"/>
      <c r="D278" s="46"/>
      <c r="E278" s="47"/>
      <c r="F278" s="45"/>
      <c r="G278" s="45"/>
      <c r="H278" s="48"/>
      <c r="I278" s="45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</row>
    <row r="279" ht="22.5" customHeight="1">
      <c r="A279" s="44"/>
      <c r="B279" s="45"/>
      <c r="C279" s="45"/>
      <c r="D279" s="46"/>
      <c r="E279" s="47"/>
      <c r="F279" s="45"/>
      <c r="G279" s="45"/>
      <c r="H279" s="48"/>
      <c r="I279" s="45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</row>
    <row r="280" ht="22.5" customHeight="1">
      <c r="A280" s="44"/>
      <c r="B280" s="45"/>
      <c r="C280" s="45"/>
      <c r="D280" s="46"/>
      <c r="E280" s="47"/>
      <c r="F280" s="45"/>
      <c r="G280" s="45"/>
      <c r="H280" s="48"/>
      <c r="I280" s="45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</row>
    <row r="281" ht="22.5" customHeight="1">
      <c r="A281" s="44"/>
      <c r="B281" s="45"/>
      <c r="C281" s="45"/>
      <c r="D281" s="46"/>
      <c r="E281" s="47"/>
      <c r="F281" s="45"/>
      <c r="G281" s="45"/>
      <c r="H281" s="48"/>
      <c r="I281" s="45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</row>
    <row r="282" ht="22.5" customHeight="1">
      <c r="A282" s="44"/>
      <c r="B282" s="45"/>
      <c r="C282" s="45"/>
      <c r="D282" s="46"/>
      <c r="E282" s="47"/>
      <c r="F282" s="45"/>
      <c r="G282" s="45"/>
      <c r="H282" s="48"/>
      <c r="I282" s="45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</row>
    <row r="283" ht="22.5" customHeight="1">
      <c r="A283" s="44"/>
      <c r="B283" s="45"/>
      <c r="C283" s="45"/>
      <c r="D283" s="46"/>
      <c r="E283" s="47"/>
      <c r="F283" s="45"/>
      <c r="G283" s="45"/>
      <c r="H283" s="48"/>
      <c r="I283" s="45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</row>
    <row r="284" ht="22.5" customHeight="1">
      <c r="A284" s="44"/>
      <c r="B284" s="45"/>
      <c r="C284" s="45"/>
      <c r="D284" s="46"/>
      <c r="E284" s="47"/>
      <c r="F284" s="45"/>
      <c r="G284" s="45"/>
      <c r="H284" s="48"/>
      <c r="I284" s="45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</row>
    <row r="285" ht="22.5" customHeight="1">
      <c r="A285" s="44"/>
      <c r="B285" s="45"/>
      <c r="C285" s="45"/>
      <c r="D285" s="46"/>
      <c r="E285" s="47"/>
      <c r="F285" s="45"/>
      <c r="G285" s="45"/>
      <c r="H285" s="48"/>
      <c r="I285" s="45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</row>
    <row r="286" ht="22.5" customHeight="1">
      <c r="A286" s="44"/>
      <c r="B286" s="45"/>
      <c r="C286" s="45"/>
      <c r="D286" s="46"/>
      <c r="E286" s="47"/>
      <c r="F286" s="45"/>
      <c r="G286" s="45"/>
      <c r="H286" s="48"/>
      <c r="I286" s="45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</row>
    <row r="287" ht="22.5" customHeight="1">
      <c r="A287" s="44"/>
      <c r="B287" s="45"/>
      <c r="C287" s="45"/>
      <c r="D287" s="46"/>
      <c r="E287" s="47"/>
      <c r="F287" s="45"/>
      <c r="G287" s="45"/>
      <c r="H287" s="48"/>
      <c r="I287" s="45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</row>
    <row r="288" ht="22.5" customHeight="1">
      <c r="A288" s="44"/>
      <c r="B288" s="45"/>
      <c r="C288" s="45"/>
      <c r="D288" s="46"/>
      <c r="E288" s="47"/>
      <c r="F288" s="45"/>
      <c r="G288" s="45"/>
      <c r="H288" s="48"/>
      <c r="I288" s="45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</row>
    <row r="289" ht="22.5" customHeight="1">
      <c r="A289" s="44"/>
      <c r="B289" s="45"/>
      <c r="C289" s="45"/>
      <c r="D289" s="46"/>
      <c r="E289" s="47"/>
      <c r="F289" s="45"/>
      <c r="G289" s="45"/>
      <c r="H289" s="48"/>
      <c r="I289" s="45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</row>
    <row r="290" ht="22.5" customHeight="1">
      <c r="A290" s="44"/>
      <c r="B290" s="45"/>
      <c r="C290" s="45"/>
      <c r="D290" s="46"/>
      <c r="E290" s="47"/>
      <c r="F290" s="45"/>
      <c r="G290" s="45"/>
      <c r="H290" s="48"/>
      <c r="I290" s="45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</row>
    <row r="291" ht="22.5" customHeight="1">
      <c r="A291" s="44"/>
      <c r="B291" s="45"/>
      <c r="C291" s="45"/>
      <c r="D291" s="46"/>
      <c r="E291" s="47"/>
      <c r="F291" s="45"/>
      <c r="G291" s="45"/>
      <c r="H291" s="48"/>
      <c r="I291" s="45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</row>
    <row r="292" ht="22.5" customHeight="1">
      <c r="A292" s="44"/>
      <c r="B292" s="45"/>
      <c r="C292" s="45"/>
      <c r="D292" s="46"/>
      <c r="E292" s="47"/>
      <c r="F292" s="45"/>
      <c r="G292" s="45"/>
      <c r="H292" s="48"/>
      <c r="I292" s="45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</row>
    <row r="293" ht="22.5" customHeight="1">
      <c r="A293" s="44"/>
      <c r="B293" s="45"/>
      <c r="C293" s="45"/>
      <c r="D293" s="46"/>
      <c r="E293" s="47"/>
      <c r="F293" s="45"/>
      <c r="G293" s="45"/>
      <c r="H293" s="48"/>
      <c r="I293" s="45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</row>
    <row r="294" ht="22.5" customHeight="1">
      <c r="A294" s="44"/>
      <c r="B294" s="45"/>
      <c r="C294" s="45"/>
      <c r="D294" s="46"/>
      <c r="E294" s="47"/>
      <c r="F294" s="45"/>
      <c r="G294" s="45"/>
      <c r="H294" s="48"/>
      <c r="I294" s="45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</row>
    <row r="295" ht="22.5" customHeight="1">
      <c r="A295" s="44"/>
      <c r="B295" s="45"/>
      <c r="C295" s="45"/>
      <c r="D295" s="46"/>
      <c r="E295" s="47"/>
      <c r="F295" s="45"/>
      <c r="G295" s="45"/>
      <c r="H295" s="48"/>
      <c r="I295" s="45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</row>
    <row r="296" ht="22.5" customHeight="1">
      <c r="A296" s="44"/>
      <c r="B296" s="45"/>
      <c r="C296" s="45"/>
      <c r="D296" s="46"/>
      <c r="E296" s="47"/>
      <c r="F296" s="45"/>
      <c r="G296" s="45"/>
      <c r="H296" s="48"/>
      <c r="I296" s="45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</row>
    <row r="297" ht="22.5" customHeight="1">
      <c r="A297" s="44"/>
      <c r="B297" s="45"/>
      <c r="C297" s="45"/>
      <c r="D297" s="46"/>
      <c r="E297" s="47"/>
      <c r="F297" s="45"/>
      <c r="G297" s="45"/>
      <c r="H297" s="48"/>
      <c r="I297" s="45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</row>
    <row r="298" ht="22.5" customHeight="1">
      <c r="A298" s="44"/>
      <c r="B298" s="45"/>
      <c r="C298" s="45"/>
      <c r="D298" s="46"/>
      <c r="E298" s="47"/>
      <c r="F298" s="45"/>
      <c r="G298" s="45"/>
      <c r="H298" s="48"/>
      <c r="I298" s="45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</row>
    <row r="299" ht="22.5" customHeight="1">
      <c r="A299" s="44"/>
      <c r="B299" s="45"/>
      <c r="C299" s="45"/>
      <c r="D299" s="46"/>
      <c r="E299" s="47"/>
      <c r="F299" s="45"/>
      <c r="G299" s="45"/>
      <c r="H299" s="48"/>
      <c r="I299" s="45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</row>
    <row r="300" ht="22.5" customHeight="1">
      <c r="A300" s="44"/>
      <c r="B300" s="45"/>
      <c r="C300" s="45"/>
      <c r="D300" s="46"/>
      <c r="E300" s="47"/>
      <c r="F300" s="45"/>
      <c r="G300" s="45"/>
      <c r="H300" s="48"/>
      <c r="I300" s="45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</row>
    <row r="301" ht="22.5" customHeight="1">
      <c r="A301" s="44"/>
      <c r="B301" s="45"/>
      <c r="C301" s="45"/>
      <c r="D301" s="46"/>
      <c r="E301" s="47"/>
      <c r="F301" s="45"/>
      <c r="G301" s="45"/>
      <c r="H301" s="48"/>
      <c r="I301" s="45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</row>
    <row r="302" ht="22.5" customHeight="1">
      <c r="A302" s="44"/>
      <c r="B302" s="45"/>
      <c r="C302" s="45"/>
      <c r="D302" s="46"/>
      <c r="E302" s="47"/>
      <c r="F302" s="45"/>
      <c r="G302" s="45"/>
      <c r="H302" s="48"/>
      <c r="I302" s="45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</row>
    <row r="303" ht="22.5" customHeight="1">
      <c r="A303" s="44"/>
      <c r="B303" s="45"/>
      <c r="C303" s="45"/>
      <c r="D303" s="46"/>
      <c r="E303" s="47"/>
      <c r="F303" s="45"/>
      <c r="G303" s="45"/>
      <c r="H303" s="48"/>
      <c r="I303" s="45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</row>
    <row r="304" ht="22.5" customHeight="1">
      <c r="A304" s="44"/>
      <c r="B304" s="45"/>
      <c r="C304" s="45"/>
      <c r="D304" s="46"/>
      <c r="E304" s="47"/>
      <c r="F304" s="45"/>
      <c r="G304" s="45"/>
      <c r="H304" s="48"/>
      <c r="I304" s="45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</row>
    <row r="305" ht="22.5" customHeight="1">
      <c r="A305" s="44"/>
      <c r="B305" s="45"/>
      <c r="C305" s="45"/>
      <c r="D305" s="46"/>
      <c r="E305" s="47"/>
      <c r="F305" s="45"/>
      <c r="G305" s="45"/>
      <c r="H305" s="48"/>
      <c r="I305" s="45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</row>
    <row r="306" ht="22.5" customHeight="1">
      <c r="A306" s="44"/>
      <c r="B306" s="45"/>
      <c r="C306" s="45"/>
      <c r="D306" s="46"/>
      <c r="E306" s="47"/>
      <c r="F306" s="45"/>
      <c r="G306" s="45"/>
      <c r="H306" s="48"/>
      <c r="I306" s="45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</row>
    <row r="307" ht="22.5" customHeight="1">
      <c r="A307" s="44"/>
      <c r="B307" s="45"/>
      <c r="C307" s="45"/>
      <c r="D307" s="46"/>
      <c r="E307" s="47"/>
      <c r="F307" s="45"/>
      <c r="G307" s="45"/>
      <c r="H307" s="48"/>
      <c r="I307" s="45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</row>
    <row r="308" ht="22.5" customHeight="1">
      <c r="A308" s="44"/>
      <c r="B308" s="45"/>
      <c r="C308" s="45"/>
      <c r="D308" s="46"/>
      <c r="E308" s="47"/>
      <c r="F308" s="45"/>
      <c r="G308" s="45"/>
      <c r="H308" s="48"/>
      <c r="I308" s="45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</row>
    <row r="309" ht="22.5" customHeight="1">
      <c r="A309" s="44"/>
      <c r="B309" s="45"/>
      <c r="C309" s="45"/>
      <c r="D309" s="46"/>
      <c r="E309" s="47"/>
      <c r="F309" s="45"/>
      <c r="G309" s="45"/>
      <c r="H309" s="48"/>
      <c r="I309" s="45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</row>
    <row r="310" ht="22.5" customHeight="1">
      <c r="A310" s="44"/>
      <c r="B310" s="45"/>
      <c r="C310" s="45"/>
      <c r="D310" s="46"/>
      <c r="E310" s="47"/>
      <c r="F310" s="45"/>
      <c r="G310" s="45"/>
      <c r="H310" s="48"/>
      <c r="I310" s="45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</row>
    <row r="311" ht="22.5" customHeight="1">
      <c r="A311" s="44"/>
      <c r="B311" s="45"/>
      <c r="C311" s="45"/>
      <c r="D311" s="46"/>
      <c r="E311" s="47"/>
      <c r="F311" s="45"/>
      <c r="G311" s="45"/>
      <c r="H311" s="48"/>
      <c r="I311" s="45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</row>
    <row r="312" ht="22.5" customHeight="1">
      <c r="A312" s="44"/>
      <c r="B312" s="45"/>
      <c r="C312" s="45"/>
      <c r="D312" s="46"/>
      <c r="E312" s="47"/>
      <c r="F312" s="45"/>
      <c r="G312" s="45"/>
      <c r="H312" s="48"/>
      <c r="I312" s="45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</row>
    <row r="313" ht="22.5" customHeight="1">
      <c r="A313" s="44"/>
      <c r="B313" s="45"/>
      <c r="C313" s="45"/>
      <c r="D313" s="46"/>
      <c r="E313" s="47"/>
      <c r="F313" s="45"/>
      <c r="G313" s="45"/>
      <c r="H313" s="48"/>
      <c r="I313" s="45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</row>
    <row r="314" ht="22.5" customHeight="1">
      <c r="A314" s="44"/>
      <c r="B314" s="45"/>
      <c r="C314" s="45"/>
      <c r="D314" s="46"/>
      <c r="E314" s="47"/>
      <c r="F314" s="45"/>
      <c r="G314" s="45"/>
      <c r="H314" s="48"/>
      <c r="I314" s="45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</row>
    <row r="315" ht="22.5" customHeight="1">
      <c r="A315" s="44"/>
      <c r="B315" s="45"/>
      <c r="C315" s="45"/>
      <c r="D315" s="46"/>
      <c r="E315" s="47"/>
      <c r="F315" s="45"/>
      <c r="G315" s="45"/>
      <c r="H315" s="48"/>
      <c r="I315" s="45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</row>
    <row r="316" ht="22.5" customHeight="1">
      <c r="A316" s="44"/>
      <c r="B316" s="45"/>
      <c r="C316" s="45"/>
      <c r="D316" s="46"/>
      <c r="E316" s="47"/>
      <c r="F316" s="45"/>
      <c r="G316" s="45"/>
      <c r="H316" s="48"/>
      <c r="I316" s="45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</row>
    <row r="317" ht="22.5" customHeight="1">
      <c r="A317" s="44"/>
      <c r="B317" s="45"/>
      <c r="C317" s="45"/>
      <c r="D317" s="46"/>
      <c r="E317" s="47"/>
      <c r="F317" s="45"/>
      <c r="G317" s="45"/>
      <c r="H317" s="48"/>
      <c r="I317" s="45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</row>
    <row r="318" ht="22.5" customHeight="1">
      <c r="A318" s="44"/>
      <c r="B318" s="45"/>
      <c r="C318" s="45"/>
      <c r="D318" s="46"/>
      <c r="E318" s="47"/>
      <c r="F318" s="45"/>
      <c r="G318" s="45"/>
      <c r="H318" s="48"/>
      <c r="I318" s="45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</row>
    <row r="319" ht="22.5" customHeight="1">
      <c r="A319" s="44"/>
      <c r="B319" s="45"/>
      <c r="C319" s="45"/>
      <c r="D319" s="46"/>
      <c r="E319" s="47"/>
      <c r="F319" s="45"/>
      <c r="G319" s="45"/>
      <c r="H319" s="48"/>
      <c r="I319" s="45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</row>
    <row r="320" ht="22.5" customHeight="1">
      <c r="A320" s="44"/>
      <c r="B320" s="45"/>
      <c r="C320" s="45"/>
      <c r="D320" s="46"/>
      <c r="E320" s="47"/>
      <c r="F320" s="45"/>
      <c r="G320" s="45"/>
      <c r="H320" s="48"/>
      <c r="I320" s="45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</row>
    <row r="321" ht="22.5" customHeight="1">
      <c r="A321" s="44"/>
      <c r="B321" s="45"/>
      <c r="C321" s="45"/>
      <c r="D321" s="46"/>
      <c r="E321" s="47"/>
      <c r="F321" s="45"/>
      <c r="G321" s="45"/>
      <c r="H321" s="48"/>
      <c r="I321" s="45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</row>
    <row r="322" ht="22.5" customHeight="1">
      <c r="A322" s="44"/>
      <c r="B322" s="45"/>
      <c r="C322" s="45"/>
      <c r="D322" s="46"/>
      <c r="E322" s="47"/>
      <c r="F322" s="45"/>
      <c r="G322" s="45"/>
      <c r="H322" s="48"/>
      <c r="I322" s="45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</row>
    <row r="323" ht="22.5" customHeight="1">
      <c r="A323" s="44"/>
      <c r="B323" s="45"/>
      <c r="C323" s="45"/>
      <c r="D323" s="46"/>
      <c r="E323" s="47"/>
      <c r="F323" s="45"/>
      <c r="G323" s="45"/>
      <c r="H323" s="48"/>
      <c r="I323" s="45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</row>
    <row r="324" ht="22.5" customHeight="1">
      <c r="A324" s="44"/>
      <c r="B324" s="45"/>
      <c r="C324" s="45"/>
      <c r="D324" s="46"/>
      <c r="E324" s="47"/>
      <c r="F324" s="45"/>
      <c r="G324" s="45"/>
      <c r="H324" s="48"/>
      <c r="I324" s="45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</row>
    <row r="325" ht="22.5" customHeight="1">
      <c r="A325" s="44"/>
      <c r="B325" s="45"/>
      <c r="C325" s="45"/>
      <c r="D325" s="46"/>
      <c r="E325" s="47"/>
      <c r="F325" s="45"/>
      <c r="G325" s="45"/>
      <c r="H325" s="48"/>
      <c r="I325" s="45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</row>
    <row r="326" ht="22.5" customHeight="1">
      <c r="A326" s="44"/>
      <c r="B326" s="45"/>
      <c r="C326" s="45"/>
      <c r="D326" s="46"/>
      <c r="E326" s="47"/>
      <c r="F326" s="45"/>
      <c r="G326" s="45"/>
      <c r="H326" s="48"/>
      <c r="I326" s="45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</row>
    <row r="327" ht="22.5" customHeight="1">
      <c r="A327" s="44"/>
      <c r="B327" s="45"/>
      <c r="C327" s="45"/>
      <c r="D327" s="46"/>
      <c r="E327" s="47"/>
      <c r="F327" s="45"/>
      <c r="G327" s="45"/>
      <c r="H327" s="48"/>
      <c r="I327" s="45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</row>
    <row r="328" ht="22.5" customHeight="1">
      <c r="A328" s="44"/>
      <c r="B328" s="45"/>
      <c r="C328" s="45"/>
      <c r="D328" s="46"/>
      <c r="E328" s="47"/>
      <c r="F328" s="45"/>
      <c r="G328" s="45"/>
      <c r="H328" s="48"/>
      <c r="I328" s="45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</row>
    <row r="329" ht="22.5" customHeight="1">
      <c r="A329" s="44"/>
      <c r="B329" s="45"/>
      <c r="C329" s="45"/>
      <c r="D329" s="46"/>
      <c r="E329" s="47"/>
      <c r="F329" s="45"/>
      <c r="G329" s="45"/>
      <c r="H329" s="48"/>
      <c r="I329" s="45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</row>
    <row r="330" ht="22.5" customHeight="1">
      <c r="A330" s="44"/>
      <c r="B330" s="45"/>
      <c r="C330" s="45"/>
      <c r="D330" s="46"/>
      <c r="E330" s="47"/>
      <c r="F330" s="45"/>
      <c r="G330" s="45"/>
      <c r="H330" s="48"/>
      <c r="I330" s="45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</row>
    <row r="331" ht="22.5" customHeight="1">
      <c r="A331" s="44"/>
      <c r="B331" s="45"/>
      <c r="C331" s="45"/>
      <c r="D331" s="46"/>
      <c r="E331" s="47"/>
      <c r="F331" s="45"/>
      <c r="G331" s="45"/>
      <c r="H331" s="48"/>
      <c r="I331" s="45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</row>
    <row r="332" ht="22.5" customHeight="1">
      <c r="A332" s="44"/>
      <c r="B332" s="45"/>
      <c r="C332" s="45"/>
      <c r="D332" s="46"/>
      <c r="E332" s="47"/>
      <c r="F332" s="45"/>
      <c r="G332" s="45"/>
      <c r="H332" s="48"/>
      <c r="I332" s="45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</row>
    <row r="333" ht="22.5" customHeight="1">
      <c r="A333" s="44"/>
      <c r="B333" s="45"/>
      <c r="C333" s="45"/>
      <c r="D333" s="46"/>
      <c r="E333" s="47"/>
      <c r="F333" s="45"/>
      <c r="G333" s="45"/>
      <c r="H333" s="48"/>
      <c r="I333" s="45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</row>
    <row r="334" ht="22.5" customHeight="1">
      <c r="A334" s="44"/>
      <c r="B334" s="45"/>
      <c r="C334" s="45"/>
      <c r="D334" s="46"/>
      <c r="E334" s="47"/>
      <c r="F334" s="45"/>
      <c r="G334" s="45"/>
      <c r="H334" s="48"/>
      <c r="I334" s="45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</row>
    <row r="335" ht="22.5" customHeight="1">
      <c r="A335" s="44"/>
      <c r="B335" s="45"/>
      <c r="C335" s="45"/>
      <c r="D335" s="46"/>
      <c r="E335" s="47"/>
      <c r="F335" s="45"/>
      <c r="G335" s="45"/>
      <c r="H335" s="48"/>
      <c r="I335" s="45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</row>
    <row r="336" ht="22.5" customHeight="1">
      <c r="A336" s="44"/>
      <c r="B336" s="45"/>
      <c r="C336" s="45"/>
      <c r="D336" s="46"/>
      <c r="E336" s="47"/>
      <c r="F336" s="45"/>
      <c r="G336" s="45"/>
      <c r="H336" s="48"/>
      <c r="I336" s="45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</row>
    <row r="337" ht="22.5" customHeight="1">
      <c r="A337" s="44"/>
      <c r="B337" s="45"/>
      <c r="C337" s="45"/>
      <c r="D337" s="46"/>
      <c r="E337" s="47"/>
      <c r="F337" s="45"/>
      <c r="G337" s="45"/>
      <c r="H337" s="48"/>
      <c r="I337" s="45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</row>
    <row r="338" ht="22.5" customHeight="1">
      <c r="A338" s="44"/>
      <c r="B338" s="45"/>
      <c r="C338" s="45"/>
      <c r="D338" s="46"/>
      <c r="E338" s="47"/>
      <c r="F338" s="45"/>
      <c r="G338" s="45"/>
      <c r="H338" s="48"/>
      <c r="I338" s="45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</row>
    <row r="339" ht="22.5" customHeight="1">
      <c r="A339" s="44"/>
      <c r="B339" s="45"/>
      <c r="C339" s="45"/>
      <c r="D339" s="46"/>
      <c r="E339" s="47"/>
      <c r="F339" s="45"/>
      <c r="G339" s="45"/>
      <c r="H339" s="48"/>
      <c r="I339" s="45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</row>
    <row r="340" ht="22.5" customHeight="1">
      <c r="A340" s="44"/>
      <c r="B340" s="45"/>
      <c r="C340" s="45"/>
      <c r="D340" s="46"/>
      <c r="E340" s="47"/>
      <c r="F340" s="45"/>
      <c r="G340" s="45"/>
      <c r="H340" s="48"/>
      <c r="I340" s="45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</row>
    <row r="341" ht="22.5" customHeight="1">
      <c r="A341" s="44"/>
      <c r="B341" s="45"/>
      <c r="C341" s="45"/>
      <c r="D341" s="46"/>
      <c r="E341" s="47"/>
      <c r="F341" s="45"/>
      <c r="G341" s="45"/>
      <c r="H341" s="48"/>
      <c r="I341" s="45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</row>
    <row r="342" ht="22.5" customHeight="1">
      <c r="A342" s="44"/>
      <c r="B342" s="45"/>
      <c r="C342" s="45"/>
      <c r="D342" s="46"/>
      <c r="E342" s="47"/>
      <c r="F342" s="45"/>
      <c r="G342" s="45"/>
      <c r="H342" s="48"/>
      <c r="I342" s="45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</row>
    <row r="343" ht="22.5" customHeight="1">
      <c r="A343" s="44"/>
      <c r="B343" s="45"/>
      <c r="C343" s="45"/>
      <c r="D343" s="46"/>
      <c r="E343" s="47"/>
      <c r="F343" s="45"/>
      <c r="G343" s="45"/>
      <c r="H343" s="48"/>
      <c r="I343" s="45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</row>
    <row r="344" ht="22.5" customHeight="1">
      <c r="A344" s="44"/>
      <c r="B344" s="45"/>
      <c r="C344" s="45"/>
      <c r="D344" s="46"/>
      <c r="E344" s="47"/>
      <c r="F344" s="45"/>
      <c r="G344" s="45"/>
      <c r="H344" s="48"/>
      <c r="I344" s="45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</row>
    <row r="345" ht="22.5" customHeight="1">
      <c r="A345" s="44"/>
      <c r="B345" s="45"/>
      <c r="C345" s="45"/>
      <c r="D345" s="46"/>
      <c r="E345" s="47"/>
      <c r="F345" s="45"/>
      <c r="G345" s="45"/>
      <c r="H345" s="48"/>
      <c r="I345" s="45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</row>
    <row r="346" ht="22.5" customHeight="1">
      <c r="A346" s="44"/>
      <c r="B346" s="45"/>
      <c r="C346" s="45"/>
      <c r="D346" s="46"/>
      <c r="E346" s="47"/>
      <c r="F346" s="45"/>
      <c r="G346" s="45"/>
      <c r="H346" s="48"/>
      <c r="I346" s="45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</row>
    <row r="347" ht="22.5" customHeight="1">
      <c r="A347" s="44"/>
      <c r="B347" s="45"/>
      <c r="C347" s="45"/>
      <c r="D347" s="46"/>
      <c r="E347" s="47"/>
      <c r="F347" s="45"/>
      <c r="G347" s="45"/>
      <c r="H347" s="48"/>
      <c r="I347" s="45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</row>
    <row r="348" ht="22.5" customHeight="1">
      <c r="A348" s="44"/>
      <c r="B348" s="45"/>
      <c r="C348" s="45"/>
      <c r="D348" s="46"/>
      <c r="E348" s="47"/>
      <c r="F348" s="45"/>
      <c r="G348" s="45"/>
      <c r="H348" s="48"/>
      <c r="I348" s="45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</row>
    <row r="349" ht="22.5" customHeight="1">
      <c r="A349" s="44"/>
      <c r="B349" s="45"/>
      <c r="C349" s="45"/>
      <c r="D349" s="46"/>
      <c r="E349" s="47"/>
      <c r="F349" s="45"/>
      <c r="G349" s="45"/>
      <c r="H349" s="48"/>
      <c r="I349" s="45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</row>
    <row r="350" ht="22.5" customHeight="1">
      <c r="A350" s="44"/>
      <c r="B350" s="45"/>
      <c r="C350" s="45"/>
      <c r="D350" s="46"/>
      <c r="E350" s="47"/>
      <c r="F350" s="45"/>
      <c r="G350" s="45"/>
      <c r="H350" s="48"/>
      <c r="I350" s="45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</row>
    <row r="351" ht="22.5" customHeight="1">
      <c r="A351" s="44"/>
      <c r="B351" s="45"/>
      <c r="C351" s="45"/>
      <c r="D351" s="46"/>
      <c r="E351" s="47"/>
      <c r="F351" s="45"/>
      <c r="G351" s="45"/>
      <c r="H351" s="48"/>
      <c r="I351" s="45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</row>
    <row r="352" ht="22.5" customHeight="1">
      <c r="A352" s="44"/>
      <c r="B352" s="45"/>
      <c r="C352" s="45"/>
      <c r="D352" s="46"/>
      <c r="E352" s="47"/>
      <c r="F352" s="45"/>
      <c r="G352" s="45"/>
      <c r="H352" s="48"/>
      <c r="I352" s="45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</row>
    <row r="353" ht="22.5" customHeight="1">
      <c r="A353" s="44"/>
      <c r="B353" s="45"/>
      <c r="C353" s="45"/>
      <c r="D353" s="46"/>
      <c r="E353" s="47"/>
      <c r="F353" s="45"/>
      <c r="G353" s="45"/>
      <c r="H353" s="48"/>
      <c r="I353" s="45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</row>
    <row r="354" ht="22.5" customHeight="1">
      <c r="A354" s="44"/>
      <c r="B354" s="45"/>
      <c r="C354" s="45"/>
      <c r="D354" s="46"/>
      <c r="E354" s="47"/>
      <c r="F354" s="45"/>
      <c r="G354" s="45"/>
      <c r="H354" s="48"/>
      <c r="I354" s="45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</row>
    <row r="355" ht="22.5" customHeight="1">
      <c r="A355" s="44"/>
      <c r="B355" s="45"/>
      <c r="C355" s="45"/>
      <c r="D355" s="46"/>
      <c r="E355" s="47"/>
      <c r="F355" s="45"/>
      <c r="G355" s="45"/>
      <c r="H355" s="48"/>
      <c r="I355" s="45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</row>
    <row r="356" ht="22.5" customHeight="1">
      <c r="A356" s="44"/>
      <c r="B356" s="45"/>
      <c r="C356" s="45"/>
      <c r="D356" s="46"/>
      <c r="E356" s="47"/>
      <c r="F356" s="45"/>
      <c r="G356" s="45"/>
      <c r="H356" s="48"/>
      <c r="I356" s="45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</row>
    <row r="357" ht="22.5" customHeight="1">
      <c r="A357" s="44"/>
      <c r="B357" s="45"/>
      <c r="C357" s="45"/>
      <c r="D357" s="46"/>
      <c r="E357" s="47"/>
      <c r="F357" s="45"/>
      <c r="G357" s="45"/>
      <c r="H357" s="48"/>
      <c r="I357" s="45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</row>
    <row r="358" ht="22.5" customHeight="1">
      <c r="A358" s="44"/>
      <c r="B358" s="45"/>
      <c r="C358" s="45"/>
      <c r="D358" s="46"/>
      <c r="E358" s="47"/>
      <c r="F358" s="45"/>
      <c r="G358" s="45"/>
      <c r="H358" s="48"/>
      <c r="I358" s="45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</row>
    <row r="359" ht="22.5" customHeight="1">
      <c r="A359" s="44"/>
      <c r="B359" s="45"/>
      <c r="C359" s="45"/>
      <c r="D359" s="46"/>
      <c r="E359" s="47"/>
      <c r="F359" s="45"/>
      <c r="G359" s="45"/>
      <c r="H359" s="48"/>
      <c r="I359" s="45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</row>
    <row r="360" ht="22.5" customHeight="1">
      <c r="A360" s="44"/>
      <c r="B360" s="45"/>
      <c r="C360" s="45"/>
      <c r="D360" s="46"/>
      <c r="E360" s="47"/>
      <c r="F360" s="45"/>
      <c r="G360" s="45"/>
      <c r="H360" s="48"/>
      <c r="I360" s="45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</row>
    <row r="361" ht="22.5" customHeight="1">
      <c r="A361" s="44"/>
      <c r="B361" s="45"/>
      <c r="C361" s="45"/>
      <c r="D361" s="46"/>
      <c r="E361" s="47"/>
      <c r="F361" s="45"/>
      <c r="G361" s="45"/>
      <c r="H361" s="48"/>
      <c r="I361" s="45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</row>
    <row r="362" ht="22.5" customHeight="1">
      <c r="A362" s="44"/>
      <c r="B362" s="45"/>
      <c r="C362" s="45"/>
      <c r="D362" s="46"/>
      <c r="E362" s="47"/>
      <c r="F362" s="45"/>
      <c r="G362" s="45"/>
      <c r="H362" s="48"/>
      <c r="I362" s="45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</row>
    <row r="363" ht="22.5" customHeight="1">
      <c r="A363" s="44"/>
      <c r="B363" s="45"/>
      <c r="C363" s="45"/>
      <c r="D363" s="46"/>
      <c r="E363" s="47"/>
      <c r="F363" s="45"/>
      <c r="G363" s="45"/>
      <c r="H363" s="48"/>
      <c r="I363" s="45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</row>
    <row r="364" ht="22.5" customHeight="1">
      <c r="A364" s="44"/>
      <c r="B364" s="45"/>
      <c r="C364" s="45"/>
      <c r="D364" s="46"/>
      <c r="E364" s="47"/>
      <c r="F364" s="45"/>
      <c r="G364" s="45"/>
      <c r="H364" s="48"/>
      <c r="I364" s="45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</row>
    <row r="365" ht="22.5" customHeight="1">
      <c r="A365" s="44"/>
      <c r="B365" s="45"/>
      <c r="C365" s="45"/>
      <c r="D365" s="46"/>
      <c r="E365" s="47"/>
      <c r="F365" s="45"/>
      <c r="G365" s="45"/>
      <c r="H365" s="48"/>
      <c r="I365" s="45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</row>
    <row r="366" ht="22.5" customHeight="1">
      <c r="A366" s="44"/>
      <c r="B366" s="45"/>
      <c r="C366" s="45"/>
      <c r="D366" s="46"/>
      <c r="E366" s="47"/>
      <c r="F366" s="45"/>
      <c r="G366" s="45"/>
      <c r="H366" s="48"/>
      <c r="I366" s="45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</row>
    <row r="367" ht="22.5" customHeight="1">
      <c r="A367" s="44"/>
      <c r="B367" s="45"/>
      <c r="C367" s="45"/>
      <c r="D367" s="46"/>
      <c r="E367" s="47"/>
      <c r="F367" s="45"/>
      <c r="G367" s="45"/>
      <c r="H367" s="48"/>
      <c r="I367" s="45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</row>
    <row r="368" ht="22.5" customHeight="1">
      <c r="A368" s="44"/>
      <c r="B368" s="45"/>
      <c r="C368" s="45"/>
      <c r="D368" s="46"/>
      <c r="E368" s="47"/>
      <c r="F368" s="45"/>
      <c r="G368" s="45"/>
      <c r="H368" s="48"/>
      <c r="I368" s="45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</row>
    <row r="369" ht="22.5" customHeight="1">
      <c r="A369" s="44"/>
      <c r="B369" s="45"/>
      <c r="C369" s="45"/>
      <c r="D369" s="46"/>
      <c r="E369" s="47"/>
      <c r="F369" s="45"/>
      <c r="G369" s="45"/>
      <c r="H369" s="48"/>
      <c r="I369" s="45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</row>
    <row r="370" ht="22.5" customHeight="1">
      <c r="A370" s="44"/>
      <c r="B370" s="45"/>
      <c r="C370" s="45"/>
      <c r="D370" s="46"/>
      <c r="E370" s="47"/>
      <c r="F370" s="45"/>
      <c r="G370" s="45"/>
      <c r="H370" s="48"/>
      <c r="I370" s="45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</row>
    <row r="371" ht="22.5" customHeight="1">
      <c r="A371" s="44"/>
      <c r="B371" s="45"/>
      <c r="C371" s="45"/>
      <c r="D371" s="46"/>
      <c r="E371" s="47"/>
      <c r="F371" s="45"/>
      <c r="G371" s="45"/>
      <c r="H371" s="48"/>
      <c r="I371" s="45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</row>
    <row r="372" ht="22.5" customHeight="1">
      <c r="A372" s="44"/>
      <c r="B372" s="45"/>
      <c r="C372" s="45"/>
      <c r="D372" s="46"/>
      <c r="E372" s="47"/>
      <c r="F372" s="45"/>
      <c r="G372" s="45"/>
      <c r="H372" s="48"/>
      <c r="I372" s="45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</row>
    <row r="373" ht="22.5" customHeight="1">
      <c r="A373" s="44"/>
      <c r="B373" s="45"/>
      <c r="C373" s="45"/>
      <c r="D373" s="46"/>
      <c r="E373" s="47"/>
      <c r="F373" s="45"/>
      <c r="G373" s="45"/>
      <c r="H373" s="48"/>
      <c r="I373" s="45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</row>
    <row r="374" ht="22.5" customHeight="1">
      <c r="A374" s="44"/>
      <c r="B374" s="45"/>
      <c r="C374" s="45"/>
      <c r="D374" s="46"/>
      <c r="E374" s="47"/>
      <c r="F374" s="45"/>
      <c r="G374" s="45"/>
      <c r="H374" s="48"/>
      <c r="I374" s="45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</row>
    <row r="375" ht="22.5" customHeight="1">
      <c r="A375" s="44"/>
      <c r="B375" s="45"/>
      <c r="C375" s="45"/>
      <c r="D375" s="46"/>
      <c r="E375" s="47"/>
      <c r="F375" s="45"/>
      <c r="G375" s="45"/>
      <c r="H375" s="48"/>
      <c r="I375" s="45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</row>
    <row r="376" ht="22.5" customHeight="1">
      <c r="A376" s="44"/>
      <c r="B376" s="45"/>
      <c r="C376" s="45"/>
      <c r="D376" s="46"/>
      <c r="E376" s="47"/>
      <c r="F376" s="45"/>
      <c r="G376" s="45"/>
      <c r="H376" s="48"/>
      <c r="I376" s="45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</row>
    <row r="377" ht="22.5" customHeight="1">
      <c r="A377" s="44"/>
      <c r="B377" s="45"/>
      <c r="C377" s="45"/>
      <c r="D377" s="46"/>
      <c r="E377" s="47"/>
      <c r="F377" s="45"/>
      <c r="G377" s="45"/>
      <c r="H377" s="48"/>
      <c r="I377" s="45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</row>
    <row r="378" ht="22.5" customHeight="1">
      <c r="A378" s="44"/>
      <c r="B378" s="45"/>
      <c r="C378" s="45"/>
      <c r="D378" s="46"/>
      <c r="E378" s="47"/>
      <c r="F378" s="45"/>
      <c r="G378" s="45"/>
      <c r="H378" s="48"/>
      <c r="I378" s="45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</row>
    <row r="379" ht="22.5" customHeight="1">
      <c r="A379" s="44"/>
      <c r="B379" s="45"/>
      <c r="C379" s="45"/>
      <c r="D379" s="46"/>
      <c r="E379" s="47"/>
      <c r="F379" s="45"/>
      <c r="G379" s="45"/>
      <c r="H379" s="48"/>
      <c r="I379" s="45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</row>
    <row r="380" ht="22.5" customHeight="1">
      <c r="A380" s="44"/>
      <c r="B380" s="45"/>
      <c r="C380" s="45"/>
      <c r="D380" s="46"/>
      <c r="E380" s="47"/>
      <c r="F380" s="45"/>
      <c r="G380" s="45"/>
      <c r="H380" s="48"/>
      <c r="I380" s="45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</row>
    <row r="381" ht="22.5" customHeight="1">
      <c r="A381" s="44"/>
      <c r="B381" s="45"/>
      <c r="C381" s="45"/>
      <c r="D381" s="46"/>
      <c r="E381" s="47"/>
      <c r="F381" s="45"/>
      <c r="G381" s="45"/>
      <c r="H381" s="48"/>
      <c r="I381" s="45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</row>
    <row r="382" ht="22.5" customHeight="1">
      <c r="A382" s="44"/>
      <c r="B382" s="45"/>
      <c r="C382" s="45"/>
      <c r="D382" s="46"/>
      <c r="E382" s="47"/>
      <c r="F382" s="45"/>
      <c r="G382" s="45"/>
      <c r="H382" s="48"/>
      <c r="I382" s="45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</row>
    <row r="383" ht="22.5" customHeight="1">
      <c r="A383" s="44"/>
      <c r="B383" s="45"/>
      <c r="C383" s="45"/>
      <c r="D383" s="46"/>
      <c r="E383" s="47"/>
      <c r="F383" s="45"/>
      <c r="G383" s="45"/>
      <c r="H383" s="48"/>
      <c r="I383" s="45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</row>
    <row r="384" ht="22.5" customHeight="1">
      <c r="A384" s="44"/>
      <c r="B384" s="45"/>
      <c r="C384" s="45"/>
      <c r="D384" s="46"/>
      <c r="E384" s="47"/>
      <c r="F384" s="45"/>
      <c r="G384" s="45"/>
      <c r="H384" s="48"/>
      <c r="I384" s="45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</row>
    <row r="385" ht="22.5" customHeight="1">
      <c r="A385" s="44"/>
      <c r="B385" s="45"/>
      <c r="C385" s="45"/>
      <c r="D385" s="46"/>
      <c r="E385" s="47"/>
      <c r="F385" s="45"/>
      <c r="G385" s="45"/>
      <c r="H385" s="48"/>
      <c r="I385" s="45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</row>
    <row r="386" ht="22.5" customHeight="1">
      <c r="A386" s="44"/>
      <c r="B386" s="45"/>
      <c r="C386" s="45"/>
      <c r="D386" s="46"/>
      <c r="E386" s="47"/>
      <c r="F386" s="45"/>
      <c r="G386" s="45"/>
      <c r="H386" s="48"/>
      <c r="I386" s="45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</row>
    <row r="387" ht="22.5" customHeight="1">
      <c r="A387" s="44"/>
      <c r="B387" s="45"/>
      <c r="C387" s="45"/>
      <c r="D387" s="46"/>
      <c r="E387" s="47"/>
      <c r="F387" s="45"/>
      <c r="G387" s="45"/>
      <c r="H387" s="48"/>
      <c r="I387" s="45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</row>
    <row r="388" ht="22.5" customHeight="1">
      <c r="A388" s="44"/>
      <c r="B388" s="45"/>
      <c r="C388" s="45"/>
      <c r="D388" s="46"/>
      <c r="E388" s="47"/>
      <c r="F388" s="45"/>
      <c r="G388" s="45"/>
      <c r="H388" s="48"/>
      <c r="I388" s="45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</row>
    <row r="389" ht="22.5" customHeight="1">
      <c r="A389" s="44"/>
      <c r="B389" s="45"/>
      <c r="C389" s="45"/>
      <c r="D389" s="46"/>
      <c r="E389" s="47"/>
      <c r="F389" s="45"/>
      <c r="G389" s="45"/>
      <c r="H389" s="48"/>
      <c r="I389" s="45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</row>
    <row r="390" ht="22.5" customHeight="1">
      <c r="A390" s="44"/>
      <c r="B390" s="45"/>
      <c r="C390" s="45"/>
      <c r="D390" s="46"/>
      <c r="E390" s="47"/>
      <c r="F390" s="45"/>
      <c r="G390" s="45"/>
      <c r="H390" s="48"/>
      <c r="I390" s="45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</row>
    <row r="391" ht="22.5" customHeight="1">
      <c r="A391" s="44"/>
      <c r="B391" s="45"/>
      <c r="C391" s="45"/>
      <c r="D391" s="46"/>
      <c r="E391" s="47"/>
      <c r="F391" s="45"/>
      <c r="G391" s="45"/>
      <c r="H391" s="48"/>
      <c r="I391" s="45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</row>
    <row r="392" ht="22.5" customHeight="1">
      <c r="A392" s="44"/>
      <c r="B392" s="45"/>
      <c r="C392" s="45"/>
      <c r="D392" s="46"/>
      <c r="E392" s="47"/>
      <c r="F392" s="45"/>
      <c r="G392" s="45"/>
      <c r="H392" s="48"/>
      <c r="I392" s="45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</row>
    <row r="393" ht="22.5" customHeight="1">
      <c r="A393" s="44"/>
      <c r="B393" s="45"/>
      <c r="C393" s="45"/>
      <c r="D393" s="46"/>
      <c r="E393" s="47"/>
      <c r="F393" s="45"/>
      <c r="G393" s="45"/>
      <c r="H393" s="48"/>
      <c r="I393" s="45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</row>
    <row r="394" ht="22.5" customHeight="1">
      <c r="A394" s="44"/>
      <c r="B394" s="45"/>
      <c r="C394" s="45"/>
      <c r="D394" s="46"/>
      <c r="E394" s="47"/>
      <c r="F394" s="45"/>
      <c r="G394" s="45"/>
      <c r="H394" s="48"/>
      <c r="I394" s="45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</row>
    <row r="395" ht="22.5" customHeight="1">
      <c r="A395" s="44"/>
      <c r="B395" s="45"/>
      <c r="C395" s="45"/>
      <c r="D395" s="46"/>
      <c r="E395" s="47"/>
      <c r="F395" s="45"/>
      <c r="G395" s="45"/>
      <c r="H395" s="48"/>
      <c r="I395" s="45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</row>
    <row r="396" ht="22.5" customHeight="1">
      <c r="A396" s="44"/>
      <c r="B396" s="45"/>
      <c r="C396" s="45"/>
      <c r="D396" s="46"/>
      <c r="E396" s="47"/>
      <c r="F396" s="45"/>
      <c r="G396" s="45"/>
      <c r="H396" s="48"/>
      <c r="I396" s="45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</row>
    <row r="397" ht="22.5" customHeight="1">
      <c r="A397" s="44"/>
      <c r="B397" s="45"/>
      <c r="C397" s="45"/>
      <c r="D397" s="46"/>
      <c r="E397" s="47"/>
      <c r="F397" s="45"/>
      <c r="G397" s="45"/>
      <c r="H397" s="48"/>
      <c r="I397" s="45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</row>
    <row r="398" ht="22.5" customHeight="1">
      <c r="A398" s="44"/>
      <c r="B398" s="45"/>
      <c r="C398" s="45"/>
      <c r="D398" s="46"/>
      <c r="E398" s="47"/>
      <c r="F398" s="45"/>
      <c r="G398" s="45"/>
      <c r="H398" s="48"/>
      <c r="I398" s="45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</row>
    <row r="399" ht="22.5" customHeight="1">
      <c r="A399" s="44"/>
      <c r="B399" s="45"/>
      <c r="C399" s="45"/>
      <c r="D399" s="46"/>
      <c r="E399" s="47"/>
      <c r="F399" s="45"/>
      <c r="G399" s="45"/>
      <c r="H399" s="48"/>
      <c r="I399" s="45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</row>
    <row r="400" ht="22.5" customHeight="1">
      <c r="A400" s="44"/>
      <c r="B400" s="45"/>
      <c r="C400" s="45"/>
      <c r="D400" s="46"/>
      <c r="E400" s="47"/>
      <c r="F400" s="45"/>
      <c r="G400" s="45"/>
      <c r="H400" s="48"/>
      <c r="I400" s="45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</row>
    <row r="401" ht="22.5" customHeight="1">
      <c r="A401" s="44"/>
      <c r="B401" s="45"/>
      <c r="C401" s="45"/>
      <c r="D401" s="46"/>
      <c r="E401" s="47"/>
      <c r="F401" s="45"/>
      <c r="G401" s="45"/>
      <c r="H401" s="48"/>
      <c r="I401" s="45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</row>
    <row r="402" ht="22.5" customHeight="1">
      <c r="A402" s="44"/>
      <c r="B402" s="45"/>
      <c r="C402" s="45"/>
      <c r="D402" s="46"/>
      <c r="E402" s="47"/>
      <c r="F402" s="45"/>
      <c r="G402" s="45"/>
      <c r="H402" s="48"/>
      <c r="I402" s="45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</row>
    <row r="403" ht="22.5" customHeight="1">
      <c r="A403" s="44"/>
      <c r="B403" s="45"/>
      <c r="C403" s="45"/>
      <c r="D403" s="46"/>
      <c r="E403" s="47"/>
      <c r="F403" s="45"/>
      <c r="G403" s="45"/>
      <c r="H403" s="48"/>
      <c r="I403" s="45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</row>
    <row r="404" ht="22.5" customHeight="1">
      <c r="A404" s="44"/>
      <c r="B404" s="45"/>
      <c r="C404" s="45"/>
      <c r="D404" s="46"/>
      <c r="E404" s="47"/>
      <c r="F404" s="45"/>
      <c r="G404" s="45"/>
      <c r="H404" s="48"/>
      <c r="I404" s="45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</row>
    <row r="405" ht="22.5" customHeight="1">
      <c r="A405" s="44"/>
      <c r="B405" s="45"/>
      <c r="C405" s="45"/>
      <c r="D405" s="46"/>
      <c r="E405" s="47"/>
      <c r="F405" s="45"/>
      <c r="G405" s="45"/>
      <c r="H405" s="48"/>
      <c r="I405" s="45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</row>
    <row r="406" ht="22.5" customHeight="1">
      <c r="A406" s="44"/>
      <c r="B406" s="45"/>
      <c r="C406" s="45"/>
      <c r="D406" s="46"/>
      <c r="E406" s="47"/>
      <c r="F406" s="45"/>
      <c r="G406" s="45"/>
      <c r="H406" s="48"/>
      <c r="I406" s="45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</row>
    <row r="407" ht="22.5" customHeight="1">
      <c r="A407" s="44"/>
      <c r="B407" s="45"/>
      <c r="C407" s="45"/>
      <c r="D407" s="46"/>
      <c r="E407" s="47"/>
      <c r="F407" s="45"/>
      <c r="G407" s="45"/>
      <c r="H407" s="48"/>
      <c r="I407" s="45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</row>
    <row r="408" ht="22.5" customHeight="1">
      <c r="A408" s="44"/>
      <c r="B408" s="45"/>
      <c r="C408" s="45"/>
      <c r="D408" s="46"/>
      <c r="E408" s="47"/>
      <c r="F408" s="45"/>
      <c r="G408" s="45"/>
      <c r="H408" s="48"/>
      <c r="I408" s="45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</row>
    <row r="409" ht="22.5" customHeight="1">
      <c r="A409" s="44"/>
      <c r="B409" s="45"/>
      <c r="C409" s="45"/>
      <c r="D409" s="46"/>
      <c r="E409" s="47"/>
      <c r="F409" s="45"/>
      <c r="G409" s="45"/>
      <c r="H409" s="48"/>
      <c r="I409" s="45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</row>
    <row r="410" ht="22.5" customHeight="1">
      <c r="A410" s="44"/>
      <c r="B410" s="45"/>
      <c r="C410" s="45"/>
      <c r="D410" s="46"/>
      <c r="E410" s="47"/>
      <c r="F410" s="45"/>
      <c r="G410" s="45"/>
      <c r="H410" s="48"/>
      <c r="I410" s="45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</row>
    <row r="411" ht="22.5" customHeight="1">
      <c r="A411" s="44"/>
      <c r="B411" s="45"/>
      <c r="C411" s="45"/>
      <c r="D411" s="46"/>
      <c r="E411" s="47"/>
      <c r="F411" s="45"/>
      <c r="G411" s="45"/>
      <c r="H411" s="48"/>
      <c r="I411" s="45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</row>
    <row r="412" ht="22.5" customHeight="1">
      <c r="A412" s="44"/>
      <c r="B412" s="45"/>
      <c r="C412" s="45"/>
      <c r="D412" s="46"/>
      <c r="E412" s="47"/>
      <c r="F412" s="45"/>
      <c r="G412" s="45"/>
      <c r="H412" s="48"/>
      <c r="I412" s="45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</row>
    <row r="413" ht="22.5" customHeight="1">
      <c r="A413" s="44"/>
      <c r="B413" s="45"/>
      <c r="C413" s="45"/>
      <c r="D413" s="46"/>
      <c r="E413" s="47"/>
      <c r="F413" s="45"/>
      <c r="G413" s="45"/>
      <c r="H413" s="48"/>
      <c r="I413" s="45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</row>
    <row r="414" ht="22.5" customHeight="1">
      <c r="A414" s="44"/>
      <c r="B414" s="45"/>
      <c r="C414" s="45"/>
      <c r="D414" s="46"/>
      <c r="E414" s="47"/>
      <c r="F414" s="45"/>
      <c r="G414" s="45"/>
      <c r="H414" s="48"/>
      <c r="I414" s="45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</row>
    <row r="415" ht="22.5" customHeight="1">
      <c r="A415" s="44"/>
      <c r="B415" s="45"/>
      <c r="C415" s="45"/>
      <c r="D415" s="46"/>
      <c r="E415" s="47"/>
      <c r="F415" s="45"/>
      <c r="G415" s="45"/>
      <c r="H415" s="48"/>
      <c r="I415" s="45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</row>
    <row r="416" ht="22.5" customHeight="1">
      <c r="A416" s="44"/>
      <c r="B416" s="45"/>
      <c r="C416" s="45"/>
      <c r="D416" s="46"/>
      <c r="E416" s="47"/>
      <c r="F416" s="45"/>
      <c r="G416" s="45"/>
      <c r="H416" s="48"/>
      <c r="I416" s="45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</row>
    <row r="417" ht="22.5" customHeight="1">
      <c r="A417" s="44"/>
      <c r="B417" s="45"/>
      <c r="C417" s="45"/>
      <c r="D417" s="46"/>
      <c r="E417" s="47"/>
      <c r="F417" s="45"/>
      <c r="G417" s="45"/>
      <c r="H417" s="48"/>
      <c r="I417" s="45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</row>
    <row r="418" ht="22.5" customHeight="1">
      <c r="A418" s="44"/>
      <c r="B418" s="45"/>
      <c r="C418" s="45"/>
      <c r="D418" s="46"/>
      <c r="E418" s="47"/>
      <c r="F418" s="45"/>
      <c r="G418" s="45"/>
      <c r="H418" s="48"/>
      <c r="I418" s="45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</row>
    <row r="419" ht="22.5" customHeight="1">
      <c r="A419" s="44"/>
      <c r="B419" s="45"/>
      <c r="C419" s="45"/>
      <c r="D419" s="46"/>
      <c r="E419" s="47"/>
      <c r="F419" s="45"/>
      <c r="G419" s="45"/>
      <c r="H419" s="48"/>
      <c r="I419" s="45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</row>
    <row r="420" ht="22.5" customHeight="1">
      <c r="A420" s="44"/>
      <c r="B420" s="45"/>
      <c r="C420" s="45"/>
      <c r="D420" s="46"/>
      <c r="E420" s="47"/>
      <c r="F420" s="45"/>
      <c r="G420" s="45"/>
      <c r="H420" s="48"/>
      <c r="I420" s="45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</row>
    <row r="421" ht="22.5" customHeight="1">
      <c r="A421" s="44"/>
      <c r="B421" s="45"/>
      <c r="C421" s="45"/>
      <c r="D421" s="46"/>
      <c r="E421" s="47"/>
      <c r="F421" s="45"/>
      <c r="G421" s="45"/>
      <c r="H421" s="48"/>
      <c r="I421" s="45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</row>
    <row r="422" ht="22.5" customHeight="1">
      <c r="A422" s="44"/>
      <c r="B422" s="45"/>
      <c r="C422" s="45"/>
      <c r="D422" s="46"/>
      <c r="E422" s="47"/>
      <c r="F422" s="45"/>
      <c r="G422" s="45"/>
      <c r="H422" s="48"/>
      <c r="I422" s="45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</row>
    <row r="423" ht="22.5" customHeight="1">
      <c r="A423" s="44"/>
      <c r="B423" s="45"/>
      <c r="C423" s="45"/>
      <c r="D423" s="46"/>
      <c r="E423" s="47"/>
      <c r="F423" s="45"/>
      <c r="G423" s="45"/>
      <c r="H423" s="48"/>
      <c r="I423" s="45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</row>
    <row r="424" ht="22.5" customHeight="1">
      <c r="A424" s="44"/>
      <c r="B424" s="45"/>
      <c r="C424" s="45"/>
      <c r="D424" s="46"/>
      <c r="E424" s="47"/>
      <c r="F424" s="45"/>
      <c r="G424" s="45"/>
      <c r="H424" s="48"/>
      <c r="I424" s="45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</row>
    <row r="425" ht="22.5" customHeight="1">
      <c r="A425" s="44"/>
      <c r="B425" s="45"/>
      <c r="C425" s="45"/>
      <c r="D425" s="46"/>
      <c r="E425" s="47"/>
      <c r="F425" s="45"/>
      <c r="G425" s="45"/>
      <c r="H425" s="48"/>
      <c r="I425" s="45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</row>
    <row r="426" ht="22.5" customHeight="1">
      <c r="A426" s="44"/>
      <c r="B426" s="45"/>
      <c r="C426" s="45"/>
      <c r="D426" s="46"/>
      <c r="E426" s="47"/>
      <c r="F426" s="45"/>
      <c r="G426" s="45"/>
      <c r="H426" s="48"/>
      <c r="I426" s="45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</row>
    <row r="427" ht="22.5" customHeight="1">
      <c r="A427" s="44"/>
      <c r="B427" s="45"/>
      <c r="C427" s="45"/>
      <c r="D427" s="46"/>
      <c r="E427" s="47"/>
      <c r="F427" s="45"/>
      <c r="G427" s="45"/>
      <c r="H427" s="48"/>
      <c r="I427" s="45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</row>
    <row r="428" ht="22.5" customHeight="1">
      <c r="A428" s="44"/>
      <c r="B428" s="45"/>
      <c r="C428" s="45"/>
      <c r="D428" s="46"/>
      <c r="E428" s="47"/>
      <c r="F428" s="45"/>
      <c r="G428" s="45"/>
      <c r="H428" s="48"/>
      <c r="I428" s="45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</row>
    <row r="429" ht="22.5" customHeight="1">
      <c r="A429" s="44"/>
      <c r="B429" s="45"/>
      <c r="C429" s="45"/>
      <c r="D429" s="46"/>
      <c r="E429" s="47"/>
      <c r="F429" s="45"/>
      <c r="G429" s="45"/>
      <c r="H429" s="48"/>
      <c r="I429" s="45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</row>
    <row r="430" ht="22.5" customHeight="1">
      <c r="A430" s="44"/>
      <c r="B430" s="45"/>
      <c r="C430" s="45"/>
      <c r="D430" s="46"/>
      <c r="E430" s="47"/>
      <c r="F430" s="45"/>
      <c r="G430" s="45"/>
      <c r="H430" s="48"/>
      <c r="I430" s="45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</row>
    <row r="431" ht="22.5" customHeight="1">
      <c r="A431" s="44"/>
      <c r="B431" s="45"/>
      <c r="C431" s="45"/>
      <c r="D431" s="46"/>
      <c r="E431" s="47"/>
      <c r="F431" s="45"/>
      <c r="G431" s="45"/>
      <c r="H431" s="48"/>
      <c r="I431" s="45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</row>
    <row r="432" ht="22.5" customHeight="1">
      <c r="A432" s="44"/>
      <c r="B432" s="45"/>
      <c r="C432" s="45"/>
      <c r="D432" s="46"/>
      <c r="E432" s="47"/>
      <c r="F432" s="45"/>
      <c r="G432" s="45"/>
      <c r="H432" s="48"/>
      <c r="I432" s="45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</row>
    <row r="433" ht="22.5" customHeight="1">
      <c r="A433" s="44"/>
      <c r="B433" s="45"/>
      <c r="C433" s="45"/>
      <c r="D433" s="46"/>
      <c r="E433" s="47"/>
      <c r="F433" s="45"/>
      <c r="G433" s="45"/>
      <c r="H433" s="48"/>
      <c r="I433" s="45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</row>
    <row r="434" ht="22.5" customHeight="1">
      <c r="A434" s="44"/>
      <c r="B434" s="45"/>
      <c r="C434" s="45"/>
      <c r="D434" s="46"/>
      <c r="E434" s="47"/>
      <c r="F434" s="45"/>
      <c r="G434" s="45"/>
      <c r="H434" s="48"/>
      <c r="I434" s="45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</row>
    <row r="435" ht="22.5" customHeight="1">
      <c r="A435" s="44"/>
      <c r="B435" s="45"/>
      <c r="C435" s="45"/>
      <c r="D435" s="46"/>
      <c r="E435" s="47"/>
      <c r="F435" s="45"/>
      <c r="G435" s="45"/>
      <c r="H435" s="48"/>
      <c r="I435" s="45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</row>
    <row r="436" ht="22.5" customHeight="1">
      <c r="A436" s="44"/>
      <c r="B436" s="45"/>
      <c r="C436" s="45"/>
      <c r="D436" s="46"/>
      <c r="E436" s="47"/>
      <c r="F436" s="45"/>
      <c r="G436" s="45"/>
      <c r="H436" s="48"/>
      <c r="I436" s="45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</row>
    <row r="437" ht="22.5" customHeight="1">
      <c r="A437" s="44"/>
      <c r="B437" s="45"/>
      <c r="C437" s="45"/>
      <c r="D437" s="46"/>
      <c r="E437" s="47"/>
      <c r="F437" s="45"/>
      <c r="G437" s="45"/>
      <c r="H437" s="48"/>
      <c r="I437" s="45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</row>
    <row r="438" ht="22.5" customHeight="1">
      <c r="A438" s="44"/>
      <c r="B438" s="45"/>
      <c r="C438" s="45"/>
      <c r="D438" s="46"/>
      <c r="E438" s="47"/>
      <c r="F438" s="45"/>
      <c r="G438" s="45"/>
      <c r="H438" s="48"/>
      <c r="I438" s="45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</row>
    <row r="439" ht="22.5" customHeight="1">
      <c r="A439" s="44"/>
      <c r="B439" s="45"/>
      <c r="C439" s="45"/>
      <c r="D439" s="46"/>
      <c r="E439" s="47"/>
      <c r="F439" s="45"/>
      <c r="G439" s="45"/>
      <c r="H439" s="48"/>
      <c r="I439" s="45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</row>
    <row r="440" ht="22.5" customHeight="1">
      <c r="A440" s="44"/>
      <c r="B440" s="45"/>
      <c r="C440" s="45"/>
      <c r="D440" s="46"/>
      <c r="E440" s="47"/>
      <c r="F440" s="45"/>
      <c r="G440" s="45"/>
      <c r="H440" s="48"/>
      <c r="I440" s="45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</row>
    <row r="441" ht="22.5" customHeight="1">
      <c r="A441" s="44"/>
      <c r="B441" s="45"/>
      <c r="C441" s="45"/>
      <c r="D441" s="46"/>
      <c r="E441" s="47"/>
      <c r="F441" s="45"/>
      <c r="G441" s="45"/>
      <c r="H441" s="48"/>
      <c r="I441" s="45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</row>
    <row r="442" ht="22.5" customHeight="1">
      <c r="A442" s="44"/>
      <c r="B442" s="45"/>
      <c r="C442" s="45"/>
      <c r="D442" s="46"/>
      <c r="E442" s="47"/>
      <c r="F442" s="45"/>
      <c r="G442" s="45"/>
      <c r="H442" s="48"/>
      <c r="I442" s="45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</row>
    <row r="443" ht="22.5" customHeight="1">
      <c r="A443" s="44"/>
      <c r="B443" s="45"/>
      <c r="C443" s="45"/>
      <c r="D443" s="46"/>
      <c r="E443" s="47"/>
      <c r="F443" s="45"/>
      <c r="G443" s="45"/>
      <c r="H443" s="48"/>
      <c r="I443" s="45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</row>
    <row r="444" ht="22.5" customHeight="1">
      <c r="A444" s="44"/>
      <c r="B444" s="45"/>
      <c r="C444" s="45"/>
      <c r="D444" s="46"/>
      <c r="E444" s="47"/>
      <c r="F444" s="45"/>
      <c r="G444" s="45"/>
      <c r="H444" s="48"/>
      <c r="I444" s="45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</row>
    <row r="445" ht="22.5" customHeight="1">
      <c r="A445" s="44"/>
      <c r="B445" s="45"/>
      <c r="C445" s="45"/>
      <c r="D445" s="46"/>
      <c r="E445" s="47"/>
      <c r="F445" s="45"/>
      <c r="G445" s="45"/>
      <c r="H445" s="48"/>
      <c r="I445" s="45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</row>
    <row r="446" ht="22.5" customHeight="1">
      <c r="A446" s="44"/>
      <c r="B446" s="45"/>
      <c r="C446" s="45"/>
      <c r="D446" s="46"/>
      <c r="E446" s="47"/>
      <c r="F446" s="45"/>
      <c r="G446" s="45"/>
      <c r="H446" s="48"/>
      <c r="I446" s="45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</row>
    <row r="447" ht="22.5" customHeight="1">
      <c r="A447" s="44"/>
      <c r="B447" s="45"/>
      <c r="C447" s="45"/>
      <c r="D447" s="46"/>
      <c r="E447" s="47"/>
      <c r="F447" s="45"/>
      <c r="G447" s="45"/>
      <c r="H447" s="48"/>
      <c r="I447" s="45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</row>
    <row r="448" ht="22.5" customHeight="1">
      <c r="A448" s="44"/>
      <c r="B448" s="45"/>
      <c r="C448" s="45"/>
      <c r="D448" s="46"/>
      <c r="E448" s="47"/>
      <c r="F448" s="45"/>
      <c r="G448" s="45"/>
      <c r="H448" s="48"/>
      <c r="I448" s="45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</row>
    <row r="449" ht="22.5" customHeight="1">
      <c r="A449" s="44"/>
      <c r="B449" s="45"/>
      <c r="C449" s="45"/>
      <c r="D449" s="46"/>
      <c r="E449" s="47"/>
      <c r="F449" s="45"/>
      <c r="G449" s="45"/>
      <c r="H449" s="48"/>
      <c r="I449" s="45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</row>
    <row r="450" ht="22.5" customHeight="1">
      <c r="A450" s="44"/>
      <c r="B450" s="45"/>
      <c r="C450" s="45"/>
      <c r="D450" s="46"/>
      <c r="E450" s="47"/>
      <c r="F450" s="45"/>
      <c r="G450" s="45"/>
      <c r="H450" s="48"/>
      <c r="I450" s="45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</row>
    <row r="451" ht="22.5" customHeight="1">
      <c r="A451" s="44"/>
      <c r="B451" s="45"/>
      <c r="C451" s="45"/>
      <c r="D451" s="46"/>
      <c r="E451" s="47"/>
      <c r="F451" s="45"/>
      <c r="G451" s="45"/>
      <c r="H451" s="48"/>
      <c r="I451" s="45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</row>
    <row r="452" ht="22.5" customHeight="1">
      <c r="A452" s="44"/>
      <c r="B452" s="45"/>
      <c r="C452" s="45"/>
      <c r="D452" s="46"/>
      <c r="E452" s="47"/>
      <c r="F452" s="45"/>
      <c r="G452" s="45"/>
      <c r="H452" s="48"/>
      <c r="I452" s="45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</row>
    <row r="453" ht="22.5" customHeight="1">
      <c r="A453" s="44"/>
      <c r="B453" s="45"/>
      <c r="C453" s="45"/>
      <c r="D453" s="46"/>
      <c r="E453" s="47"/>
      <c r="F453" s="45"/>
      <c r="G453" s="45"/>
      <c r="H453" s="48"/>
      <c r="I453" s="45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</row>
    <row r="454" ht="22.5" customHeight="1">
      <c r="A454" s="44"/>
      <c r="B454" s="45"/>
      <c r="C454" s="45"/>
      <c r="D454" s="46"/>
      <c r="E454" s="47"/>
      <c r="F454" s="45"/>
      <c r="G454" s="45"/>
      <c r="H454" s="48"/>
      <c r="I454" s="45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</row>
    <row r="455" ht="22.5" customHeight="1">
      <c r="A455" s="44"/>
      <c r="B455" s="45"/>
      <c r="C455" s="45"/>
      <c r="D455" s="46"/>
      <c r="E455" s="47"/>
      <c r="F455" s="45"/>
      <c r="G455" s="45"/>
      <c r="H455" s="48"/>
      <c r="I455" s="45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</row>
    <row r="456" ht="22.5" customHeight="1">
      <c r="A456" s="44"/>
      <c r="B456" s="45"/>
      <c r="C456" s="45"/>
      <c r="D456" s="46"/>
      <c r="E456" s="47"/>
      <c r="F456" s="45"/>
      <c r="G456" s="45"/>
      <c r="H456" s="48"/>
      <c r="I456" s="45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</row>
    <row r="457" ht="22.5" customHeight="1">
      <c r="A457" s="44"/>
      <c r="B457" s="45"/>
      <c r="C457" s="45"/>
      <c r="D457" s="46"/>
      <c r="E457" s="47"/>
      <c r="F457" s="45"/>
      <c r="G457" s="45"/>
      <c r="H457" s="48"/>
      <c r="I457" s="45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</row>
    <row r="458" ht="22.5" customHeight="1">
      <c r="A458" s="44"/>
      <c r="B458" s="45"/>
      <c r="C458" s="45"/>
      <c r="D458" s="46"/>
      <c r="E458" s="47"/>
      <c r="F458" s="45"/>
      <c r="G458" s="45"/>
      <c r="H458" s="48"/>
      <c r="I458" s="45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</row>
    <row r="459" ht="22.5" customHeight="1">
      <c r="A459" s="44"/>
      <c r="B459" s="45"/>
      <c r="C459" s="45"/>
      <c r="D459" s="46"/>
      <c r="E459" s="47"/>
      <c r="F459" s="45"/>
      <c r="G459" s="45"/>
      <c r="H459" s="48"/>
      <c r="I459" s="45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</row>
    <row r="460" ht="22.5" customHeight="1">
      <c r="A460" s="44"/>
      <c r="B460" s="45"/>
      <c r="C460" s="45"/>
      <c r="D460" s="46"/>
      <c r="E460" s="47"/>
      <c r="F460" s="45"/>
      <c r="G460" s="45"/>
      <c r="H460" s="48"/>
      <c r="I460" s="45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</row>
    <row r="461" ht="22.5" customHeight="1">
      <c r="A461" s="44"/>
      <c r="B461" s="45"/>
      <c r="C461" s="45"/>
      <c r="D461" s="46"/>
      <c r="E461" s="47"/>
      <c r="F461" s="45"/>
      <c r="G461" s="45"/>
      <c r="H461" s="48"/>
      <c r="I461" s="45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</row>
    <row r="462" ht="22.5" customHeight="1">
      <c r="A462" s="44"/>
      <c r="B462" s="45"/>
      <c r="C462" s="45"/>
      <c r="D462" s="46"/>
      <c r="E462" s="47"/>
      <c r="F462" s="45"/>
      <c r="G462" s="45"/>
      <c r="H462" s="48"/>
      <c r="I462" s="45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</row>
    <row r="463" ht="22.5" customHeight="1">
      <c r="A463" s="44"/>
      <c r="B463" s="45"/>
      <c r="C463" s="45"/>
      <c r="D463" s="46"/>
      <c r="E463" s="47"/>
      <c r="F463" s="45"/>
      <c r="G463" s="45"/>
      <c r="H463" s="48"/>
      <c r="I463" s="45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</row>
    <row r="464" ht="22.5" customHeight="1">
      <c r="A464" s="44"/>
      <c r="B464" s="45"/>
      <c r="C464" s="45"/>
      <c r="D464" s="46"/>
      <c r="E464" s="47"/>
      <c r="F464" s="45"/>
      <c r="G464" s="45"/>
      <c r="H464" s="48"/>
      <c r="I464" s="45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</row>
    <row r="465" ht="22.5" customHeight="1">
      <c r="A465" s="44"/>
      <c r="B465" s="45"/>
      <c r="C465" s="45"/>
      <c r="D465" s="46"/>
      <c r="E465" s="47"/>
      <c r="F465" s="45"/>
      <c r="G465" s="45"/>
      <c r="H465" s="48"/>
      <c r="I465" s="45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</row>
    <row r="466" ht="22.5" customHeight="1">
      <c r="A466" s="44"/>
      <c r="B466" s="45"/>
      <c r="C466" s="45"/>
      <c r="D466" s="46"/>
      <c r="E466" s="47"/>
      <c r="F466" s="45"/>
      <c r="G466" s="45"/>
      <c r="H466" s="48"/>
      <c r="I466" s="45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</row>
    <row r="467" ht="22.5" customHeight="1">
      <c r="A467" s="44"/>
      <c r="B467" s="45"/>
      <c r="C467" s="45"/>
      <c r="D467" s="46"/>
      <c r="E467" s="47"/>
      <c r="F467" s="45"/>
      <c r="G467" s="45"/>
      <c r="H467" s="48"/>
      <c r="I467" s="45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</row>
    <row r="468" ht="22.5" customHeight="1">
      <c r="A468" s="44"/>
      <c r="B468" s="45"/>
      <c r="C468" s="45"/>
      <c r="D468" s="46"/>
      <c r="E468" s="47"/>
      <c r="F468" s="45"/>
      <c r="G468" s="45"/>
      <c r="H468" s="48"/>
      <c r="I468" s="45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</row>
    <row r="469" ht="22.5" customHeight="1">
      <c r="A469" s="44"/>
      <c r="B469" s="45"/>
      <c r="C469" s="45"/>
      <c r="D469" s="46"/>
      <c r="E469" s="47"/>
      <c r="F469" s="45"/>
      <c r="G469" s="45"/>
      <c r="H469" s="48"/>
      <c r="I469" s="45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</row>
    <row r="470" ht="22.5" customHeight="1">
      <c r="A470" s="44"/>
      <c r="B470" s="45"/>
      <c r="C470" s="45"/>
      <c r="D470" s="46"/>
      <c r="E470" s="47"/>
      <c r="F470" s="45"/>
      <c r="G470" s="45"/>
      <c r="H470" s="48"/>
      <c r="I470" s="45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</row>
    <row r="471" ht="22.5" customHeight="1">
      <c r="A471" s="44"/>
      <c r="B471" s="45"/>
      <c r="C471" s="45"/>
      <c r="D471" s="46"/>
      <c r="E471" s="47"/>
      <c r="F471" s="45"/>
      <c r="G471" s="45"/>
      <c r="H471" s="48"/>
      <c r="I471" s="45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</row>
    <row r="472" ht="22.5" customHeight="1">
      <c r="A472" s="44"/>
      <c r="B472" s="45"/>
      <c r="C472" s="45"/>
      <c r="D472" s="46"/>
      <c r="E472" s="47"/>
      <c r="F472" s="45"/>
      <c r="G472" s="45"/>
      <c r="H472" s="48"/>
      <c r="I472" s="45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</row>
    <row r="473" ht="22.5" customHeight="1">
      <c r="A473" s="44"/>
      <c r="B473" s="45"/>
      <c r="C473" s="45"/>
      <c r="D473" s="46"/>
      <c r="E473" s="47"/>
      <c r="F473" s="45"/>
      <c r="G473" s="45"/>
      <c r="H473" s="48"/>
      <c r="I473" s="45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</row>
    <row r="474" ht="22.5" customHeight="1">
      <c r="A474" s="44"/>
      <c r="B474" s="45"/>
      <c r="C474" s="45"/>
      <c r="D474" s="46"/>
      <c r="E474" s="47"/>
      <c r="F474" s="45"/>
      <c r="G474" s="45"/>
      <c r="H474" s="48"/>
      <c r="I474" s="45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</row>
    <row r="475" ht="22.5" customHeight="1">
      <c r="A475" s="44"/>
      <c r="B475" s="45"/>
      <c r="C475" s="45"/>
      <c r="D475" s="46"/>
      <c r="E475" s="47"/>
      <c r="F475" s="45"/>
      <c r="G475" s="45"/>
      <c r="H475" s="48"/>
      <c r="I475" s="45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</row>
    <row r="476" ht="22.5" customHeight="1">
      <c r="A476" s="44"/>
      <c r="B476" s="45"/>
      <c r="C476" s="45"/>
      <c r="D476" s="46"/>
      <c r="E476" s="47"/>
      <c r="F476" s="45"/>
      <c r="G476" s="45"/>
      <c r="H476" s="48"/>
      <c r="I476" s="45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</row>
    <row r="477" ht="22.5" customHeight="1">
      <c r="A477" s="44"/>
      <c r="B477" s="45"/>
      <c r="C477" s="45"/>
      <c r="D477" s="46"/>
      <c r="E477" s="47"/>
      <c r="F477" s="45"/>
      <c r="G477" s="45"/>
      <c r="H477" s="48"/>
      <c r="I477" s="45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</row>
    <row r="478" ht="22.5" customHeight="1">
      <c r="A478" s="44"/>
      <c r="B478" s="45"/>
      <c r="C478" s="45"/>
      <c r="D478" s="46"/>
      <c r="E478" s="47"/>
      <c r="F478" s="45"/>
      <c r="G478" s="45"/>
      <c r="H478" s="48"/>
      <c r="I478" s="45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</row>
    <row r="479" ht="22.5" customHeight="1">
      <c r="A479" s="44"/>
      <c r="B479" s="45"/>
      <c r="C479" s="45"/>
      <c r="D479" s="46"/>
      <c r="E479" s="47"/>
      <c r="F479" s="45"/>
      <c r="G479" s="45"/>
      <c r="H479" s="48"/>
      <c r="I479" s="45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</row>
    <row r="480" ht="22.5" customHeight="1">
      <c r="A480" s="44"/>
      <c r="B480" s="45"/>
      <c r="C480" s="45"/>
      <c r="D480" s="46"/>
      <c r="E480" s="47"/>
      <c r="F480" s="45"/>
      <c r="G480" s="45"/>
      <c r="H480" s="48"/>
      <c r="I480" s="45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</row>
    <row r="481" ht="22.5" customHeight="1">
      <c r="A481" s="44"/>
      <c r="B481" s="45"/>
      <c r="C481" s="45"/>
      <c r="D481" s="46"/>
      <c r="E481" s="47"/>
      <c r="F481" s="45"/>
      <c r="G481" s="45"/>
      <c r="H481" s="48"/>
      <c r="I481" s="45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</row>
    <row r="482" ht="22.5" customHeight="1">
      <c r="A482" s="44"/>
      <c r="B482" s="45"/>
      <c r="C482" s="45"/>
      <c r="D482" s="46"/>
      <c r="E482" s="47"/>
      <c r="F482" s="45"/>
      <c r="G482" s="45"/>
      <c r="H482" s="48"/>
      <c r="I482" s="45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</row>
    <row r="483" ht="22.5" customHeight="1">
      <c r="A483" s="44"/>
      <c r="B483" s="45"/>
      <c r="C483" s="45"/>
      <c r="D483" s="46"/>
      <c r="E483" s="47"/>
      <c r="F483" s="45"/>
      <c r="G483" s="45"/>
      <c r="H483" s="48"/>
      <c r="I483" s="45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</row>
    <row r="484" ht="22.5" customHeight="1">
      <c r="A484" s="44"/>
      <c r="B484" s="45"/>
      <c r="C484" s="45"/>
      <c r="D484" s="46"/>
      <c r="E484" s="47"/>
      <c r="F484" s="45"/>
      <c r="G484" s="45"/>
      <c r="H484" s="48"/>
      <c r="I484" s="45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</row>
    <row r="485" ht="22.5" customHeight="1">
      <c r="A485" s="44"/>
      <c r="B485" s="45"/>
      <c r="C485" s="45"/>
      <c r="D485" s="46"/>
      <c r="E485" s="47"/>
      <c r="F485" s="45"/>
      <c r="G485" s="45"/>
      <c r="H485" s="48"/>
      <c r="I485" s="45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</row>
    <row r="486" ht="22.5" customHeight="1">
      <c r="A486" s="44"/>
      <c r="B486" s="45"/>
      <c r="C486" s="45"/>
      <c r="D486" s="46"/>
      <c r="E486" s="47"/>
      <c r="F486" s="45"/>
      <c r="G486" s="45"/>
      <c r="H486" s="48"/>
      <c r="I486" s="45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</row>
    <row r="487" ht="22.5" customHeight="1">
      <c r="A487" s="44"/>
      <c r="B487" s="45"/>
      <c r="C487" s="45"/>
      <c r="D487" s="46"/>
      <c r="E487" s="47"/>
      <c r="F487" s="45"/>
      <c r="G487" s="45"/>
      <c r="H487" s="48"/>
      <c r="I487" s="45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</row>
    <row r="488" ht="22.5" customHeight="1">
      <c r="A488" s="44"/>
      <c r="B488" s="45"/>
      <c r="C488" s="45"/>
      <c r="D488" s="46"/>
      <c r="E488" s="47"/>
      <c r="F488" s="45"/>
      <c r="G488" s="45"/>
      <c r="H488" s="48"/>
      <c r="I488" s="45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</row>
    <row r="489" ht="22.5" customHeight="1">
      <c r="A489" s="44"/>
      <c r="B489" s="45"/>
      <c r="C489" s="45"/>
      <c r="D489" s="46"/>
      <c r="E489" s="47"/>
      <c r="F489" s="45"/>
      <c r="G489" s="45"/>
      <c r="H489" s="48"/>
      <c r="I489" s="45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</row>
    <row r="490" ht="22.5" customHeight="1">
      <c r="A490" s="44"/>
      <c r="B490" s="45"/>
      <c r="C490" s="45"/>
      <c r="D490" s="46"/>
      <c r="E490" s="47"/>
      <c r="F490" s="45"/>
      <c r="G490" s="45"/>
      <c r="H490" s="48"/>
      <c r="I490" s="45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</row>
    <row r="491" ht="22.5" customHeight="1">
      <c r="A491" s="44"/>
      <c r="B491" s="45"/>
      <c r="C491" s="45"/>
      <c r="D491" s="46"/>
      <c r="E491" s="47"/>
      <c r="F491" s="45"/>
      <c r="G491" s="45"/>
      <c r="H491" s="48"/>
      <c r="I491" s="45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</row>
    <row r="492" ht="22.5" customHeight="1">
      <c r="A492" s="44"/>
      <c r="B492" s="45"/>
      <c r="C492" s="45"/>
      <c r="D492" s="46"/>
      <c r="E492" s="47"/>
      <c r="F492" s="45"/>
      <c r="G492" s="45"/>
      <c r="H492" s="48"/>
      <c r="I492" s="45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</row>
    <row r="493" ht="22.5" customHeight="1">
      <c r="A493" s="44"/>
      <c r="B493" s="45"/>
      <c r="C493" s="45"/>
      <c r="D493" s="46"/>
      <c r="E493" s="47"/>
      <c r="F493" s="45"/>
      <c r="G493" s="45"/>
      <c r="H493" s="48"/>
      <c r="I493" s="45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</row>
    <row r="494" ht="22.5" customHeight="1">
      <c r="A494" s="44"/>
      <c r="B494" s="45"/>
      <c r="C494" s="45"/>
      <c r="D494" s="46"/>
      <c r="E494" s="47"/>
      <c r="F494" s="45"/>
      <c r="G494" s="45"/>
      <c r="H494" s="48"/>
      <c r="I494" s="45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</row>
    <row r="495" ht="22.5" customHeight="1">
      <c r="A495" s="44"/>
      <c r="B495" s="45"/>
      <c r="C495" s="45"/>
      <c r="D495" s="46"/>
      <c r="E495" s="47"/>
      <c r="F495" s="45"/>
      <c r="G495" s="45"/>
      <c r="H495" s="48"/>
      <c r="I495" s="45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</row>
    <row r="496" ht="22.5" customHeight="1">
      <c r="A496" s="44"/>
      <c r="B496" s="45"/>
      <c r="C496" s="45"/>
      <c r="D496" s="46"/>
      <c r="E496" s="47"/>
      <c r="F496" s="45"/>
      <c r="G496" s="45"/>
      <c r="H496" s="48"/>
      <c r="I496" s="45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</row>
    <row r="497" ht="22.5" customHeight="1">
      <c r="A497" s="44"/>
      <c r="B497" s="45"/>
      <c r="C497" s="45"/>
      <c r="D497" s="46"/>
      <c r="E497" s="47"/>
      <c r="F497" s="45"/>
      <c r="G497" s="45"/>
      <c r="H497" s="48"/>
      <c r="I497" s="45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</row>
    <row r="498" ht="22.5" customHeight="1">
      <c r="A498" s="44"/>
      <c r="B498" s="45"/>
      <c r="C498" s="45"/>
      <c r="D498" s="46"/>
      <c r="E498" s="47"/>
      <c r="F498" s="45"/>
      <c r="G498" s="45"/>
      <c r="H498" s="48"/>
      <c r="I498" s="45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</row>
    <row r="499" ht="22.5" customHeight="1">
      <c r="A499" s="44"/>
      <c r="B499" s="45"/>
      <c r="C499" s="45"/>
      <c r="D499" s="46"/>
      <c r="E499" s="47"/>
      <c r="F499" s="45"/>
      <c r="G499" s="45"/>
      <c r="H499" s="48"/>
      <c r="I499" s="45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</row>
    <row r="500" ht="22.5" customHeight="1">
      <c r="A500" s="44"/>
      <c r="B500" s="45"/>
      <c r="C500" s="45"/>
      <c r="D500" s="46"/>
      <c r="E500" s="47"/>
      <c r="F500" s="45"/>
      <c r="G500" s="45"/>
      <c r="H500" s="48"/>
      <c r="I500" s="45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</row>
    <row r="501" ht="22.5" customHeight="1">
      <c r="A501" s="44"/>
      <c r="B501" s="45"/>
      <c r="C501" s="45"/>
      <c r="D501" s="46"/>
      <c r="E501" s="47"/>
      <c r="F501" s="45"/>
      <c r="G501" s="45"/>
      <c r="H501" s="48"/>
      <c r="I501" s="45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</row>
    <row r="502" ht="22.5" customHeight="1">
      <c r="A502" s="44"/>
      <c r="B502" s="45"/>
      <c r="C502" s="45"/>
      <c r="D502" s="46"/>
      <c r="E502" s="47"/>
      <c r="F502" s="45"/>
      <c r="G502" s="45"/>
      <c r="H502" s="48"/>
      <c r="I502" s="45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</row>
    <row r="503" ht="22.5" customHeight="1">
      <c r="A503" s="44"/>
      <c r="B503" s="45"/>
      <c r="C503" s="45"/>
      <c r="D503" s="46"/>
      <c r="E503" s="47"/>
      <c r="F503" s="45"/>
      <c r="G503" s="45"/>
      <c r="H503" s="48"/>
      <c r="I503" s="45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</row>
    <row r="504" ht="22.5" customHeight="1">
      <c r="A504" s="44"/>
      <c r="B504" s="45"/>
      <c r="C504" s="45"/>
      <c r="D504" s="46"/>
      <c r="E504" s="47"/>
      <c r="F504" s="45"/>
      <c r="G504" s="45"/>
      <c r="H504" s="48"/>
      <c r="I504" s="45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</row>
    <row r="505" ht="22.5" customHeight="1">
      <c r="A505" s="44"/>
      <c r="B505" s="45"/>
      <c r="C505" s="45"/>
      <c r="D505" s="46"/>
      <c r="E505" s="47"/>
      <c r="F505" s="45"/>
      <c r="G505" s="45"/>
      <c r="H505" s="48"/>
      <c r="I505" s="45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</row>
    <row r="506" ht="22.5" customHeight="1">
      <c r="A506" s="44"/>
      <c r="B506" s="45"/>
      <c r="C506" s="45"/>
      <c r="D506" s="46"/>
      <c r="E506" s="47"/>
      <c r="F506" s="45"/>
      <c r="G506" s="45"/>
      <c r="H506" s="48"/>
      <c r="I506" s="45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</row>
    <row r="507" ht="22.5" customHeight="1">
      <c r="A507" s="44"/>
      <c r="B507" s="45"/>
      <c r="C507" s="45"/>
      <c r="D507" s="46"/>
      <c r="E507" s="47"/>
      <c r="F507" s="45"/>
      <c r="G507" s="45"/>
      <c r="H507" s="48"/>
      <c r="I507" s="45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</row>
    <row r="508" ht="22.5" customHeight="1">
      <c r="A508" s="44"/>
      <c r="B508" s="45"/>
      <c r="C508" s="45"/>
      <c r="D508" s="46"/>
      <c r="E508" s="47"/>
      <c r="F508" s="45"/>
      <c r="G508" s="45"/>
      <c r="H508" s="48"/>
      <c r="I508" s="45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</row>
    <row r="509" ht="22.5" customHeight="1">
      <c r="A509" s="44"/>
      <c r="B509" s="45"/>
      <c r="C509" s="45"/>
      <c r="D509" s="46"/>
      <c r="E509" s="47"/>
      <c r="F509" s="45"/>
      <c r="G509" s="45"/>
      <c r="H509" s="48"/>
      <c r="I509" s="45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</row>
    <row r="510" ht="22.5" customHeight="1">
      <c r="A510" s="44"/>
      <c r="B510" s="45"/>
      <c r="C510" s="45"/>
      <c r="D510" s="46"/>
      <c r="E510" s="47"/>
      <c r="F510" s="45"/>
      <c r="G510" s="45"/>
      <c r="H510" s="48"/>
      <c r="I510" s="45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</row>
    <row r="511" ht="22.5" customHeight="1">
      <c r="A511" s="44"/>
      <c r="B511" s="45"/>
      <c r="C511" s="45"/>
      <c r="D511" s="46"/>
      <c r="E511" s="47"/>
      <c r="F511" s="45"/>
      <c r="G511" s="45"/>
      <c r="H511" s="48"/>
      <c r="I511" s="45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</row>
    <row r="512" ht="22.5" customHeight="1">
      <c r="A512" s="44"/>
      <c r="B512" s="45"/>
      <c r="C512" s="45"/>
      <c r="D512" s="46"/>
      <c r="E512" s="47"/>
      <c r="F512" s="45"/>
      <c r="G512" s="45"/>
      <c r="H512" s="48"/>
      <c r="I512" s="45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</row>
    <row r="513" ht="22.5" customHeight="1">
      <c r="A513" s="44"/>
      <c r="B513" s="45"/>
      <c r="C513" s="45"/>
      <c r="D513" s="46"/>
      <c r="E513" s="47"/>
      <c r="F513" s="45"/>
      <c r="G513" s="45"/>
      <c r="H513" s="48"/>
      <c r="I513" s="45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</row>
    <row r="514" ht="22.5" customHeight="1">
      <c r="A514" s="44"/>
      <c r="B514" s="45"/>
      <c r="C514" s="45"/>
      <c r="D514" s="46"/>
      <c r="E514" s="47"/>
      <c r="F514" s="45"/>
      <c r="G514" s="45"/>
      <c r="H514" s="48"/>
      <c r="I514" s="45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</row>
    <row r="515" ht="22.5" customHeight="1">
      <c r="A515" s="44"/>
      <c r="B515" s="45"/>
      <c r="C515" s="45"/>
      <c r="D515" s="46"/>
      <c r="E515" s="47"/>
      <c r="F515" s="45"/>
      <c r="G515" s="45"/>
      <c r="H515" s="48"/>
      <c r="I515" s="45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</row>
    <row r="516" ht="22.5" customHeight="1">
      <c r="A516" s="44"/>
      <c r="B516" s="45"/>
      <c r="C516" s="45"/>
      <c r="D516" s="46"/>
      <c r="E516" s="47"/>
      <c r="F516" s="45"/>
      <c r="G516" s="45"/>
      <c r="H516" s="48"/>
      <c r="I516" s="45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</row>
    <row r="517" ht="22.5" customHeight="1">
      <c r="A517" s="44"/>
      <c r="B517" s="45"/>
      <c r="C517" s="45"/>
      <c r="D517" s="46"/>
      <c r="E517" s="47"/>
      <c r="F517" s="45"/>
      <c r="G517" s="45"/>
      <c r="H517" s="48"/>
      <c r="I517" s="45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</row>
    <row r="518" ht="22.5" customHeight="1">
      <c r="A518" s="44"/>
      <c r="B518" s="45"/>
      <c r="C518" s="45"/>
      <c r="D518" s="46"/>
      <c r="E518" s="47"/>
      <c r="F518" s="45"/>
      <c r="G518" s="45"/>
      <c r="H518" s="48"/>
      <c r="I518" s="45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</row>
    <row r="519" ht="22.5" customHeight="1">
      <c r="A519" s="44"/>
      <c r="B519" s="45"/>
      <c r="C519" s="45"/>
      <c r="D519" s="46"/>
      <c r="E519" s="47"/>
      <c r="F519" s="45"/>
      <c r="G519" s="45"/>
      <c r="H519" s="48"/>
      <c r="I519" s="45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</row>
    <row r="520" ht="22.5" customHeight="1">
      <c r="A520" s="44"/>
      <c r="B520" s="45"/>
      <c r="C520" s="45"/>
      <c r="D520" s="46"/>
      <c r="E520" s="47"/>
      <c r="F520" s="45"/>
      <c r="G520" s="45"/>
      <c r="H520" s="48"/>
      <c r="I520" s="45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</row>
    <row r="521" ht="22.5" customHeight="1">
      <c r="A521" s="44"/>
      <c r="B521" s="45"/>
      <c r="C521" s="45"/>
      <c r="D521" s="46"/>
      <c r="E521" s="47"/>
      <c r="F521" s="45"/>
      <c r="G521" s="45"/>
      <c r="H521" s="48"/>
      <c r="I521" s="45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</row>
    <row r="522" ht="22.5" customHeight="1">
      <c r="A522" s="44"/>
      <c r="B522" s="45"/>
      <c r="C522" s="45"/>
      <c r="D522" s="46"/>
      <c r="E522" s="47"/>
      <c r="F522" s="45"/>
      <c r="G522" s="45"/>
      <c r="H522" s="48"/>
      <c r="I522" s="45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</row>
    <row r="523" ht="22.5" customHeight="1">
      <c r="A523" s="44"/>
      <c r="B523" s="45"/>
      <c r="C523" s="45"/>
      <c r="D523" s="46"/>
      <c r="E523" s="47"/>
      <c r="F523" s="45"/>
      <c r="G523" s="45"/>
      <c r="H523" s="48"/>
      <c r="I523" s="45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</row>
    <row r="524" ht="22.5" customHeight="1">
      <c r="A524" s="44"/>
      <c r="B524" s="45"/>
      <c r="C524" s="45"/>
      <c r="D524" s="46"/>
      <c r="E524" s="47"/>
      <c r="F524" s="45"/>
      <c r="G524" s="45"/>
      <c r="H524" s="48"/>
      <c r="I524" s="45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</row>
    <row r="525" ht="22.5" customHeight="1">
      <c r="A525" s="44"/>
      <c r="B525" s="45"/>
      <c r="C525" s="45"/>
      <c r="D525" s="46"/>
      <c r="E525" s="47"/>
      <c r="F525" s="45"/>
      <c r="G525" s="45"/>
      <c r="H525" s="48"/>
      <c r="I525" s="45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</row>
    <row r="526" ht="22.5" customHeight="1">
      <c r="A526" s="44"/>
      <c r="B526" s="45"/>
      <c r="C526" s="45"/>
      <c r="D526" s="46"/>
      <c r="E526" s="47"/>
      <c r="F526" s="45"/>
      <c r="G526" s="45"/>
      <c r="H526" s="48"/>
      <c r="I526" s="45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</row>
    <row r="527" ht="22.5" customHeight="1">
      <c r="A527" s="44"/>
      <c r="B527" s="45"/>
      <c r="C527" s="45"/>
      <c r="D527" s="46"/>
      <c r="E527" s="47"/>
      <c r="F527" s="45"/>
      <c r="G527" s="45"/>
      <c r="H527" s="48"/>
      <c r="I527" s="45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</row>
    <row r="528" ht="22.5" customHeight="1">
      <c r="A528" s="44"/>
      <c r="B528" s="45"/>
      <c r="C528" s="45"/>
      <c r="D528" s="46"/>
      <c r="E528" s="47"/>
      <c r="F528" s="45"/>
      <c r="G528" s="45"/>
      <c r="H528" s="48"/>
      <c r="I528" s="45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</row>
    <row r="529" ht="22.5" customHeight="1">
      <c r="A529" s="44"/>
      <c r="B529" s="45"/>
      <c r="C529" s="45"/>
      <c r="D529" s="46"/>
      <c r="E529" s="47"/>
      <c r="F529" s="45"/>
      <c r="G529" s="45"/>
      <c r="H529" s="48"/>
      <c r="I529" s="45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</row>
    <row r="530" ht="22.5" customHeight="1">
      <c r="A530" s="44"/>
      <c r="B530" s="45"/>
      <c r="C530" s="45"/>
      <c r="D530" s="46"/>
      <c r="E530" s="47"/>
      <c r="F530" s="45"/>
      <c r="G530" s="45"/>
      <c r="H530" s="48"/>
      <c r="I530" s="45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</row>
    <row r="531" ht="22.5" customHeight="1">
      <c r="A531" s="44"/>
      <c r="B531" s="45"/>
      <c r="C531" s="45"/>
      <c r="D531" s="46"/>
      <c r="E531" s="47"/>
      <c r="F531" s="45"/>
      <c r="G531" s="45"/>
      <c r="H531" s="48"/>
      <c r="I531" s="45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</row>
    <row r="532" ht="22.5" customHeight="1">
      <c r="A532" s="44"/>
      <c r="B532" s="45"/>
      <c r="C532" s="45"/>
      <c r="D532" s="46"/>
      <c r="E532" s="47"/>
      <c r="F532" s="45"/>
      <c r="G532" s="45"/>
      <c r="H532" s="48"/>
      <c r="I532" s="45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</row>
    <row r="533" ht="22.5" customHeight="1">
      <c r="A533" s="44"/>
      <c r="B533" s="45"/>
      <c r="C533" s="45"/>
      <c r="D533" s="46"/>
      <c r="E533" s="47"/>
      <c r="F533" s="45"/>
      <c r="G533" s="45"/>
      <c r="H533" s="48"/>
      <c r="I533" s="45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</row>
    <row r="534" ht="22.5" customHeight="1">
      <c r="A534" s="44"/>
      <c r="B534" s="45"/>
      <c r="C534" s="45"/>
      <c r="D534" s="46"/>
      <c r="E534" s="47"/>
      <c r="F534" s="45"/>
      <c r="G534" s="45"/>
      <c r="H534" s="48"/>
      <c r="I534" s="45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</row>
    <row r="535" ht="22.5" customHeight="1">
      <c r="A535" s="44"/>
      <c r="B535" s="45"/>
      <c r="C535" s="45"/>
      <c r="D535" s="46"/>
      <c r="E535" s="47"/>
      <c r="F535" s="45"/>
      <c r="G535" s="45"/>
      <c r="H535" s="48"/>
      <c r="I535" s="45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</row>
    <row r="536" ht="22.5" customHeight="1">
      <c r="A536" s="44"/>
      <c r="B536" s="45"/>
      <c r="C536" s="45"/>
      <c r="D536" s="46"/>
      <c r="E536" s="47"/>
      <c r="F536" s="45"/>
      <c r="G536" s="45"/>
      <c r="H536" s="48"/>
      <c r="I536" s="45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</row>
    <row r="537" ht="22.5" customHeight="1">
      <c r="A537" s="44"/>
      <c r="B537" s="45"/>
      <c r="C537" s="45"/>
      <c r="D537" s="46"/>
      <c r="E537" s="47"/>
      <c r="F537" s="45"/>
      <c r="G537" s="45"/>
      <c r="H537" s="48"/>
      <c r="I537" s="45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</row>
    <row r="538" ht="22.5" customHeight="1">
      <c r="A538" s="44"/>
      <c r="B538" s="45"/>
      <c r="C538" s="45"/>
      <c r="D538" s="46"/>
      <c r="E538" s="47"/>
      <c r="F538" s="45"/>
      <c r="G538" s="45"/>
      <c r="H538" s="48"/>
      <c r="I538" s="45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</row>
    <row r="539" ht="22.5" customHeight="1">
      <c r="A539" s="44"/>
      <c r="B539" s="45"/>
      <c r="C539" s="45"/>
      <c r="D539" s="46"/>
      <c r="E539" s="47"/>
      <c r="F539" s="45"/>
      <c r="G539" s="45"/>
      <c r="H539" s="48"/>
      <c r="I539" s="45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</row>
    <row r="540" ht="22.5" customHeight="1">
      <c r="A540" s="44"/>
      <c r="B540" s="45"/>
      <c r="C540" s="45"/>
      <c r="D540" s="46"/>
      <c r="E540" s="47"/>
      <c r="F540" s="45"/>
      <c r="G540" s="45"/>
      <c r="H540" s="48"/>
      <c r="I540" s="45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</row>
    <row r="541" ht="22.5" customHeight="1">
      <c r="A541" s="44"/>
      <c r="B541" s="45"/>
      <c r="C541" s="45"/>
      <c r="D541" s="46"/>
      <c r="E541" s="47"/>
      <c r="F541" s="45"/>
      <c r="G541" s="45"/>
      <c r="H541" s="48"/>
      <c r="I541" s="45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</row>
    <row r="542" ht="22.5" customHeight="1">
      <c r="A542" s="44"/>
      <c r="B542" s="45"/>
      <c r="C542" s="45"/>
      <c r="D542" s="46"/>
      <c r="E542" s="47"/>
      <c r="F542" s="45"/>
      <c r="G542" s="45"/>
      <c r="H542" s="48"/>
      <c r="I542" s="45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</row>
    <row r="543" ht="22.5" customHeight="1">
      <c r="A543" s="44"/>
      <c r="B543" s="45"/>
      <c r="C543" s="45"/>
      <c r="D543" s="46"/>
      <c r="E543" s="47"/>
      <c r="F543" s="45"/>
      <c r="G543" s="45"/>
      <c r="H543" s="48"/>
      <c r="I543" s="45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</row>
    <row r="544" ht="22.5" customHeight="1">
      <c r="A544" s="44"/>
      <c r="B544" s="45"/>
      <c r="C544" s="45"/>
      <c r="D544" s="46"/>
      <c r="E544" s="47"/>
      <c r="F544" s="45"/>
      <c r="G544" s="45"/>
      <c r="H544" s="48"/>
      <c r="I544" s="45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</row>
    <row r="545" ht="22.5" customHeight="1">
      <c r="A545" s="44"/>
      <c r="B545" s="45"/>
      <c r="C545" s="45"/>
      <c r="D545" s="46"/>
      <c r="E545" s="47"/>
      <c r="F545" s="45"/>
      <c r="G545" s="45"/>
      <c r="H545" s="48"/>
      <c r="I545" s="45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</row>
    <row r="546" ht="22.5" customHeight="1">
      <c r="A546" s="44"/>
      <c r="B546" s="45"/>
      <c r="C546" s="45"/>
      <c r="D546" s="46"/>
      <c r="E546" s="47"/>
      <c r="F546" s="45"/>
      <c r="G546" s="45"/>
      <c r="H546" s="48"/>
      <c r="I546" s="45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</row>
    <row r="547" ht="22.5" customHeight="1">
      <c r="A547" s="44"/>
      <c r="B547" s="45"/>
      <c r="C547" s="45"/>
      <c r="D547" s="46"/>
      <c r="E547" s="47"/>
      <c r="F547" s="45"/>
      <c r="G547" s="45"/>
      <c r="H547" s="48"/>
      <c r="I547" s="45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</row>
    <row r="548" ht="22.5" customHeight="1">
      <c r="A548" s="44"/>
      <c r="B548" s="45"/>
      <c r="C548" s="45"/>
      <c r="D548" s="46"/>
      <c r="E548" s="47"/>
      <c r="F548" s="45"/>
      <c r="G548" s="45"/>
      <c r="H548" s="48"/>
      <c r="I548" s="45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</row>
    <row r="549" ht="22.5" customHeight="1">
      <c r="A549" s="44"/>
      <c r="B549" s="45"/>
      <c r="C549" s="45"/>
      <c r="D549" s="46"/>
      <c r="E549" s="47"/>
      <c r="F549" s="45"/>
      <c r="G549" s="45"/>
      <c r="H549" s="48"/>
      <c r="I549" s="45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</row>
    <row r="550" ht="22.5" customHeight="1">
      <c r="A550" s="44"/>
      <c r="B550" s="45"/>
      <c r="C550" s="45"/>
      <c r="D550" s="46"/>
      <c r="E550" s="47"/>
      <c r="F550" s="45"/>
      <c r="G550" s="45"/>
      <c r="H550" s="48"/>
      <c r="I550" s="45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</row>
    <row r="551" ht="22.5" customHeight="1">
      <c r="A551" s="44"/>
      <c r="B551" s="45"/>
      <c r="C551" s="45"/>
      <c r="D551" s="46"/>
      <c r="E551" s="47"/>
      <c r="F551" s="45"/>
      <c r="G551" s="45"/>
      <c r="H551" s="48"/>
      <c r="I551" s="45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</row>
    <row r="552" ht="22.5" customHeight="1">
      <c r="A552" s="44"/>
      <c r="B552" s="45"/>
      <c r="C552" s="45"/>
      <c r="D552" s="46"/>
      <c r="E552" s="47"/>
      <c r="F552" s="45"/>
      <c r="G552" s="45"/>
      <c r="H552" s="48"/>
      <c r="I552" s="45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</row>
    <row r="553" ht="22.5" customHeight="1">
      <c r="A553" s="44"/>
      <c r="B553" s="45"/>
      <c r="C553" s="45"/>
      <c r="D553" s="46"/>
      <c r="E553" s="47"/>
      <c r="F553" s="45"/>
      <c r="G553" s="45"/>
      <c r="H553" s="48"/>
      <c r="I553" s="45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</row>
    <row r="554" ht="22.5" customHeight="1">
      <c r="A554" s="44"/>
      <c r="B554" s="45"/>
      <c r="C554" s="45"/>
      <c r="D554" s="46"/>
      <c r="E554" s="47"/>
      <c r="F554" s="45"/>
      <c r="G554" s="45"/>
      <c r="H554" s="48"/>
      <c r="I554" s="45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</row>
    <row r="555" ht="22.5" customHeight="1">
      <c r="A555" s="44"/>
      <c r="B555" s="45"/>
      <c r="C555" s="45"/>
      <c r="D555" s="46"/>
      <c r="E555" s="47"/>
      <c r="F555" s="45"/>
      <c r="G555" s="45"/>
      <c r="H555" s="48"/>
      <c r="I555" s="45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</row>
    <row r="556" ht="22.5" customHeight="1">
      <c r="A556" s="44"/>
      <c r="B556" s="45"/>
      <c r="C556" s="45"/>
      <c r="D556" s="46"/>
      <c r="E556" s="47"/>
      <c r="F556" s="45"/>
      <c r="G556" s="45"/>
      <c r="H556" s="48"/>
      <c r="I556" s="45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</row>
    <row r="557" ht="22.5" customHeight="1">
      <c r="A557" s="44"/>
      <c r="B557" s="45"/>
      <c r="C557" s="45"/>
      <c r="D557" s="46"/>
      <c r="E557" s="47"/>
      <c r="F557" s="45"/>
      <c r="G557" s="45"/>
      <c r="H557" s="48"/>
      <c r="I557" s="45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</row>
    <row r="558" ht="22.5" customHeight="1">
      <c r="A558" s="44"/>
      <c r="B558" s="45"/>
      <c r="C558" s="45"/>
      <c r="D558" s="46"/>
      <c r="E558" s="47"/>
      <c r="F558" s="45"/>
      <c r="G558" s="45"/>
      <c r="H558" s="48"/>
      <c r="I558" s="45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</row>
    <row r="559" ht="22.5" customHeight="1">
      <c r="A559" s="44"/>
      <c r="B559" s="45"/>
      <c r="C559" s="45"/>
      <c r="D559" s="46"/>
      <c r="E559" s="47"/>
      <c r="F559" s="45"/>
      <c r="G559" s="45"/>
      <c r="H559" s="48"/>
      <c r="I559" s="45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</row>
    <row r="560" ht="22.5" customHeight="1">
      <c r="A560" s="44"/>
      <c r="B560" s="45"/>
      <c r="C560" s="45"/>
      <c r="D560" s="46"/>
      <c r="E560" s="47"/>
      <c r="F560" s="45"/>
      <c r="G560" s="45"/>
      <c r="H560" s="48"/>
      <c r="I560" s="45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</row>
    <row r="561" ht="22.5" customHeight="1">
      <c r="A561" s="44"/>
      <c r="B561" s="45"/>
      <c r="C561" s="45"/>
      <c r="D561" s="46"/>
      <c r="E561" s="47"/>
      <c r="F561" s="45"/>
      <c r="G561" s="45"/>
      <c r="H561" s="48"/>
      <c r="I561" s="45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</row>
    <row r="562" ht="22.5" customHeight="1">
      <c r="A562" s="44"/>
      <c r="B562" s="45"/>
      <c r="C562" s="45"/>
      <c r="D562" s="46"/>
      <c r="E562" s="47"/>
      <c r="F562" s="45"/>
      <c r="G562" s="45"/>
      <c r="H562" s="48"/>
      <c r="I562" s="45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</row>
    <row r="563" ht="22.5" customHeight="1">
      <c r="A563" s="44"/>
      <c r="B563" s="45"/>
      <c r="C563" s="45"/>
      <c r="D563" s="46"/>
      <c r="E563" s="47"/>
      <c r="F563" s="45"/>
      <c r="G563" s="45"/>
      <c r="H563" s="48"/>
      <c r="I563" s="45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</row>
    <row r="564" ht="22.5" customHeight="1">
      <c r="A564" s="44"/>
      <c r="B564" s="45"/>
      <c r="C564" s="45"/>
      <c r="D564" s="46"/>
      <c r="E564" s="47"/>
      <c r="F564" s="45"/>
      <c r="G564" s="45"/>
      <c r="H564" s="48"/>
      <c r="I564" s="45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</row>
    <row r="565" ht="22.5" customHeight="1">
      <c r="A565" s="44"/>
      <c r="B565" s="45"/>
      <c r="C565" s="45"/>
      <c r="D565" s="46"/>
      <c r="E565" s="47"/>
      <c r="F565" s="45"/>
      <c r="G565" s="45"/>
      <c r="H565" s="48"/>
      <c r="I565" s="45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</row>
    <row r="566" ht="22.5" customHeight="1">
      <c r="A566" s="44"/>
      <c r="B566" s="45"/>
      <c r="C566" s="45"/>
      <c r="D566" s="46"/>
      <c r="E566" s="47"/>
      <c r="F566" s="45"/>
      <c r="G566" s="45"/>
      <c r="H566" s="48"/>
      <c r="I566" s="45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</row>
    <row r="567" ht="22.5" customHeight="1">
      <c r="A567" s="44"/>
      <c r="B567" s="45"/>
      <c r="C567" s="45"/>
      <c r="D567" s="46"/>
      <c r="E567" s="47"/>
      <c r="F567" s="45"/>
      <c r="G567" s="45"/>
      <c r="H567" s="48"/>
      <c r="I567" s="45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</row>
    <row r="568" ht="22.5" customHeight="1">
      <c r="A568" s="44"/>
      <c r="B568" s="45"/>
      <c r="C568" s="45"/>
      <c r="D568" s="46"/>
      <c r="E568" s="47"/>
      <c r="F568" s="45"/>
      <c r="G568" s="45"/>
      <c r="H568" s="48"/>
      <c r="I568" s="45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</row>
    <row r="569" ht="22.5" customHeight="1">
      <c r="A569" s="44"/>
      <c r="B569" s="45"/>
      <c r="C569" s="45"/>
      <c r="D569" s="46"/>
      <c r="E569" s="47"/>
      <c r="F569" s="45"/>
      <c r="G569" s="45"/>
      <c r="H569" s="48"/>
      <c r="I569" s="45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</row>
    <row r="570" ht="22.5" customHeight="1">
      <c r="A570" s="44"/>
      <c r="B570" s="45"/>
      <c r="C570" s="45"/>
      <c r="D570" s="46"/>
      <c r="E570" s="47"/>
      <c r="F570" s="45"/>
      <c r="G570" s="45"/>
      <c r="H570" s="48"/>
      <c r="I570" s="45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</row>
    <row r="571" ht="22.5" customHeight="1">
      <c r="A571" s="44"/>
      <c r="B571" s="45"/>
      <c r="C571" s="45"/>
      <c r="D571" s="46"/>
      <c r="E571" s="47"/>
      <c r="F571" s="45"/>
      <c r="G571" s="45"/>
      <c r="H571" s="48"/>
      <c r="I571" s="45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</row>
    <row r="572" ht="22.5" customHeight="1">
      <c r="A572" s="44"/>
      <c r="B572" s="45"/>
      <c r="C572" s="45"/>
      <c r="D572" s="46"/>
      <c r="E572" s="47"/>
      <c r="F572" s="45"/>
      <c r="G572" s="45"/>
      <c r="H572" s="48"/>
      <c r="I572" s="45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</row>
    <row r="573" ht="22.5" customHeight="1">
      <c r="A573" s="44"/>
      <c r="B573" s="45"/>
      <c r="C573" s="45"/>
      <c r="D573" s="46"/>
      <c r="E573" s="47"/>
      <c r="F573" s="45"/>
      <c r="G573" s="45"/>
      <c r="H573" s="48"/>
      <c r="I573" s="45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</row>
    <row r="574" ht="22.5" customHeight="1">
      <c r="A574" s="44"/>
      <c r="B574" s="45"/>
      <c r="C574" s="45"/>
      <c r="D574" s="46"/>
      <c r="E574" s="47"/>
      <c r="F574" s="45"/>
      <c r="G574" s="45"/>
      <c r="H574" s="48"/>
      <c r="I574" s="45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</row>
    <row r="575" ht="22.5" customHeight="1">
      <c r="A575" s="44"/>
      <c r="B575" s="45"/>
      <c r="C575" s="45"/>
      <c r="D575" s="46"/>
      <c r="E575" s="47"/>
      <c r="F575" s="45"/>
      <c r="G575" s="45"/>
      <c r="H575" s="48"/>
      <c r="I575" s="45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</row>
    <row r="576" ht="22.5" customHeight="1">
      <c r="A576" s="44"/>
      <c r="B576" s="45"/>
      <c r="C576" s="45"/>
      <c r="D576" s="46"/>
      <c r="E576" s="47"/>
      <c r="F576" s="45"/>
      <c r="G576" s="45"/>
      <c r="H576" s="48"/>
      <c r="I576" s="45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</row>
    <row r="577" ht="22.5" customHeight="1">
      <c r="A577" s="44"/>
      <c r="B577" s="45"/>
      <c r="C577" s="45"/>
      <c r="D577" s="46"/>
      <c r="E577" s="47"/>
      <c r="F577" s="45"/>
      <c r="G577" s="45"/>
      <c r="H577" s="48"/>
      <c r="I577" s="45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</row>
    <row r="578" ht="22.5" customHeight="1">
      <c r="A578" s="44"/>
      <c r="B578" s="45"/>
      <c r="C578" s="45"/>
      <c r="D578" s="46"/>
      <c r="E578" s="47"/>
      <c r="F578" s="45"/>
      <c r="G578" s="45"/>
      <c r="H578" s="48"/>
      <c r="I578" s="45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</row>
    <row r="579" ht="22.5" customHeight="1">
      <c r="A579" s="44"/>
      <c r="B579" s="45"/>
      <c r="C579" s="45"/>
      <c r="D579" s="46"/>
      <c r="E579" s="47"/>
      <c r="F579" s="45"/>
      <c r="G579" s="45"/>
      <c r="H579" s="48"/>
      <c r="I579" s="45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</row>
    <row r="580" ht="22.5" customHeight="1">
      <c r="A580" s="44"/>
      <c r="B580" s="45"/>
      <c r="C580" s="45"/>
      <c r="D580" s="46"/>
      <c r="E580" s="47"/>
      <c r="F580" s="45"/>
      <c r="G580" s="45"/>
      <c r="H580" s="48"/>
      <c r="I580" s="45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</row>
    <row r="581" ht="22.5" customHeight="1">
      <c r="A581" s="44"/>
      <c r="B581" s="45"/>
      <c r="C581" s="45"/>
      <c r="D581" s="46"/>
      <c r="E581" s="47"/>
      <c r="F581" s="45"/>
      <c r="G581" s="45"/>
      <c r="H581" s="48"/>
      <c r="I581" s="45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</row>
    <row r="582" ht="22.5" customHeight="1">
      <c r="A582" s="44"/>
      <c r="B582" s="45"/>
      <c r="C582" s="45"/>
      <c r="D582" s="46"/>
      <c r="E582" s="47"/>
      <c r="F582" s="45"/>
      <c r="G582" s="45"/>
      <c r="H582" s="48"/>
      <c r="I582" s="45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</row>
    <row r="583" ht="22.5" customHeight="1">
      <c r="A583" s="44"/>
      <c r="B583" s="45"/>
      <c r="C583" s="45"/>
      <c r="D583" s="46"/>
      <c r="E583" s="47"/>
      <c r="F583" s="45"/>
      <c r="G583" s="45"/>
      <c r="H583" s="48"/>
      <c r="I583" s="45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</row>
    <row r="584" ht="22.5" customHeight="1">
      <c r="A584" s="44"/>
      <c r="B584" s="45"/>
      <c r="C584" s="45"/>
      <c r="D584" s="46"/>
      <c r="E584" s="47"/>
      <c r="F584" s="45"/>
      <c r="G584" s="45"/>
      <c r="H584" s="48"/>
      <c r="I584" s="45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</row>
    <row r="585" ht="22.5" customHeight="1">
      <c r="A585" s="44"/>
      <c r="B585" s="45"/>
      <c r="C585" s="45"/>
      <c r="D585" s="46"/>
      <c r="E585" s="47"/>
      <c r="F585" s="45"/>
      <c r="G585" s="45"/>
      <c r="H585" s="48"/>
      <c r="I585" s="45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</row>
    <row r="586" ht="22.5" customHeight="1">
      <c r="A586" s="44"/>
      <c r="B586" s="45"/>
      <c r="C586" s="45"/>
      <c r="D586" s="46"/>
      <c r="E586" s="47"/>
      <c r="F586" s="45"/>
      <c r="G586" s="45"/>
      <c r="H586" s="48"/>
      <c r="I586" s="45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</row>
    <row r="587" ht="22.5" customHeight="1">
      <c r="A587" s="44"/>
      <c r="B587" s="45"/>
      <c r="C587" s="45"/>
      <c r="D587" s="46"/>
      <c r="E587" s="47"/>
      <c r="F587" s="45"/>
      <c r="G587" s="45"/>
      <c r="H587" s="48"/>
      <c r="I587" s="45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</row>
    <row r="588" ht="22.5" customHeight="1">
      <c r="A588" s="44"/>
      <c r="B588" s="45"/>
      <c r="C588" s="45"/>
      <c r="D588" s="46"/>
      <c r="E588" s="47"/>
      <c r="F588" s="45"/>
      <c r="G588" s="45"/>
      <c r="H588" s="48"/>
      <c r="I588" s="45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</row>
    <row r="589" ht="22.5" customHeight="1">
      <c r="A589" s="44"/>
      <c r="B589" s="45"/>
      <c r="C589" s="45"/>
      <c r="D589" s="46"/>
      <c r="E589" s="47"/>
      <c r="F589" s="45"/>
      <c r="G589" s="45"/>
      <c r="H589" s="48"/>
      <c r="I589" s="45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</row>
    <row r="590" ht="22.5" customHeight="1">
      <c r="A590" s="44"/>
      <c r="B590" s="45"/>
      <c r="C590" s="45"/>
      <c r="D590" s="46"/>
      <c r="E590" s="47"/>
      <c r="F590" s="45"/>
      <c r="G590" s="45"/>
      <c r="H590" s="48"/>
      <c r="I590" s="45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</row>
    <row r="591" ht="22.5" customHeight="1">
      <c r="A591" s="44"/>
      <c r="B591" s="45"/>
      <c r="C591" s="45"/>
      <c r="D591" s="46"/>
      <c r="E591" s="47"/>
      <c r="F591" s="45"/>
      <c r="G591" s="45"/>
      <c r="H591" s="48"/>
      <c r="I591" s="45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</row>
    <row r="592" ht="22.5" customHeight="1">
      <c r="A592" s="44"/>
      <c r="B592" s="45"/>
      <c r="C592" s="45"/>
      <c r="D592" s="46"/>
      <c r="E592" s="47"/>
      <c r="F592" s="45"/>
      <c r="G592" s="45"/>
      <c r="H592" s="48"/>
      <c r="I592" s="45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</row>
    <row r="593" ht="22.5" customHeight="1">
      <c r="A593" s="44"/>
      <c r="B593" s="45"/>
      <c r="C593" s="45"/>
      <c r="D593" s="46"/>
      <c r="E593" s="47"/>
      <c r="F593" s="45"/>
      <c r="G593" s="45"/>
      <c r="H593" s="48"/>
      <c r="I593" s="45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</row>
    <row r="594" ht="22.5" customHeight="1">
      <c r="A594" s="44"/>
      <c r="B594" s="45"/>
      <c r="C594" s="45"/>
      <c r="D594" s="46"/>
      <c r="E594" s="47"/>
      <c r="F594" s="45"/>
      <c r="G594" s="45"/>
      <c r="H594" s="48"/>
      <c r="I594" s="45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</row>
    <row r="595" ht="22.5" customHeight="1">
      <c r="A595" s="44"/>
      <c r="B595" s="45"/>
      <c r="C595" s="45"/>
      <c r="D595" s="46"/>
      <c r="E595" s="47"/>
      <c r="F595" s="45"/>
      <c r="G595" s="45"/>
      <c r="H595" s="48"/>
      <c r="I595" s="45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</row>
    <row r="596" ht="22.5" customHeight="1">
      <c r="A596" s="44"/>
      <c r="B596" s="45"/>
      <c r="C596" s="45"/>
      <c r="D596" s="46"/>
      <c r="E596" s="47"/>
      <c r="F596" s="45"/>
      <c r="G596" s="45"/>
      <c r="H596" s="48"/>
      <c r="I596" s="45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</row>
    <row r="597" ht="22.5" customHeight="1">
      <c r="A597" s="44"/>
      <c r="B597" s="45"/>
      <c r="C597" s="45"/>
      <c r="D597" s="46"/>
      <c r="E597" s="47"/>
      <c r="F597" s="45"/>
      <c r="G597" s="45"/>
      <c r="H597" s="48"/>
      <c r="I597" s="45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</row>
    <row r="598" ht="22.5" customHeight="1">
      <c r="A598" s="44"/>
      <c r="B598" s="45"/>
      <c r="C598" s="45"/>
      <c r="D598" s="46"/>
      <c r="E598" s="47"/>
      <c r="F598" s="45"/>
      <c r="G598" s="45"/>
      <c r="H598" s="48"/>
      <c r="I598" s="45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</row>
    <row r="599" ht="22.5" customHeight="1">
      <c r="A599" s="44"/>
      <c r="B599" s="45"/>
      <c r="C599" s="45"/>
      <c r="D599" s="46"/>
      <c r="E599" s="47"/>
      <c r="F599" s="45"/>
      <c r="G599" s="45"/>
      <c r="H599" s="48"/>
      <c r="I599" s="45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</row>
    <row r="600" ht="22.5" customHeight="1">
      <c r="A600" s="44"/>
      <c r="B600" s="45"/>
      <c r="C600" s="45"/>
      <c r="D600" s="46"/>
      <c r="E600" s="47"/>
      <c r="F600" s="45"/>
      <c r="G600" s="45"/>
      <c r="H600" s="48"/>
      <c r="I600" s="45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</row>
    <row r="601" ht="22.5" customHeight="1">
      <c r="A601" s="44"/>
      <c r="B601" s="45"/>
      <c r="C601" s="45"/>
      <c r="D601" s="46"/>
      <c r="E601" s="47"/>
      <c r="F601" s="45"/>
      <c r="G601" s="45"/>
      <c r="H601" s="48"/>
      <c r="I601" s="45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</row>
    <row r="602" ht="22.5" customHeight="1">
      <c r="A602" s="44"/>
      <c r="B602" s="45"/>
      <c r="C602" s="45"/>
      <c r="D602" s="46"/>
      <c r="E602" s="47"/>
      <c r="F602" s="45"/>
      <c r="G602" s="45"/>
      <c r="H602" s="48"/>
      <c r="I602" s="45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</row>
    <row r="603" ht="22.5" customHeight="1">
      <c r="A603" s="44"/>
      <c r="B603" s="45"/>
      <c r="C603" s="45"/>
      <c r="D603" s="46"/>
      <c r="E603" s="47"/>
      <c r="F603" s="45"/>
      <c r="G603" s="45"/>
      <c r="H603" s="48"/>
      <c r="I603" s="45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</row>
    <row r="604" ht="22.5" customHeight="1">
      <c r="A604" s="44"/>
      <c r="B604" s="45"/>
      <c r="C604" s="45"/>
      <c r="D604" s="46"/>
      <c r="E604" s="47"/>
      <c r="F604" s="45"/>
      <c r="G604" s="45"/>
      <c r="H604" s="48"/>
      <c r="I604" s="45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</row>
    <row r="605" ht="22.5" customHeight="1">
      <c r="A605" s="44"/>
      <c r="B605" s="45"/>
      <c r="C605" s="45"/>
      <c r="D605" s="46"/>
      <c r="E605" s="47"/>
      <c r="F605" s="45"/>
      <c r="G605" s="45"/>
      <c r="H605" s="48"/>
      <c r="I605" s="45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</row>
    <row r="606" ht="22.5" customHeight="1">
      <c r="A606" s="44"/>
      <c r="B606" s="45"/>
      <c r="C606" s="45"/>
      <c r="D606" s="46"/>
      <c r="E606" s="47"/>
      <c r="F606" s="45"/>
      <c r="G606" s="45"/>
      <c r="H606" s="48"/>
      <c r="I606" s="45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</row>
    <row r="607" ht="22.5" customHeight="1">
      <c r="A607" s="44"/>
      <c r="B607" s="45"/>
      <c r="C607" s="45"/>
      <c r="D607" s="46"/>
      <c r="E607" s="47"/>
      <c r="F607" s="45"/>
      <c r="G607" s="45"/>
      <c r="H607" s="48"/>
      <c r="I607" s="45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</row>
    <row r="608" ht="22.5" customHeight="1">
      <c r="A608" s="44"/>
      <c r="B608" s="45"/>
      <c r="C608" s="45"/>
      <c r="D608" s="46"/>
      <c r="E608" s="47"/>
      <c r="F608" s="45"/>
      <c r="G608" s="45"/>
      <c r="H608" s="48"/>
      <c r="I608" s="45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</row>
    <row r="609" ht="22.5" customHeight="1">
      <c r="A609" s="44"/>
      <c r="B609" s="45"/>
      <c r="C609" s="45"/>
      <c r="D609" s="46"/>
      <c r="E609" s="47"/>
      <c r="F609" s="45"/>
      <c r="G609" s="45"/>
      <c r="H609" s="48"/>
      <c r="I609" s="45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</row>
    <row r="610" ht="22.5" customHeight="1">
      <c r="A610" s="44"/>
      <c r="B610" s="45"/>
      <c r="C610" s="45"/>
      <c r="D610" s="46"/>
      <c r="E610" s="47"/>
      <c r="F610" s="45"/>
      <c r="G610" s="45"/>
      <c r="H610" s="48"/>
      <c r="I610" s="45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</row>
    <row r="611" ht="22.5" customHeight="1">
      <c r="A611" s="44"/>
      <c r="B611" s="45"/>
      <c r="C611" s="45"/>
      <c r="D611" s="46"/>
      <c r="E611" s="47"/>
      <c r="F611" s="45"/>
      <c r="G611" s="45"/>
      <c r="H611" s="48"/>
      <c r="I611" s="45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</row>
    <row r="612" ht="22.5" customHeight="1">
      <c r="A612" s="44"/>
      <c r="B612" s="45"/>
      <c r="C612" s="45"/>
      <c r="D612" s="46"/>
      <c r="E612" s="47"/>
      <c r="F612" s="45"/>
      <c r="G612" s="45"/>
      <c r="H612" s="48"/>
      <c r="I612" s="45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</row>
    <row r="613" ht="22.5" customHeight="1">
      <c r="A613" s="44"/>
      <c r="B613" s="45"/>
      <c r="C613" s="45"/>
      <c r="D613" s="46"/>
      <c r="E613" s="47"/>
      <c r="F613" s="45"/>
      <c r="G613" s="45"/>
      <c r="H613" s="48"/>
      <c r="I613" s="45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</row>
    <row r="614" ht="22.5" customHeight="1">
      <c r="A614" s="44"/>
      <c r="B614" s="45"/>
      <c r="C614" s="45"/>
      <c r="D614" s="46"/>
      <c r="E614" s="47"/>
      <c r="F614" s="45"/>
      <c r="G614" s="45"/>
      <c r="H614" s="48"/>
      <c r="I614" s="45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</row>
    <row r="615" ht="22.5" customHeight="1">
      <c r="A615" s="44"/>
      <c r="B615" s="45"/>
      <c r="C615" s="45"/>
      <c r="D615" s="46"/>
      <c r="E615" s="47"/>
      <c r="F615" s="45"/>
      <c r="G615" s="45"/>
      <c r="H615" s="48"/>
      <c r="I615" s="45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</row>
    <row r="616" ht="22.5" customHeight="1">
      <c r="A616" s="44"/>
      <c r="B616" s="45"/>
      <c r="C616" s="45"/>
      <c r="D616" s="46"/>
      <c r="E616" s="47"/>
      <c r="F616" s="45"/>
      <c r="G616" s="45"/>
      <c r="H616" s="48"/>
      <c r="I616" s="45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</row>
    <row r="617" ht="22.5" customHeight="1">
      <c r="A617" s="44"/>
      <c r="B617" s="45"/>
      <c r="C617" s="45"/>
      <c r="D617" s="46"/>
      <c r="E617" s="47"/>
      <c r="F617" s="45"/>
      <c r="G617" s="45"/>
      <c r="H617" s="48"/>
      <c r="I617" s="45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</row>
    <row r="618" ht="22.5" customHeight="1">
      <c r="A618" s="44"/>
      <c r="B618" s="45"/>
      <c r="C618" s="45"/>
      <c r="D618" s="46"/>
      <c r="E618" s="47"/>
      <c r="F618" s="45"/>
      <c r="G618" s="45"/>
      <c r="H618" s="48"/>
      <c r="I618" s="45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</row>
    <row r="619" ht="22.5" customHeight="1">
      <c r="A619" s="44"/>
      <c r="B619" s="45"/>
      <c r="C619" s="45"/>
      <c r="D619" s="46"/>
      <c r="E619" s="47"/>
      <c r="F619" s="45"/>
      <c r="G619" s="45"/>
      <c r="H619" s="48"/>
      <c r="I619" s="45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</row>
    <row r="620" ht="22.5" customHeight="1">
      <c r="A620" s="44"/>
      <c r="B620" s="45"/>
      <c r="C620" s="45"/>
      <c r="D620" s="46"/>
      <c r="E620" s="47"/>
      <c r="F620" s="45"/>
      <c r="G620" s="45"/>
      <c r="H620" s="48"/>
      <c r="I620" s="45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</row>
    <row r="621" ht="22.5" customHeight="1">
      <c r="A621" s="44"/>
      <c r="B621" s="45"/>
      <c r="C621" s="45"/>
      <c r="D621" s="46"/>
      <c r="E621" s="47"/>
      <c r="F621" s="45"/>
      <c r="G621" s="45"/>
      <c r="H621" s="48"/>
      <c r="I621" s="45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</row>
    <row r="622" ht="22.5" customHeight="1">
      <c r="A622" s="44"/>
      <c r="B622" s="45"/>
      <c r="C622" s="45"/>
      <c r="D622" s="46"/>
      <c r="E622" s="47"/>
      <c r="F622" s="45"/>
      <c r="G622" s="45"/>
      <c r="H622" s="48"/>
      <c r="I622" s="45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</row>
    <row r="623" ht="22.5" customHeight="1">
      <c r="A623" s="44"/>
      <c r="B623" s="45"/>
      <c r="C623" s="45"/>
      <c r="D623" s="46"/>
      <c r="E623" s="47"/>
      <c r="F623" s="45"/>
      <c r="G623" s="45"/>
      <c r="H623" s="48"/>
      <c r="I623" s="45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</row>
    <row r="624" ht="22.5" customHeight="1">
      <c r="A624" s="44"/>
      <c r="B624" s="45"/>
      <c r="C624" s="45"/>
      <c r="D624" s="46"/>
      <c r="E624" s="47"/>
      <c r="F624" s="45"/>
      <c r="G624" s="45"/>
      <c r="H624" s="48"/>
      <c r="I624" s="45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</row>
    <row r="625" ht="22.5" customHeight="1">
      <c r="A625" s="44"/>
      <c r="B625" s="45"/>
      <c r="C625" s="45"/>
      <c r="D625" s="46"/>
      <c r="E625" s="47"/>
      <c r="F625" s="45"/>
      <c r="G625" s="45"/>
      <c r="H625" s="48"/>
      <c r="I625" s="45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</row>
    <row r="626" ht="22.5" customHeight="1">
      <c r="A626" s="44"/>
      <c r="B626" s="45"/>
      <c r="C626" s="45"/>
      <c r="D626" s="46"/>
      <c r="E626" s="47"/>
      <c r="F626" s="45"/>
      <c r="G626" s="45"/>
      <c r="H626" s="48"/>
      <c r="I626" s="45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</row>
    <row r="627" ht="22.5" customHeight="1">
      <c r="A627" s="44"/>
      <c r="B627" s="45"/>
      <c r="C627" s="45"/>
      <c r="D627" s="46"/>
      <c r="E627" s="47"/>
      <c r="F627" s="45"/>
      <c r="G627" s="45"/>
      <c r="H627" s="48"/>
      <c r="I627" s="45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</row>
    <row r="628" ht="22.5" customHeight="1">
      <c r="A628" s="44"/>
      <c r="B628" s="45"/>
      <c r="C628" s="45"/>
      <c r="D628" s="46"/>
      <c r="E628" s="47"/>
      <c r="F628" s="45"/>
      <c r="G628" s="45"/>
      <c r="H628" s="48"/>
      <c r="I628" s="45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</row>
    <row r="629" ht="22.5" customHeight="1">
      <c r="A629" s="44"/>
      <c r="B629" s="45"/>
      <c r="C629" s="45"/>
      <c r="D629" s="46"/>
      <c r="E629" s="47"/>
      <c r="F629" s="45"/>
      <c r="G629" s="45"/>
      <c r="H629" s="48"/>
      <c r="I629" s="45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</row>
    <row r="630" ht="22.5" customHeight="1">
      <c r="A630" s="44"/>
      <c r="B630" s="45"/>
      <c r="C630" s="45"/>
      <c r="D630" s="46"/>
      <c r="E630" s="47"/>
      <c r="F630" s="45"/>
      <c r="G630" s="45"/>
      <c r="H630" s="48"/>
      <c r="I630" s="45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</row>
    <row r="631" ht="22.5" customHeight="1">
      <c r="A631" s="44"/>
      <c r="B631" s="45"/>
      <c r="C631" s="45"/>
      <c r="D631" s="46"/>
      <c r="E631" s="47"/>
      <c r="F631" s="45"/>
      <c r="G631" s="45"/>
      <c r="H631" s="48"/>
      <c r="I631" s="45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</row>
    <row r="632" ht="22.5" customHeight="1">
      <c r="A632" s="44"/>
      <c r="B632" s="45"/>
      <c r="C632" s="45"/>
      <c r="D632" s="46"/>
      <c r="E632" s="47"/>
      <c r="F632" s="45"/>
      <c r="G632" s="45"/>
      <c r="H632" s="48"/>
      <c r="I632" s="45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</row>
    <row r="633" ht="22.5" customHeight="1">
      <c r="A633" s="44"/>
      <c r="B633" s="45"/>
      <c r="C633" s="45"/>
      <c r="D633" s="46"/>
      <c r="E633" s="47"/>
      <c r="F633" s="45"/>
      <c r="G633" s="45"/>
      <c r="H633" s="48"/>
      <c r="I633" s="45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</row>
    <row r="634" ht="22.5" customHeight="1">
      <c r="A634" s="44"/>
      <c r="B634" s="45"/>
      <c r="C634" s="45"/>
      <c r="D634" s="46"/>
      <c r="E634" s="47"/>
      <c r="F634" s="45"/>
      <c r="G634" s="45"/>
      <c r="H634" s="48"/>
      <c r="I634" s="45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</row>
    <row r="635" ht="22.5" customHeight="1">
      <c r="A635" s="44"/>
      <c r="B635" s="45"/>
      <c r="C635" s="45"/>
      <c r="D635" s="46"/>
      <c r="E635" s="47"/>
      <c r="F635" s="45"/>
      <c r="G635" s="45"/>
      <c r="H635" s="48"/>
      <c r="I635" s="45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</row>
    <row r="636" ht="22.5" customHeight="1">
      <c r="A636" s="44"/>
      <c r="B636" s="45"/>
      <c r="C636" s="45"/>
      <c r="D636" s="46"/>
      <c r="E636" s="47"/>
      <c r="F636" s="45"/>
      <c r="G636" s="45"/>
      <c r="H636" s="48"/>
      <c r="I636" s="45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</row>
    <row r="637" ht="22.5" customHeight="1">
      <c r="A637" s="44"/>
      <c r="B637" s="45"/>
      <c r="C637" s="45"/>
      <c r="D637" s="46"/>
      <c r="E637" s="47"/>
      <c r="F637" s="45"/>
      <c r="G637" s="45"/>
      <c r="H637" s="48"/>
      <c r="I637" s="45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</row>
    <row r="638" ht="22.5" customHeight="1">
      <c r="A638" s="44"/>
      <c r="B638" s="45"/>
      <c r="C638" s="45"/>
      <c r="D638" s="46"/>
      <c r="E638" s="47"/>
      <c r="F638" s="45"/>
      <c r="G638" s="45"/>
      <c r="H638" s="48"/>
      <c r="I638" s="45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</row>
    <row r="639" ht="22.5" customHeight="1">
      <c r="A639" s="44"/>
      <c r="B639" s="45"/>
      <c r="C639" s="45"/>
      <c r="D639" s="46"/>
      <c r="E639" s="47"/>
      <c r="F639" s="45"/>
      <c r="G639" s="45"/>
      <c r="H639" s="48"/>
      <c r="I639" s="45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</row>
    <row r="640" ht="22.5" customHeight="1">
      <c r="A640" s="44"/>
      <c r="B640" s="45"/>
      <c r="C640" s="45"/>
      <c r="D640" s="46"/>
      <c r="E640" s="47"/>
      <c r="F640" s="45"/>
      <c r="G640" s="45"/>
      <c r="H640" s="48"/>
      <c r="I640" s="45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</row>
    <row r="641" ht="22.5" customHeight="1">
      <c r="A641" s="44"/>
      <c r="B641" s="45"/>
      <c r="C641" s="45"/>
      <c r="D641" s="46"/>
      <c r="E641" s="47"/>
      <c r="F641" s="45"/>
      <c r="G641" s="45"/>
      <c r="H641" s="48"/>
      <c r="I641" s="45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</row>
    <row r="642" ht="22.5" customHeight="1">
      <c r="A642" s="44"/>
      <c r="B642" s="45"/>
      <c r="C642" s="45"/>
      <c r="D642" s="46"/>
      <c r="E642" s="47"/>
      <c r="F642" s="45"/>
      <c r="G642" s="45"/>
      <c r="H642" s="48"/>
      <c r="I642" s="45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</row>
    <row r="643" ht="22.5" customHeight="1">
      <c r="A643" s="44"/>
      <c r="B643" s="45"/>
      <c r="C643" s="45"/>
      <c r="D643" s="46"/>
      <c r="E643" s="47"/>
      <c r="F643" s="45"/>
      <c r="G643" s="45"/>
      <c r="H643" s="48"/>
      <c r="I643" s="45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</row>
    <row r="644" ht="22.5" customHeight="1">
      <c r="A644" s="44"/>
      <c r="B644" s="45"/>
      <c r="C644" s="45"/>
      <c r="D644" s="46"/>
      <c r="E644" s="47"/>
      <c r="F644" s="45"/>
      <c r="G644" s="45"/>
      <c r="H644" s="48"/>
      <c r="I644" s="45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</row>
    <row r="645" ht="22.5" customHeight="1">
      <c r="A645" s="44"/>
      <c r="B645" s="45"/>
      <c r="C645" s="45"/>
      <c r="D645" s="46"/>
      <c r="E645" s="47"/>
      <c r="F645" s="45"/>
      <c r="G645" s="45"/>
      <c r="H645" s="48"/>
      <c r="I645" s="45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</row>
    <row r="646" ht="22.5" customHeight="1">
      <c r="A646" s="44"/>
      <c r="B646" s="45"/>
      <c r="C646" s="45"/>
      <c r="D646" s="46"/>
      <c r="E646" s="47"/>
      <c r="F646" s="45"/>
      <c r="G646" s="45"/>
      <c r="H646" s="48"/>
      <c r="I646" s="45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</row>
    <row r="647" ht="22.5" customHeight="1">
      <c r="A647" s="44"/>
      <c r="B647" s="45"/>
      <c r="C647" s="45"/>
      <c r="D647" s="46"/>
      <c r="E647" s="47"/>
      <c r="F647" s="45"/>
      <c r="G647" s="45"/>
      <c r="H647" s="48"/>
      <c r="I647" s="45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</row>
    <row r="648" ht="22.5" customHeight="1">
      <c r="A648" s="44"/>
      <c r="B648" s="45"/>
      <c r="C648" s="45"/>
      <c r="D648" s="46"/>
      <c r="E648" s="47"/>
      <c r="F648" s="45"/>
      <c r="G648" s="45"/>
      <c r="H648" s="48"/>
      <c r="I648" s="45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</row>
    <row r="649" ht="22.5" customHeight="1">
      <c r="A649" s="44"/>
      <c r="B649" s="45"/>
      <c r="C649" s="45"/>
      <c r="D649" s="46"/>
      <c r="E649" s="47"/>
      <c r="F649" s="45"/>
      <c r="G649" s="45"/>
      <c r="H649" s="48"/>
      <c r="I649" s="45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</row>
    <row r="650" ht="22.5" customHeight="1">
      <c r="A650" s="44"/>
      <c r="B650" s="45"/>
      <c r="C650" s="45"/>
      <c r="D650" s="46"/>
      <c r="E650" s="47"/>
      <c r="F650" s="45"/>
      <c r="G650" s="45"/>
      <c r="H650" s="48"/>
      <c r="I650" s="45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</row>
    <row r="651" ht="22.5" customHeight="1">
      <c r="A651" s="44"/>
      <c r="B651" s="45"/>
      <c r="C651" s="45"/>
      <c r="D651" s="46"/>
      <c r="E651" s="47"/>
      <c r="F651" s="45"/>
      <c r="G651" s="45"/>
      <c r="H651" s="48"/>
      <c r="I651" s="45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</row>
    <row r="652" ht="22.5" customHeight="1">
      <c r="A652" s="44"/>
      <c r="B652" s="45"/>
      <c r="C652" s="45"/>
      <c r="D652" s="46"/>
      <c r="E652" s="47"/>
      <c r="F652" s="45"/>
      <c r="G652" s="45"/>
      <c r="H652" s="48"/>
      <c r="I652" s="45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</row>
    <row r="653" ht="22.5" customHeight="1">
      <c r="A653" s="44"/>
      <c r="B653" s="45"/>
      <c r="C653" s="45"/>
      <c r="D653" s="46"/>
      <c r="E653" s="47"/>
      <c r="F653" s="45"/>
      <c r="G653" s="45"/>
      <c r="H653" s="48"/>
      <c r="I653" s="45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</row>
    <row r="654" ht="22.5" customHeight="1">
      <c r="A654" s="44"/>
      <c r="B654" s="45"/>
      <c r="C654" s="45"/>
      <c r="D654" s="46"/>
      <c r="E654" s="47"/>
      <c r="F654" s="45"/>
      <c r="G654" s="45"/>
      <c r="H654" s="48"/>
      <c r="I654" s="45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</row>
    <row r="655" ht="22.5" customHeight="1">
      <c r="A655" s="44"/>
      <c r="B655" s="45"/>
      <c r="C655" s="45"/>
      <c r="D655" s="46"/>
      <c r="E655" s="47"/>
      <c r="F655" s="45"/>
      <c r="G655" s="45"/>
      <c r="H655" s="48"/>
      <c r="I655" s="45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</row>
    <row r="656" ht="22.5" customHeight="1">
      <c r="A656" s="44"/>
      <c r="B656" s="45"/>
      <c r="C656" s="45"/>
      <c r="D656" s="46"/>
      <c r="E656" s="47"/>
      <c r="F656" s="45"/>
      <c r="G656" s="45"/>
      <c r="H656" s="48"/>
      <c r="I656" s="45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</row>
    <row r="657" ht="22.5" customHeight="1">
      <c r="A657" s="44"/>
      <c r="B657" s="45"/>
      <c r="C657" s="45"/>
      <c r="D657" s="46"/>
      <c r="E657" s="47"/>
      <c r="F657" s="45"/>
      <c r="G657" s="45"/>
      <c r="H657" s="48"/>
      <c r="I657" s="45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</row>
    <row r="658" ht="22.5" customHeight="1">
      <c r="A658" s="44"/>
      <c r="B658" s="45"/>
      <c r="C658" s="45"/>
      <c r="D658" s="46"/>
      <c r="E658" s="47"/>
      <c r="F658" s="45"/>
      <c r="G658" s="45"/>
      <c r="H658" s="48"/>
      <c r="I658" s="45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</row>
    <row r="659" ht="22.5" customHeight="1">
      <c r="A659" s="44"/>
      <c r="B659" s="45"/>
      <c r="C659" s="45"/>
      <c r="D659" s="46"/>
      <c r="E659" s="47"/>
      <c r="F659" s="45"/>
      <c r="G659" s="45"/>
      <c r="H659" s="48"/>
      <c r="I659" s="45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</row>
    <row r="660" ht="22.5" customHeight="1">
      <c r="A660" s="44"/>
      <c r="B660" s="45"/>
      <c r="C660" s="45"/>
      <c r="D660" s="46"/>
      <c r="E660" s="47"/>
      <c r="F660" s="45"/>
      <c r="G660" s="45"/>
      <c r="H660" s="48"/>
      <c r="I660" s="45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</row>
    <row r="661" ht="22.5" customHeight="1">
      <c r="A661" s="44"/>
      <c r="B661" s="45"/>
      <c r="C661" s="45"/>
      <c r="D661" s="46"/>
      <c r="E661" s="47"/>
      <c r="F661" s="45"/>
      <c r="G661" s="45"/>
      <c r="H661" s="48"/>
      <c r="I661" s="45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</row>
    <row r="662" ht="22.5" customHeight="1">
      <c r="A662" s="44"/>
      <c r="B662" s="45"/>
      <c r="C662" s="45"/>
      <c r="D662" s="46"/>
      <c r="E662" s="47"/>
      <c r="F662" s="45"/>
      <c r="G662" s="45"/>
      <c r="H662" s="48"/>
      <c r="I662" s="45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</row>
    <row r="663" ht="22.5" customHeight="1">
      <c r="A663" s="44"/>
      <c r="B663" s="45"/>
      <c r="C663" s="45"/>
      <c r="D663" s="46"/>
      <c r="E663" s="47"/>
      <c r="F663" s="45"/>
      <c r="G663" s="45"/>
      <c r="H663" s="48"/>
      <c r="I663" s="45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</row>
    <row r="664" ht="22.5" customHeight="1">
      <c r="A664" s="44"/>
      <c r="B664" s="45"/>
      <c r="C664" s="45"/>
      <c r="D664" s="46"/>
      <c r="E664" s="47"/>
      <c r="F664" s="45"/>
      <c r="G664" s="45"/>
      <c r="H664" s="48"/>
      <c r="I664" s="45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</row>
    <row r="665" ht="22.5" customHeight="1">
      <c r="A665" s="44"/>
      <c r="B665" s="45"/>
      <c r="C665" s="45"/>
      <c r="D665" s="46"/>
      <c r="E665" s="47"/>
      <c r="F665" s="45"/>
      <c r="G665" s="45"/>
      <c r="H665" s="48"/>
      <c r="I665" s="45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</row>
    <row r="666" ht="22.5" customHeight="1">
      <c r="A666" s="44"/>
      <c r="B666" s="45"/>
      <c r="C666" s="45"/>
      <c r="D666" s="46"/>
      <c r="E666" s="47"/>
      <c r="F666" s="45"/>
      <c r="G666" s="45"/>
      <c r="H666" s="48"/>
      <c r="I666" s="45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</row>
    <row r="667" ht="22.5" customHeight="1">
      <c r="A667" s="44"/>
      <c r="B667" s="45"/>
      <c r="C667" s="45"/>
      <c r="D667" s="46"/>
      <c r="E667" s="47"/>
      <c r="F667" s="45"/>
      <c r="G667" s="45"/>
      <c r="H667" s="48"/>
      <c r="I667" s="45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</row>
    <row r="668" ht="22.5" customHeight="1">
      <c r="A668" s="44"/>
      <c r="B668" s="45"/>
      <c r="C668" s="45"/>
      <c r="D668" s="46"/>
      <c r="E668" s="47"/>
      <c r="F668" s="45"/>
      <c r="G668" s="45"/>
      <c r="H668" s="48"/>
      <c r="I668" s="45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</row>
    <row r="669" ht="22.5" customHeight="1">
      <c r="A669" s="44"/>
      <c r="B669" s="45"/>
      <c r="C669" s="45"/>
      <c r="D669" s="46"/>
      <c r="E669" s="47"/>
      <c r="F669" s="45"/>
      <c r="G669" s="45"/>
      <c r="H669" s="48"/>
      <c r="I669" s="45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</row>
    <row r="670" ht="22.5" customHeight="1">
      <c r="A670" s="44"/>
      <c r="B670" s="45"/>
      <c r="C670" s="45"/>
      <c r="D670" s="46"/>
      <c r="E670" s="47"/>
      <c r="F670" s="45"/>
      <c r="G670" s="45"/>
      <c r="H670" s="48"/>
      <c r="I670" s="45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</row>
    <row r="671" ht="22.5" customHeight="1">
      <c r="A671" s="44"/>
      <c r="B671" s="45"/>
      <c r="C671" s="45"/>
      <c r="D671" s="46"/>
      <c r="E671" s="47"/>
      <c r="F671" s="45"/>
      <c r="G671" s="45"/>
      <c r="H671" s="48"/>
      <c r="I671" s="45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</row>
    <row r="672" ht="22.5" customHeight="1">
      <c r="A672" s="44"/>
      <c r="B672" s="45"/>
      <c r="C672" s="45"/>
      <c r="D672" s="46"/>
      <c r="E672" s="47"/>
      <c r="F672" s="45"/>
      <c r="G672" s="45"/>
      <c r="H672" s="48"/>
      <c r="I672" s="45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</row>
    <row r="673" ht="22.5" customHeight="1">
      <c r="A673" s="44"/>
      <c r="B673" s="45"/>
      <c r="C673" s="45"/>
      <c r="D673" s="46"/>
      <c r="E673" s="47"/>
      <c r="F673" s="45"/>
      <c r="G673" s="45"/>
      <c r="H673" s="48"/>
      <c r="I673" s="45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</row>
    <row r="674" ht="22.5" customHeight="1">
      <c r="A674" s="44"/>
      <c r="B674" s="45"/>
      <c r="C674" s="45"/>
      <c r="D674" s="46"/>
      <c r="E674" s="47"/>
      <c r="F674" s="45"/>
      <c r="G674" s="45"/>
      <c r="H674" s="48"/>
      <c r="I674" s="45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</row>
    <row r="675" ht="22.5" customHeight="1">
      <c r="A675" s="44"/>
      <c r="B675" s="45"/>
      <c r="C675" s="45"/>
      <c r="D675" s="46"/>
      <c r="E675" s="47"/>
      <c r="F675" s="45"/>
      <c r="G675" s="45"/>
      <c r="H675" s="48"/>
      <c r="I675" s="45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</row>
    <row r="676" ht="22.5" customHeight="1">
      <c r="A676" s="44"/>
      <c r="B676" s="45"/>
      <c r="C676" s="45"/>
      <c r="D676" s="46"/>
      <c r="E676" s="47"/>
      <c r="F676" s="45"/>
      <c r="G676" s="45"/>
      <c r="H676" s="48"/>
      <c r="I676" s="45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</row>
    <row r="677" ht="22.5" customHeight="1">
      <c r="A677" s="44"/>
      <c r="B677" s="45"/>
      <c r="C677" s="45"/>
      <c r="D677" s="46"/>
      <c r="E677" s="47"/>
      <c r="F677" s="45"/>
      <c r="G677" s="45"/>
      <c r="H677" s="48"/>
      <c r="I677" s="45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</row>
    <row r="678" ht="22.5" customHeight="1">
      <c r="A678" s="44"/>
      <c r="B678" s="45"/>
      <c r="C678" s="45"/>
      <c r="D678" s="46"/>
      <c r="E678" s="47"/>
      <c r="F678" s="45"/>
      <c r="G678" s="45"/>
      <c r="H678" s="48"/>
      <c r="I678" s="45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</row>
    <row r="679" ht="22.5" customHeight="1">
      <c r="A679" s="44"/>
      <c r="B679" s="45"/>
      <c r="C679" s="45"/>
      <c r="D679" s="46"/>
      <c r="E679" s="47"/>
      <c r="F679" s="45"/>
      <c r="G679" s="45"/>
      <c r="H679" s="48"/>
      <c r="I679" s="45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</row>
    <row r="680" ht="22.5" customHeight="1">
      <c r="A680" s="44"/>
      <c r="B680" s="45"/>
      <c r="C680" s="45"/>
      <c r="D680" s="46"/>
      <c r="E680" s="47"/>
      <c r="F680" s="45"/>
      <c r="G680" s="45"/>
      <c r="H680" s="48"/>
      <c r="I680" s="45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</row>
    <row r="681" ht="22.5" customHeight="1">
      <c r="A681" s="44"/>
      <c r="B681" s="45"/>
      <c r="C681" s="45"/>
      <c r="D681" s="46"/>
      <c r="E681" s="47"/>
      <c r="F681" s="45"/>
      <c r="G681" s="45"/>
      <c r="H681" s="48"/>
      <c r="I681" s="45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</row>
    <row r="682" ht="22.5" customHeight="1">
      <c r="A682" s="44"/>
      <c r="B682" s="45"/>
      <c r="C682" s="45"/>
      <c r="D682" s="46"/>
      <c r="E682" s="47"/>
      <c r="F682" s="45"/>
      <c r="G682" s="45"/>
      <c r="H682" s="48"/>
      <c r="I682" s="45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</row>
    <row r="683" ht="22.5" customHeight="1">
      <c r="A683" s="44"/>
      <c r="B683" s="45"/>
      <c r="C683" s="45"/>
      <c r="D683" s="46"/>
      <c r="E683" s="47"/>
      <c r="F683" s="45"/>
      <c r="G683" s="45"/>
      <c r="H683" s="48"/>
      <c r="I683" s="45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</row>
    <row r="684" ht="22.5" customHeight="1">
      <c r="A684" s="44"/>
      <c r="B684" s="45"/>
      <c r="C684" s="45"/>
      <c r="D684" s="46"/>
      <c r="E684" s="47"/>
      <c r="F684" s="45"/>
      <c r="G684" s="45"/>
      <c r="H684" s="48"/>
      <c r="I684" s="45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</row>
    <row r="685" ht="22.5" customHeight="1">
      <c r="A685" s="44"/>
      <c r="B685" s="45"/>
      <c r="C685" s="45"/>
      <c r="D685" s="46"/>
      <c r="E685" s="47"/>
      <c r="F685" s="45"/>
      <c r="G685" s="45"/>
      <c r="H685" s="48"/>
      <c r="I685" s="45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</row>
    <row r="686" ht="22.5" customHeight="1">
      <c r="A686" s="44"/>
      <c r="B686" s="45"/>
      <c r="C686" s="45"/>
      <c r="D686" s="46"/>
      <c r="E686" s="47"/>
      <c r="F686" s="45"/>
      <c r="G686" s="45"/>
      <c r="H686" s="48"/>
      <c r="I686" s="45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</row>
    <row r="687" ht="22.5" customHeight="1">
      <c r="A687" s="44"/>
      <c r="B687" s="45"/>
      <c r="C687" s="45"/>
      <c r="D687" s="46"/>
      <c r="E687" s="47"/>
      <c r="F687" s="45"/>
      <c r="G687" s="45"/>
      <c r="H687" s="48"/>
      <c r="I687" s="45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</row>
    <row r="688" ht="22.5" customHeight="1">
      <c r="A688" s="44"/>
      <c r="B688" s="45"/>
      <c r="C688" s="45"/>
      <c r="D688" s="46"/>
      <c r="E688" s="47"/>
      <c r="F688" s="45"/>
      <c r="G688" s="45"/>
      <c r="H688" s="48"/>
      <c r="I688" s="45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</row>
    <row r="689" ht="22.5" customHeight="1">
      <c r="A689" s="44"/>
      <c r="B689" s="45"/>
      <c r="C689" s="45"/>
      <c r="D689" s="46"/>
      <c r="E689" s="47"/>
      <c r="F689" s="45"/>
      <c r="G689" s="45"/>
      <c r="H689" s="48"/>
      <c r="I689" s="45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</row>
    <row r="690" ht="22.5" customHeight="1">
      <c r="A690" s="44"/>
      <c r="B690" s="45"/>
      <c r="C690" s="45"/>
      <c r="D690" s="46"/>
      <c r="E690" s="47"/>
      <c r="F690" s="45"/>
      <c r="G690" s="45"/>
      <c r="H690" s="48"/>
      <c r="I690" s="45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</row>
    <row r="691" ht="22.5" customHeight="1">
      <c r="A691" s="44"/>
      <c r="B691" s="45"/>
      <c r="C691" s="45"/>
      <c r="D691" s="46"/>
      <c r="E691" s="47"/>
      <c r="F691" s="45"/>
      <c r="G691" s="45"/>
      <c r="H691" s="48"/>
      <c r="I691" s="45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</row>
    <row r="692" ht="22.5" customHeight="1">
      <c r="A692" s="44"/>
      <c r="B692" s="45"/>
      <c r="C692" s="45"/>
      <c r="D692" s="46"/>
      <c r="E692" s="47"/>
      <c r="F692" s="45"/>
      <c r="G692" s="45"/>
      <c r="H692" s="48"/>
      <c r="I692" s="45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</row>
    <row r="693" ht="22.5" customHeight="1">
      <c r="A693" s="44"/>
      <c r="B693" s="45"/>
      <c r="C693" s="45"/>
      <c r="D693" s="46"/>
      <c r="E693" s="47"/>
      <c r="F693" s="45"/>
      <c r="G693" s="45"/>
      <c r="H693" s="48"/>
      <c r="I693" s="45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</row>
    <row r="694" ht="22.5" customHeight="1">
      <c r="A694" s="44"/>
      <c r="B694" s="45"/>
      <c r="C694" s="45"/>
      <c r="D694" s="46"/>
      <c r="E694" s="47"/>
      <c r="F694" s="45"/>
      <c r="G694" s="45"/>
      <c r="H694" s="48"/>
      <c r="I694" s="45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</row>
    <row r="695" ht="22.5" customHeight="1">
      <c r="A695" s="44"/>
      <c r="B695" s="45"/>
      <c r="C695" s="45"/>
      <c r="D695" s="46"/>
      <c r="E695" s="47"/>
      <c r="F695" s="45"/>
      <c r="G695" s="45"/>
      <c r="H695" s="48"/>
      <c r="I695" s="45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</row>
    <row r="696" ht="22.5" customHeight="1">
      <c r="A696" s="44"/>
      <c r="B696" s="45"/>
      <c r="C696" s="45"/>
      <c r="D696" s="46"/>
      <c r="E696" s="47"/>
      <c r="F696" s="45"/>
      <c r="G696" s="45"/>
      <c r="H696" s="48"/>
      <c r="I696" s="45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</row>
    <row r="697" ht="22.5" customHeight="1">
      <c r="A697" s="44"/>
      <c r="B697" s="45"/>
      <c r="C697" s="45"/>
      <c r="D697" s="46"/>
      <c r="E697" s="47"/>
      <c r="F697" s="45"/>
      <c r="G697" s="45"/>
      <c r="H697" s="48"/>
      <c r="I697" s="45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</row>
    <row r="698" ht="22.5" customHeight="1">
      <c r="A698" s="44"/>
      <c r="B698" s="45"/>
      <c r="C698" s="45"/>
      <c r="D698" s="46"/>
      <c r="E698" s="47"/>
      <c r="F698" s="45"/>
      <c r="G698" s="45"/>
      <c r="H698" s="48"/>
      <c r="I698" s="45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</row>
    <row r="699" ht="22.5" customHeight="1">
      <c r="A699" s="44"/>
      <c r="B699" s="45"/>
      <c r="C699" s="45"/>
      <c r="D699" s="46"/>
      <c r="E699" s="47"/>
      <c r="F699" s="45"/>
      <c r="G699" s="45"/>
      <c r="H699" s="48"/>
      <c r="I699" s="45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</row>
    <row r="700" ht="22.5" customHeight="1">
      <c r="A700" s="44"/>
      <c r="B700" s="45"/>
      <c r="C700" s="45"/>
      <c r="D700" s="46"/>
      <c r="E700" s="47"/>
      <c r="F700" s="45"/>
      <c r="G700" s="45"/>
      <c r="H700" s="48"/>
      <c r="I700" s="45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</row>
    <row r="701" ht="22.5" customHeight="1">
      <c r="A701" s="44"/>
      <c r="B701" s="45"/>
      <c r="C701" s="45"/>
      <c r="D701" s="46"/>
      <c r="E701" s="47"/>
      <c r="F701" s="45"/>
      <c r="G701" s="45"/>
      <c r="H701" s="48"/>
      <c r="I701" s="45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</row>
    <row r="702" ht="22.5" customHeight="1">
      <c r="A702" s="44"/>
      <c r="B702" s="45"/>
      <c r="C702" s="45"/>
      <c r="D702" s="46"/>
      <c r="E702" s="47"/>
      <c r="F702" s="45"/>
      <c r="G702" s="45"/>
      <c r="H702" s="48"/>
      <c r="I702" s="45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</row>
    <row r="703" ht="22.5" customHeight="1">
      <c r="A703" s="44"/>
      <c r="B703" s="45"/>
      <c r="C703" s="45"/>
      <c r="D703" s="46"/>
      <c r="E703" s="47"/>
      <c r="F703" s="45"/>
      <c r="G703" s="45"/>
      <c r="H703" s="48"/>
      <c r="I703" s="45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</row>
    <row r="704" ht="22.5" customHeight="1">
      <c r="A704" s="44"/>
      <c r="B704" s="45"/>
      <c r="C704" s="45"/>
      <c r="D704" s="46"/>
      <c r="E704" s="47"/>
      <c r="F704" s="45"/>
      <c r="G704" s="45"/>
      <c r="H704" s="48"/>
      <c r="I704" s="45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</row>
    <row r="705" ht="22.5" customHeight="1">
      <c r="A705" s="44"/>
      <c r="B705" s="45"/>
      <c r="C705" s="45"/>
      <c r="D705" s="46"/>
      <c r="E705" s="47"/>
      <c r="F705" s="45"/>
      <c r="G705" s="45"/>
      <c r="H705" s="48"/>
      <c r="I705" s="45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</row>
    <row r="706" ht="22.5" customHeight="1">
      <c r="A706" s="44"/>
      <c r="B706" s="45"/>
      <c r="C706" s="45"/>
      <c r="D706" s="46"/>
      <c r="E706" s="47"/>
      <c r="F706" s="45"/>
      <c r="G706" s="45"/>
      <c r="H706" s="48"/>
      <c r="I706" s="45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</row>
    <row r="707" ht="22.5" customHeight="1">
      <c r="A707" s="44"/>
      <c r="B707" s="45"/>
      <c r="C707" s="45"/>
      <c r="D707" s="46"/>
      <c r="E707" s="47"/>
      <c r="F707" s="45"/>
      <c r="G707" s="45"/>
      <c r="H707" s="48"/>
      <c r="I707" s="45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</row>
    <row r="708" ht="22.5" customHeight="1">
      <c r="A708" s="44"/>
      <c r="B708" s="45"/>
      <c r="C708" s="45"/>
      <c r="D708" s="46"/>
      <c r="E708" s="47"/>
      <c r="F708" s="45"/>
      <c r="G708" s="45"/>
      <c r="H708" s="48"/>
      <c r="I708" s="45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</row>
    <row r="709" ht="22.5" customHeight="1">
      <c r="A709" s="44"/>
      <c r="B709" s="45"/>
      <c r="C709" s="45"/>
      <c r="D709" s="46"/>
      <c r="E709" s="47"/>
      <c r="F709" s="45"/>
      <c r="G709" s="45"/>
      <c r="H709" s="48"/>
      <c r="I709" s="45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</row>
    <row r="710" ht="22.5" customHeight="1">
      <c r="A710" s="44"/>
      <c r="B710" s="45"/>
      <c r="C710" s="45"/>
      <c r="D710" s="46"/>
      <c r="E710" s="47"/>
      <c r="F710" s="45"/>
      <c r="G710" s="45"/>
      <c r="H710" s="48"/>
      <c r="I710" s="45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</row>
    <row r="711" ht="22.5" customHeight="1">
      <c r="A711" s="44"/>
      <c r="B711" s="45"/>
      <c r="C711" s="45"/>
      <c r="D711" s="46"/>
      <c r="E711" s="47"/>
      <c r="F711" s="45"/>
      <c r="G711" s="45"/>
      <c r="H711" s="48"/>
      <c r="I711" s="45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</row>
    <row r="712" ht="22.5" customHeight="1">
      <c r="A712" s="44"/>
      <c r="B712" s="45"/>
      <c r="C712" s="45"/>
      <c r="D712" s="46"/>
      <c r="E712" s="47"/>
      <c r="F712" s="45"/>
      <c r="G712" s="45"/>
      <c r="H712" s="48"/>
      <c r="I712" s="45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</row>
    <row r="713" ht="22.5" customHeight="1">
      <c r="A713" s="44"/>
      <c r="B713" s="45"/>
      <c r="C713" s="45"/>
      <c r="D713" s="46"/>
      <c r="E713" s="47"/>
      <c r="F713" s="45"/>
      <c r="G713" s="45"/>
      <c r="H713" s="48"/>
      <c r="I713" s="45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</row>
    <row r="714" ht="22.5" customHeight="1">
      <c r="A714" s="44"/>
      <c r="B714" s="45"/>
      <c r="C714" s="45"/>
      <c r="D714" s="46"/>
      <c r="E714" s="47"/>
      <c r="F714" s="45"/>
      <c r="G714" s="45"/>
      <c r="H714" s="48"/>
      <c r="I714" s="45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</row>
    <row r="715" ht="22.5" customHeight="1">
      <c r="A715" s="44"/>
      <c r="B715" s="45"/>
      <c r="C715" s="45"/>
      <c r="D715" s="46"/>
      <c r="E715" s="47"/>
      <c r="F715" s="45"/>
      <c r="G715" s="45"/>
      <c r="H715" s="48"/>
      <c r="I715" s="45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</row>
    <row r="716" ht="22.5" customHeight="1">
      <c r="A716" s="44"/>
      <c r="B716" s="45"/>
      <c r="C716" s="45"/>
      <c r="D716" s="46"/>
      <c r="E716" s="47"/>
      <c r="F716" s="45"/>
      <c r="G716" s="45"/>
      <c r="H716" s="48"/>
      <c r="I716" s="45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</row>
    <row r="717" ht="22.5" customHeight="1">
      <c r="A717" s="44"/>
      <c r="B717" s="45"/>
      <c r="C717" s="45"/>
      <c r="D717" s="46"/>
      <c r="E717" s="47"/>
      <c r="F717" s="45"/>
      <c r="G717" s="45"/>
      <c r="H717" s="48"/>
      <c r="I717" s="45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</row>
    <row r="718" ht="22.5" customHeight="1">
      <c r="A718" s="44"/>
      <c r="B718" s="45"/>
      <c r="C718" s="45"/>
      <c r="D718" s="46"/>
      <c r="E718" s="47"/>
      <c r="F718" s="45"/>
      <c r="G718" s="45"/>
      <c r="H718" s="48"/>
      <c r="I718" s="45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</row>
    <row r="719" ht="22.5" customHeight="1">
      <c r="A719" s="44"/>
      <c r="B719" s="45"/>
      <c r="C719" s="45"/>
      <c r="D719" s="46"/>
      <c r="E719" s="47"/>
      <c r="F719" s="45"/>
      <c r="G719" s="45"/>
      <c r="H719" s="48"/>
      <c r="I719" s="45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</row>
    <row r="720" ht="22.5" customHeight="1">
      <c r="A720" s="44"/>
      <c r="B720" s="45"/>
      <c r="C720" s="45"/>
      <c r="D720" s="46"/>
      <c r="E720" s="47"/>
      <c r="F720" s="45"/>
      <c r="G720" s="45"/>
      <c r="H720" s="48"/>
      <c r="I720" s="45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</row>
    <row r="721" ht="22.5" customHeight="1">
      <c r="A721" s="44"/>
      <c r="B721" s="45"/>
      <c r="C721" s="45"/>
      <c r="D721" s="46"/>
      <c r="E721" s="47"/>
      <c r="F721" s="45"/>
      <c r="G721" s="45"/>
      <c r="H721" s="48"/>
      <c r="I721" s="45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</row>
    <row r="722" ht="22.5" customHeight="1">
      <c r="A722" s="44"/>
      <c r="B722" s="45"/>
      <c r="C722" s="45"/>
      <c r="D722" s="46"/>
      <c r="E722" s="47"/>
      <c r="F722" s="45"/>
      <c r="G722" s="45"/>
      <c r="H722" s="48"/>
      <c r="I722" s="45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</row>
    <row r="723" ht="22.5" customHeight="1">
      <c r="A723" s="44"/>
      <c r="B723" s="45"/>
      <c r="C723" s="45"/>
      <c r="D723" s="46"/>
      <c r="E723" s="47"/>
      <c r="F723" s="45"/>
      <c r="G723" s="45"/>
      <c r="H723" s="48"/>
      <c r="I723" s="45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</row>
    <row r="724" ht="22.5" customHeight="1">
      <c r="A724" s="44"/>
      <c r="B724" s="45"/>
      <c r="C724" s="45"/>
      <c r="D724" s="46"/>
      <c r="E724" s="47"/>
      <c r="F724" s="45"/>
      <c r="G724" s="45"/>
      <c r="H724" s="48"/>
      <c r="I724" s="45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</row>
    <row r="725" ht="22.5" customHeight="1">
      <c r="A725" s="44"/>
      <c r="B725" s="45"/>
      <c r="C725" s="45"/>
      <c r="D725" s="46"/>
      <c r="E725" s="47"/>
      <c r="F725" s="45"/>
      <c r="G725" s="45"/>
      <c r="H725" s="48"/>
      <c r="I725" s="45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</row>
    <row r="726" ht="22.5" customHeight="1">
      <c r="A726" s="44"/>
      <c r="B726" s="45"/>
      <c r="C726" s="45"/>
      <c r="D726" s="46"/>
      <c r="E726" s="47"/>
      <c r="F726" s="45"/>
      <c r="G726" s="45"/>
      <c r="H726" s="48"/>
      <c r="I726" s="45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</row>
    <row r="727" ht="22.5" customHeight="1">
      <c r="A727" s="44"/>
      <c r="B727" s="45"/>
      <c r="C727" s="45"/>
      <c r="D727" s="46"/>
      <c r="E727" s="47"/>
      <c r="F727" s="45"/>
      <c r="G727" s="45"/>
      <c r="H727" s="48"/>
      <c r="I727" s="45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</row>
    <row r="728" ht="22.5" customHeight="1">
      <c r="A728" s="44"/>
      <c r="B728" s="45"/>
      <c r="C728" s="45"/>
      <c r="D728" s="46"/>
      <c r="E728" s="47"/>
      <c r="F728" s="45"/>
      <c r="G728" s="45"/>
      <c r="H728" s="48"/>
      <c r="I728" s="45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</row>
    <row r="729" ht="22.5" customHeight="1">
      <c r="A729" s="44"/>
      <c r="B729" s="45"/>
      <c r="C729" s="45"/>
      <c r="D729" s="46"/>
      <c r="E729" s="47"/>
      <c r="F729" s="45"/>
      <c r="G729" s="45"/>
      <c r="H729" s="48"/>
      <c r="I729" s="45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</row>
    <row r="730" ht="22.5" customHeight="1">
      <c r="A730" s="44"/>
      <c r="B730" s="45"/>
      <c r="C730" s="45"/>
      <c r="D730" s="46"/>
      <c r="E730" s="47"/>
      <c r="F730" s="45"/>
      <c r="G730" s="45"/>
      <c r="H730" s="48"/>
      <c r="I730" s="45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</row>
    <row r="731" ht="22.5" customHeight="1">
      <c r="A731" s="44"/>
      <c r="B731" s="45"/>
      <c r="C731" s="45"/>
      <c r="D731" s="46"/>
      <c r="E731" s="47"/>
      <c r="F731" s="45"/>
      <c r="G731" s="45"/>
      <c r="H731" s="48"/>
      <c r="I731" s="45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</row>
    <row r="732" ht="22.5" customHeight="1">
      <c r="A732" s="44"/>
      <c r="B732" s="45"/>
      <c r="C732" s="45"/>
      <c r="D732" s="46"/>
      <c r="E732" s="47"/>
      <c r="F732" s="45"/>
      <c r="G732" s="45"/>
      <c r="H732" s="48"/>
      <c r="I732" s="45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</row>
    <row r="733" ht="22.5" customHeight="1">
      <c r="A733" s="44"/>
      <c r="B733" s="45"/>
      <c r="C733" s="45"/>
      <c r="D733" s="46"/>
      <c r="E733" s="47"/>
      <c r="F733" s="45"/>
      <c r="G733" s="45"/>
      <c r="H733" s="48"/>
      <c r="I733" s="45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</row>
    <row r="734" ht="22.5" customHeight="1">
      <c r="A734" s="44"/>
      <c r="B734" s="45"/>
      <c r="C734" s="45"/>
      <c r="D734" s="46"/>
      <c r="E734" s="47"/>
      <c r="F734" s="45"/>
      <c r="G734" s="45"/>
      <c r="H734" s="48"/>
      <c r="I734" s="45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</row>
    <row r="735" ht="22.5" customHeight="1">
      <c r="A735" s="44"/>
      <c r="B735" s="45"/>
      <c r="C735" s="45"/>
      <c r="D735" s="46"/>
      <c r="E735" s="47"/>
      <c r="F735" s="45"/>
      <c r="G735" s="45"/>
      <c r="H735" s="48"/>
      <c r="I735" s="45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</row>
    <row r="736" ht="22.5" customHeight="1">
      <c r="A736" s="44"/>
      <c r="B736" s="45"/>
      <c r="C736" s="45"/>
      <c r="D736" s="46"/>
      <c r="E736" s="47"/>
      <c r="F736" s="45"/>
      <c r="G736" s="45"/>
      <c r="H736" s="48"/>
      <c r="I736" s="45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</row>
    <row r="737" ht="22.5" customHeight="1">
      <c r="A737" s="44"/>
      <c r="B737" s="45"/>
      <c r="C737" s="45"/>
      <c r="D737" s="46"/>
      <c r="E737" s="47"/>
      <c r="F737" s="45"/>
      <c r="G737" s="45"/>
      <c r="H737" s="48"/>
      <c r="I737" s="45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</row>
    <row r="738" ht="22.5" customHeight="1">
      <c r="A738" s="44"/>
      <c r="B738" s="45"/>
      <c r="C738" s="45"/>
      <c r="D738" s="46"/>
      <c r="E738" s="47"/>
      <c r="F738" s="45"/>
      <c r="G738" s="45"/>
      <c r="H738" s="48"/>
      <c r="I738" s="45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</row>
    <row r="739" ht="22.5" customHeight="1">
      <c r="A739" s="44"/>
      <c r="B739" s="45"/>
      <c r="C739" s="45"/>
      <c r="D739" s="46"/>
      <c r="E739" s="47"/>
      <c r="F739" s="45"/>
      <c r="G739" s="45"/>
      <c r="H739" s="48"/>
      <c r="I739" s="45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</row>
    <row r="740" ht="22.5" customHeight="1">
      <c r="A740" s="44"/>
      <c r="B740" s="45"/>
      <c r="C740" s="45"/>
      <c r="D740" s="46"/>
      <c r="E740" s="47"/>
      <c r="F740" s="45"/>
      <c r="G740" s="45"/>
      <c r="H740" s="48"/>
      <c r="I740" s="45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</row>
    <row r="741" ht="22.5" customHeight="1">
      <c r="A741" s="44"/>
      <c r="B741" s="45"/>
      <c r="C741" s="45"/>
      <c r="D741" s="46"/>
      <c r="E741" s="47"/>
      <c r="F741" s="45"/>
      <c r="G741" s="45"/>
      <c r="H741" s="48"/>
      <c r="I741" s="45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</row>
    <row r="742" ht="22.5" customHeight="1">
      <c r="A742" s="44"/>
      <c r="B742" s="45"/>
      <c r="C742" s="45"/>
      <c r="D742" s="46"/>
      <c r="E742" s="47"/>
      <c r="F742" s="45"/>
      <c r="G742" s="45"/>
      <c r="H742" s="48"/>
      <c r="I742" s="45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</row>
    <row r="743" ht="22.5" customHeight="1">
      <c r="A743" s="44"/>
      <c r="B743" s="45"/>
      <c r="C743" s="45"/>
      <c r="D743" s="46"/>
      <c r="E743" s="47"/>
      <c r="F743" s="45"/>
      <c r="G743" s="45"/>
      <c r="H743" s="48"/>
      <c r="I743" s="45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</row>
    <row r="744" ht="22.5" customHeight="1">
      <c r="A744" s="44"/>
      <c r="B744" s="45"/>
      <c r="C744" s="45"/>
      <c r="D744" s="46"/>
      <c r="E744" s="47"/>
      <c r="F744" s="45"/>
      <c r="G744" s="45"/>
      <c r="H744" s="48"/>
      <c r="I744" s="45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</row>
    <row r="745" ht="22.5" customHeight="1">
      <c r="A745" s="44"/>
      <c r="B745" s="45"/>
      <c r="C745" s="45"/>
      <c r="D745" s="46"/>
      <c r="E745" s="47"/>
      <c r="F745" s="45"/>
      <c r="G745" s="45"/>
      <c r="H745" s="48"/>
      <c r="I745" s="45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</row>
    <row r="746" ht="22.5" customHeight="1">
      <c r="A746" s="44"/>
      <c r="B746" s="45"/>
      <c r="C746" s="45"/>
      <c r="D746" s="46"/>
      <c r="E746" s="47"/>
      <c r="F746" s="45"/>
      <c r="G746" s="45"/>
      <c r="H746" s="48"/>
      <c r="I746" s="45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</row>
    <row r="747" ht="22.5" customHeight="1">
      <c r="A747" s="44"/>
      <c r="B747" s="45"/>
      <c r="C747" s="45"/>
      <c r="D747" s="46"/>
      <c r="E747" s="47"/>
      <c r="F747" s="45"/>
      <c r="G747" s="45"/>
      <c r="H747" s="48"/>
      <c r="I747" s="45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</row>
    <row r="748" ht="22.5" customHeight="1">
      <c r="A748" s="44"/>
      <c r="B748" s="45"/>
      <c r="C748" s="45"/>
      <c r="D748" s="46"/>
      <c r="E748" s="47"/>
      <c r="F748" s="45"/>
      <c r="G748" s="45"/>
      <c r="H748" s="48"/>
      <c r="I748" s="45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</row>
    <row r="749" ht="22.5" customHeight="1">
      <c r="A749" s="44"/>
      <c r="B749" s="45"/>
      <c r="C749" s="45"/>
      <c r="D749" s="46"/>
      <c r="E749" s="47"/>
      <c r="F749" s="45"/>
      <c r="G749" s="45"/>
      <c r="H749" s="48"/>
      <c r="I749" s="45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</row>
    <row r="750" ht="22.5" customHeight="1">
      <c r="A750" s="44"/>
      <c r="B750" s="45"/>
      <c r="C750" s="45"/>
      <c r="D750" s="46"/>
      <c r="E750" s="47"/>
      <c r="F750" s="45"/>
      <c r="G750" s="45"/>
      <c r="H750" s="48"/>
      <c r="I750" s="45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</row>
    <row r="751" ht="22.5" customHeight="1">
      <c r="A751" s="44"/>
      <c r="B751" s="45"/>
      <c r="C751" s="45"/>
      <c r="D751" s="46"/>
      <c r="E751" s="47"/>
      <c r="F751" s="45"/>
      <c r="G751" s="45"/>
      <c r="H751" s="48"/>
      <c r="I751" s="45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</row>
    <row r="752" ht="22.5" customHeight="1">
      <c r="A752" s="44"/>
      <c r="B752" s="45"/>
      <c r="C752" s="45"/>
      <c r="D752" s="46"/>
      <c r="E752" s="47"/>
      <c r="F752" s="45"/>
      <c r="G752" s="45"/>
      <c r="H752" s="48"/>
      <c r="I752" s="45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</row>
    <row r="753" ht="22.5" customHeight="1">
      <c r="A753" s="44"/>
      <c r="B753" s="45"/>
      <c r="C753" s="45"/>
      <c r="D753" s="46"/>
      <c r="E753" s="47"/>
      <c r="F753" s="45"/>
      <c r="G753" s="45"/>
      <c r="H753" s="48"/>
      <c r="I753" s="45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</row>
    <row r="754" ht="22.5" customHeight="1">
      <c r="A754" s="44"/>
      <c r="B754" s="45"/>
      <c r="C754" s="45"/>
      <c r="D754" s="46"/>
      <c r="E754" s="47"/>
      <c r="F754" s="45"/>
      <c r="G754" s="45"/>
      <c r="H754" s="48"/>
      <c r="I754" s="45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</row>
    <row r="755" ht="22.5" customHeight="1">
      <c r="A755" s="44"/>
      <c r="B755" s="45"/>
      <c r="C755" s="45"/>
      <c r="D755" s="46"/>
      <c r="E755" s="47"/>
      <c r="F755" s="45"/>
      <c r="G755" s="45"/>
      <c r="H755" s="48"/>
      <c r="I755" s="45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</row>
    <row r="756" ht="22.5" customHeight="1">
      <c r="A756" s="44"/>
      <c r="B756" s="45"/>
      <c r="C756" s="45"/>
      <c r="D756" s="46"/>
      <c r="E756" s="47"/>
      <c r="F756" s="45"/>
      <c r="G756" s="45"/>
      <c r="H756" s="48"/>
      <c r="I756" s="45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</row>
    <row r="757" ht="22.5" customHeight="1">
      <c r="A757" s="44"/>
      <c r="B757" s="45"/>
      <c r="C757" s="45"/>
      <c r="D757" s="46"/>
      <c r="E757" s="47"/>
      <c r="F757" s="45"/>
      <c r="G757" s="45"/>
      <c r="H757" s="48"/>
      <c r="I757" s="45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</row>
    <row r="758" ht="22.5" customHeight="1">
      <c r="A758" s="44"/>
      <c r="B758" s="45"/>
      <c r="C758" s="45"/>
      <c r="D758" s="46"/>
      <c r="E758" s="47"/>
      <c r="F758" s="45"/>
      <c r="G758" s="45"/>
      <c r="H758" s="48"/>
      <c r="I758" s="45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</row>
    <row r="759" ht="22.5" customHeight="1">
      <c r="A759" s="44"/>
      <c r="B759" s="45"/>
      <c r="C759" s="45"/>
      <c r="D759" s="46"/>
      <c r="E759" s="47"/>
      <c r="F759" s="45"/>
      <c r="G759" s="45"/>
      <c r="H759" s="48"/>
      <c r="I759" s="45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</row>
    <row r="760" ht="22.5" customHeight="1">
      <c r="A760" s="44"/>
      <c r="B760" s="45"/>
      <c r="C760" s="45"/>
      <c r="D760" s="46"/>
      <c r="E760" s="47"/>
      <c r="F760" s="45"/>
      <c r="G760" s="45"/>
      <c r="H760" s="48"/>
      <c r="I760" s="45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</row>
    <row r="761" ht="22.5" customHeight="1">
      <c r="A761" s="44"/>
      <c r="B761" s="45"/>
      <c r="C761" s="45"/>
      <c r="D761" s="46"/>
      <c r="E761" s="47"/>
      <c r="F761" s="45"/>
      <c r="G761" s="45"/>
      <c r="H761" s="48"/>
      <c r="I761" s="45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</row>
    <row r="762" ht="22.5" customHeight="1">
      <c r="A762" s="44"/>
      <c r="B762" s="45"/>
      <c r="C762" s="45"/>
      <c r="D762" s="46"/>
      <c r="E762" s="47"/>
      <c r="F762" s="45"/>
      <c r="G762" s="45"/>
      <c r="H762" s="48"/>
      <c r="I762" s="45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</row>
    <row r="763" ht="22.5" customHeight="1">
      <c r="A763" s="44"/>
      <c r="B763" s="45"/>
      <c r="C763" s="45"/>
      <c r="D763" s="46"/>
      <c r="E763" s="47"/>
      <c r="F763" s="45"/>
      <c r="G763" s="45"/>
      <c r="H763" s="48"/>
      <c r="I763" s="45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</row>
    <row r="764" ht="22.5" customHeight="1">
      <c r="A764" s="44"/>
      <c r="B764" s="45"/>
      <c r="C764" s="45"/>
      <c r="D764" s="46"/>
      <c r="E764" s="47"/>
      <c r="F764" s="45"/>
      <c r="G764" s="45"/>
      <c r="H764" s="48"/>
      <c r="I764" s="45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</row>
    <row r="765" ht="22.5" customHeight="1">
      <c r="A765" s="44"/>
      <c r="B765" s="45"/>
      <c r="C765" s="45"/>
      <c r="D765" s="46"/>
      <c r="E765" s="47"/>
      <c r="F765" s="45"/>
      <c r="G765" s="45"/>
      <c r="H765" s="48"/>
      <c r="I765" s="45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</row>
    <row r="766" ht="22.5" customHeight="1">
      <c r="A766" s="44"/>
      <c r="B766" s="45"/>
      <c r="C766" s="45"/>
      <c r="D766" s="46"/>
      <c r="E766" s="47"/>
      <c r="F766" s="45"/>
      <c r="G766" s="45"/>
      <c r="H766" s="48"/>
      <c r="I766" s="45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</row>
    <row r="767" ht="22.5" customHeight="1">
      <c r="A767" s="44"/>
      <c r="B767" s="45"/>
      <c r="C767" s="45"/>
      <c r="D767" s="46"/>
      <c r="E767" s="47"/>
      <c r="F767" s="45"/>
      <c r="G767" s="45"/>
      <c r="H767" s="48"/>
      <c r="I767" s="45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</row>
    <row r="768" ht="22.5" customHeight="1">
      <c r="A768" s="44"/>
      <c r="B768" s="45"/>
      <c r="C768" s="45"/>
      <c r="D768" s="46"/>
      <c r="E768" s="47"/>
      <c r="F768" s="45"/>
      <c r="G768" s="45"/>
      <c r="H768" s="48"/>
      <c r="I768" s="45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</row>
    <row r="769" ht="22.5" customHeight="1">
      <c r="A769" s="44"/>
      <c r="B769" s="45"/>
      <c r="C769" s="45"/>
      <c r="D769" s="46"/>
      <c r="E769" s="47"/>
      <c r="F769" s="45"/>
      <c r="G769" s="45"/>
      <c r="H769" s="48"/>
      <c r="I769" s="45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</row>
    <row r="770" ht="22.5" customHeight="1">
      <c r="A770" s="44"/>
      <c r="B770" s="45"/>
      <c r="C770" s="45"/>
      <c r="D770" s="46"/>
      <c r="E770" s="47"/>
      <c r="F770" s="45"/>
      <c r="G770" s="45"/>
      <c r="H770" s="48"/>
      <c r="I770" s="45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</row>
    <row r="771" ht="22.5" customHeight="1">
      <c r="A771" s="44"/>
      <c r="B771" s="45"/>
      <c r="C771" s="45"/>
      <c r="D771" s="46"/>
      <c r="E771" s="47"/>
      <c r="F771" s="45"/>
      <c r="G771" s="45"/>
      <c r="H771" s="48"/>
      <c r="I771" s="45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</row>
    <row r="772" ht="22.5" customHeight="1">
      <c r="A772" s="44"/>
      <c r="B772" s="45"/>
      <c r="C772" s="45"/>
      <c r="D772" s="46"/>
      <c r="E772" s="47"/>
      <c r="F772" s="45"/>
      <c r="G772" s="45"/>
      <c r="H772" s="48"/>
      <c r="I772" s="45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</row>
    <row r="773" ht="22.5" customHeight="1">
      <c r="A773" s="44"/>
      <c r="B773" s="45"/>
      <c r="C773" s="45"/>
      <c r="D773" s="46"/>
      <c r="E773" s="47"/>
      <c r="F773" s="45"/>
      <c r="G773" s="45"/>
      <c r="H773" s="48"/>
      <c r="I773" s="45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</row>
    <row r="774" ht="22.5" customHeight="1">
      <c r="A774" s="44"/>
      <c r="B774" s="45"/>
      <c r="C774" s="45"/>
      <c r="D774" s="46"/>
      <c r="E774" s="47"/>
      <c r="F774" s="45"/>
      <c r="G774" s="45"/>
      <c r="H774" s="48"/>
      <c r="I774" s="45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</row>
    <row r="775" ht="22.5" customHeight="1">
      <c r="A775" s="44"/>
      <c r="B775" s="45"/>
      <c r="C775" s="45"/>
      <c r="D775" s="46"/>
      <c r="E775" s="47"/>
      <c r="F775" s="45"/>
      <c r="G775" s="45"/>
      <c r="H775" s="48"/>
      <c r="I775" s="45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</row>
    <row r="776" ht="22.5" customHeight="1">
      <c r="A776" s="44"/>
      <c r="B776" s="45"/>
      <c r="C776" s="45"/>
      <c r="D776" s="46"/>
      <c r="E776" s="47"/>
      <c r="F776" s="45"/>
      <c r="G776" s="45"/>
      <c r="H776" s="48"/>
      <c r="I776" s="45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</row>
    <row r="777" ht="22.5" customHeight="1">
      <c r="A777" s="44"/>
      <c r="B777" s="45"/>
      <c r="C777" s="45"/>
      <c r="D777" s="46"/>
      <c r="E777" s="47"/>
      <c r="F777" s="45"/>
      <c r="G777" s="45"/>
      <c r="H777" s="48"/>
      <c r="I777" s="45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</row>
    <row r="778" ht="22.5" customHeight="1">
      <c r="A778" s="44"/>
      <c r="B778" s="45"/>
      <c r="C778" s="45"/>
      <c r="D778" s="46"/>
      <c r="E778" s="47"/>
      <c r="F778" s="45"/>
      <c r="G778" s="45"/>
      <c r="H778" s="48"/>
      <c r="I778" s="45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</row>
    <row r="779" ht="22.5" customHeight="1">
      <c r="A779" s="44"/>
      <c r="B779" s="45"/>
      <c r="C779" s="45"/>
      <c r="D779" s="46"/>
      <c r="E779" s="47"/>
      <c r="F779" s="45"/>
      <c r="G779" s="45"/>
      <c r="H779" s="48"/>
      <c r="I779" s="45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</row>
    <row r="780" ht="22.5" customHeight="1">
      <c r="A780" s="44"/>
      <c r="B780" s="45"/>
      <c r="C780" s="45"/>
      <c r="D780" s="46"/>
      <c r="E780" s="47"/>
      <c r="F780" s="45"/>
      <c r="G780" s="45"/>
      <c r="H780" s="48"/>
      <c r="I780" s="45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</row>
    <row r="781" ht="22.5" customHeight="1">
      <c r="A781" s="44"/>
      <c r="B781" s="45"/>
      <c r="C781" s="45"/>
      <c r="D781" s="46"/>
      <c r="E781" s="47"/>
      <c r="F781" s="45"/>
      <c r="G781" s="45"/>
      <c r="H781" s="48"/>
      <c r="I781" s="45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</row>
    <row r="782" ht="22.5" customHeight="1">
      <c r="A782" s="44"/>
      <c r="B782" s="45"/>
      <c r="C782" s="45"/>
      <c r="D782" s="46"/>
      <c r="E782" s="47"/>
      <c r="F782" s="45"/>
      <c r="G782" s="45"/>
      <c r="H782" s="48"/>
      <c r="I782" s="45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</row>
    <row r="783" ht="22.5" customHeight="1">
      <c r="A783" s="44"/>
      <c r="B783" s="45"/>
      <c r="C783" s="45"/>
      <c r="D783" s="46"/>
      <c r="E783" s="47"/>
      <c r="F783" s="45"/>
      <c r="G783" s="45"/>
      <c r="H783" s="48"/>
      <c r="I783" s="45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</row>
    <row r="784" ht="22.5" customHeight="1">
      <c r="A784" s="44"/>
      <c r="B784" s="45"/>
      <c r="C784" s="45"/>
      <c r="D784" s="46"/>
      <c r="E784" s="47"/>
      <c r="F784" s="45"/>
      <c r="G784" s="45"/>
      <c r="H784" s="48"/>
      <c r="I784" s="45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</row>
    <row r="785" ht="22.5" customHeight="1">
      <c r="A785" s="44"/>
      <c r="B785" s="45"/>
      <c r="C785" s="45"/>
      <c r="D785" s="46"/>
      <c r="E785" s="47"/>
      <c r="F785" s="45"/>
      <c r="G785" s="45"/>
      <c r="H785" s="48"/>
      <c r="I785" s="45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</row>
    <row r="786" ht="22.5" customHeight="1">
      <c r="A786" s="44"/>
      <c r="B786" s="45"/>
      <c r="C786" s="45"/>
      <c r="D786" s="46"/>
      <c r="E786" s="47"/>
      <c r="F786" s="45"/>
      <c r="G786" s="45"/>
      <c r="H786" s="48"/>
      <c r="I786" s="45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</row>
    <row r="787" ht="22.5" customHeight="1">
      <c r="A787" s="44"/>
      <c r="B787" s="45"/>
      <c r="C787" s="45"/>
      <c r="D787" s="46"/>
      <c r="E787" s="47"/>
      <c r="F787" s="45"/>
      <c r="G787" s="45"/>
      <c r="H787" s="48"/>
      <c r="I787" s="45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</row>
    <row r="788" ht="22.5" customHeight="1">
      <c r="A788" s="44"/>
      <c r="B788" s="45"/>
      <c r="C788" s="45"/>
      <c r="D788" s="46"/>
      <c r="E788" s="47"/>
      <c r="F788" s="45"/>
      <c r="G788" s="45"/>
      <c r="H788" s="48"/>
      <c r="I788" s="45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</row>
    <row r="789" ht="22.5" customHeight="1">
      <c r="A789" s="44"/>
      <c r="B789" s="45"/>
      <c r="C789" s="45"/>
      <c r="D789" s="46"/>
      <c r="E789" s="47"/>
      <c r="F789" s="45"/>
      <c r="G789" s="45"/>
      <c r="H789" s="48"/>
      <c r="I789" s="45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</row>
    <row r="790" ht="22.5" customHeight="1">
      <c r="A790" s="44"/>
      <c r="B790" s="45"/>
      <c r="C790" s="45"/>
      <c r="D790" s="46"/>
      <c r="E790" s="47"/>
      <c r="F790" s="45"/>
      <c r="G790" s="45"/>
      <c r="H790" s="48"/>
      <c r="I790" s="45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</row>
    <row r="791" ht="22.5" customHeight="1">
      <c r="A791" s="44"/>
      <c r="B791" s="45"/>
      <c r="C791" s="45"/>
      <c r="D791" s="46"/>
      <c r="E791" s="47"/>
      <c r="F791" s="45"/>
      <c r="G791" s="45"/>
      <c r="H791" s="48"/>
      <c r="I791" s="45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</row>
    <row r="792" ht="22.5" customHeight="1">
      <c r="A792" s="44"/>
      <c r="B792" s="45"/>
      <c r="C792" s="45"/>
      <c r="D792" s="46"/>
      <c r="E792" s="47"/>
      <c r="F792" s="45"/>
      <c r="G792" s="45"/>
      <c r="H792" s="48"/>
      <c r="I792" s="45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</row>
    <row r="793" ht="22.5" customHeight="1">
      <c r="A793" s="44"/>
      <c r="B793" s="45"/>
      <c r="C793" s="45"/>
      <c r="D793" s="46"/>
      <c r="E793" s="47"/>
      <c r="F793" s="45"/>
      <c r="G793" s="45"/>
      <c r="H793" s="48"/>
      <c r="I793" s="45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</row>
    <row r="794" ht="22.5" customHeight="1">
      <c r="A794" s="44"/>
      <c r="B794" s="45"/>
      <c r="C794" s="45"/>
      <c r="D794" s="46"/>
      <c r="E794" s="47"/>
      <c r="F794" s="45"/>
      <c r="G794" s="45"/>
      <c r="H794" s="48"/>
      <c r="I794" s="45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</row>
    <row r="795" ht="22.5" customHeight="1">
      <c r="A795" s="44"/>
      <c r="B795" s="45"/>
      <c r="C795" s="45"/>
      <c r="D795" s="46"/>
      <c r="E795" s="47"/>
      <c r="F795" s="45"/>
      <c r="G795" s="45"/>
      <c r="H795" s="48"/>
      <c r="I795" s="45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</row>
    <row r="796" ht="22.5" customHeight="1">
      <c r="A796" s="44"/>
      <c r="B796" s="45"/>
      <c r="C796" s="45"/>
      <c r="D796" s="46"/>
      <c r="E796" s="47"/>
      <c r="F796" s="45"/>
      <c r="G796" s="45"/>
      <c r="H796" s="48"/>
      <c r="I796" s="45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</row>
    <row r="797" ht="22.5" customHeight="1">
      <c r="A797" s="44"/>
      <c r="B797" s="45"/>
      <c r="C797" s="45"/>
      <c r="D797" s="46"/>
      <c r="E797" s="47"/>
      <c r="F797" s="45"/>
      <c r="G797" s="45"/>
      <c r="H797" s="48"/>
      <c r="I797" s="45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</row>
  </sheetData>
  <autoFilter ref="$A$1:$V$41">
    <sortState ref="A1:V41">
      <sortCondition ref="J1:J41"/>
      <sortCondition ref="E1:E41"/>
      <sortCondition descending="1" ref="B1:B41"/>
      <sortCondition ref="G1:G41"/>
    </sortState>
  </autoFilter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3.43"/>
    <col customWidth="1" min="3" max="3" width="20.86"/>
    <col customWidth="1" min="4" max="4" width="15.14"/>
    <col customWidth="1" min="5" max="6" width="17.0"/>
    <col customWidth="1" min="7" max="7" width="11.86"/>
    <col customWidth="1" min="8" max="8" width="49.71"/>
    <col customWidth="1" min="9" max="9" width="36.71"/>
    <col customWidth="1" min="10" max="10" width="12.29"/>
    <col customWidth="1" min="11" max="23" width="30.43"/>
  </cols>
  <sheetData>
    <row r="1" ht="33.0" customHeight="1">
      <c r="A1" s="1" t="s">
        <v>0</v>
      </c>
      <c r="B1" s="1" t="s">
        <v>1</v>
      </c>
      <c r="C1" s="1" t="s">
        <v>2</v>
      </c>
      <c r="D1" s="49" t="s">
        <v>3</v>
      </c>
      <c r="E1" s="3" t="s">
        <v>4</v>
      </c>
      <c r="F1" s="1" t="s">
        <v>5</v>
      </c>
      <c r="G1" s="49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ht="33.0" customHeight="1">
      <c r="A2" s="51" t="s">
        <v>21</v>
      </c>
      <c r="B2" s="51">
        <v>1125.0</v>
      </c>
      <c r="C2" s="52" t="s">
        <v>59</v>
      </c>
      <c r="D2" s="53">
        <v>4.0</v>
      </c>
      <c r="E2" s="54" t="s">
        <v>60</v>
      </c>
      <c r="F2" s="54" t="s">
        <v>61</v>
      </c>
      <c r="G2" s="51">
        <v>3.0</v>
      </c>
      <c r="H2" s="55" t="s">
        <v>62</v>
      </c>
      <c r="I2" s="56"/>
      <c r="J2" s="13" t="b">
        <v>1</v>
      </c>
      <c r="K2" s="13" t="s">
        <v>63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ht="33.0" customHeight="1">
      <c r="A3" s="58" t="s">
        <v>11</v>
      </c>
      <c r="B3" s="59">
        <v>1222.0</v>
      </c>
      <c r="C3" s="60" t="s">
        <v>64</v>
      </c>
      <c r="D3" s="61">
        <v>1.0</v>
      </c>
      <c r="E3" s="59" t="s">
        <v>60</v>
      </c>
      <c r="F3" s="10" t="s">
        <v>61</v>
      </c>
      <c r="G3" s="61">
        <v>9.0</v>
      </c>
      <c r="H3" s="62" t="s">
        <v>65</v>
      </c>
      <c r="I3" s="63" t="s">
        <v>66</v>
      </c>
      <c r="J3" s="13" t="b">
        <v>1</v>
      </c>
      <c r="K3" s="62" t="s">
        <v>27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 ht="33.0" customHeight="1">
      <c r="A4" s="58" t="s">
        <v>11</v>
      </c>
      <c r="B4" s="58">
        <v>1222.0</v>
      </c>
      <c r="C4" s="64" t="s">
        <v>67</v>
      </c>
      <c r="D4" s="65">
        <f>140/20</f>
        <v>7</v>
      </c>
      <c r="E4" s="59" t="s">
        <v>60</v>
      </c>
      <c r="F4" s="10" t="s">
        <v>61</v>
      </c>
      <c r="G4" s="65">
        <v>9.0</v>
      </c>
      <c r="H4" s="66" t="s">
        <v>68</v>
      </c>
      <c r="I4" s="67" t="s">
        <v>69</v>
      </c>
      <c r="J4" s="13" t="b">
        <v>1</v>
      </c>
      <c r="K4" s="68" t="s">
        <v>63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ht="33.0" customHeight="1">
      <c r="A5" s="58" t="s">
        <v>11</v>
      </c>
      <c r="B5" s="58">
        <v>1226.0</v>
      </c>
      <c r="C5" s="64" t="s">
        <v>70</v>
      </c>
      <c r="D5" s="65">
        <f>68/17</f>
        <v>4</v>
      </c>
      <c r="E5" s="11" t="s">
        <v>60</v>
      </c>
      <c r="F5" s="10" t="s">
        <v>61</v>
      </c>
      <c r="G5" s="65">
        <v>2.0</v>
      </c>
      <c r="H5" s="69" t="s">
        <v>71</v>
      </c>
      <c r="I5" s="70" t="s">
        <v>72</v>
      </c>
      <c r="J5" s="13" t="b">
        <v>1</v>
      </c>
      <c r="K5" s="68" t="s">
        <v>63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ht="33.0" customHeight="1">
      <c r="A6" s="58" t="s">
        <v>11</v>
      </c>
      <c r="B6" s="59">
        <v>1222.0</v>
      </c>
      <c r="C6" s="60" t="s">
        <v>64</v>
      </c>
      <c r="D6" s="61">
        <v>2.0</v>
      </c>
      <c r="E6" s="59" t="s">
        <v>73</v>
      </c>
      <c r="F6" s="10" t="s">
        <v>61</v>
      </c>
      <c r="G6" s="61">
        <v>9.0</v>
      </c>
      <c r="H6" s="62" t="s">
        <v>74</v>
      </c>
      <c r="I6" s="63" t="s">
        <v>66</v>
      </c>
      <c r="J6" s="13" t="b">
        <v>1</v>
      </c>
      <c r="K6" s="62" t="s">
        <v>63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</row>
    <row r="7" ht="33.0" customHeight="1">
      <c r="A7" s="58" t="s">
        <v>11</v>
      </c>
      <c r="B7" s="71" t="s">
        <v>75</v>
      </c>
      <c r="C7" s="64" t="s">
        <v>76</v>
      </c>
      <c r="D7" s="65">
        <f>120/20</f>
        <v>6</v>
      </c>
      <c r="E7" s="11" t="s">
        <v>73</v>
      </c>
      <c r="F7" s="10" t="s">
        <v>61</v>
      </c>
      <c r="G7" s="65">
        <v>7.0</v>
      </c>
      <c r="H7" s="70" t="s">
        <v>77</v>
      </c>
      <c r="I7" s="70" t="s">
        <v>78</v>
      </c>
      <c r="J7" s="13" t="b">
        <v>1</v>
      </c>
      <c r="K7" s="68" t="s">
        <v>63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</row>
    <row r="8" ht="27.0" customHeight="1">
      <c r="A8" s="58" t="s">
        <v>11</v>
      </c>
      <c r="B8" s="58">
        <v>1225.0</v>
      </c>
      <c r="C8" s="64" t="s">
        <v>79</v>
      </c>
      <c r="D8" s="65">
        <f>80/20</f>
        <v>4</v>
      </c>
      <c r="E8" s="11" t="s">
        <v>73</v>
      </c>
      <c r="F8" s="10" t="s">
        <v>61</v>
      </c>
      <c r="G8" s="65">
        <v>4.0</v>
      </c>
      <c r="H8" s="66" t="s">
        <v>80</v>
      </c>
      <c r="I8" s="67" t="s">
        <v>81</v>
      </c>
      <c r="J8" s="13" t="b">
        <v>1</v>
      </c>
      <c r="K8" s="68" t="s">
        <v>63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ht="33.0" customHeight="1">
      <c r="A9" s="58" t="s">
        <v>11</v>
      </c>
      <c r="B9" s="71" t="s">
        <v>82</v>
      </c>
      <c r="C9" s="64" t="s">
        <v>83</v>
      </c>
      <c r="D9" s="65">
        <f>60/20</f>
        <v>3</v>
      </c>
      <c r="E9" s="11" t="s">
        <v>73</v>
      </c>
      <c r="F9" s="10" t="s">
        <v>61</v>
      </c>
      <c r="G9" s="65">
        <v>9.0</v>
      </c>
      <c r="H9" s="72"/>
      <c r="I9" s="73" t="s">
        <v>84</v>
      </c>
      <c r="J9" s="13" t="b">
        <v>1</v>
      </c>
      <c r="K9" s="68" t="s">
        <v>63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ht="33.0" customHeight="1">
      <c r="A10" s="58" t="s">
        <v>11</v>
      </c>
      <c r="B10" s="71">
        <v>1223.0</v>
      </c>
      <c r="C10" s="64" t="s">
        <v>85</v>
      </c>
      <c r="D10" s="65">
        <f t="shared" ref="D10:D11" si="1">100/20</f>
        <v>5</v>
      </c>
      <c r="E10" s="11" t="s">
        <v>86</v>
      </c>
      <c r="F10" s="10" t="s">
        <v>61</v>
      </c>
      <c r="G10" s="65">
        <v>7.0</v>
      </c>
      <c r="H10" s="67"/>
      <c r="I10" s="67" t="s">
        <v>87</v>
      </c>
      <c r="J10" s="13" t="b">
        <v>1</v>
      </c>
      <c r="K10" s="68" t="s">
        <v>63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74"/>
    </row>
    <row r="11" ht="33.0" customHeight="1">
      <c r="A11" s="58" t="s">
        <v>11</v>
      </c>
      <c r="B11" s="71">
        <v>1224.0</v>
      </c>
      <c r="C11" s="64" t="s">
        <v>88</v>
      </c>
      <c r="D11" s="65">
        <f t="shared" si="1"/>
        <v>5</v>
      </c>
      <c r="E11" s="11" t="s">
        <v>86</v>
      </c>
      <c r="F11" s="10" t="s">
        <v>61</v>
      </c>
      <c r="G11" s="65">
        <v>6.0</v>
      </c>
      <c r="H11" s="67"/>
      <c r="I11" s="67" t="s">
        <v>87</v>
      </c>
      <c r="J11" s="13" t="b">
        <v>1</v>
      </c>
      <c r="K11" s="68" t="s">
        <v>63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ht="33.0" customHeight="1">
      <c r="A12" s="58" t="s">
        <v>11</v>
      </c>
      <c r="B12" s="58">
        <v>1225.0</v>
      </c>
      <c r="C12" s="64" t="s">
        <v>89</v>
      </c>
      <c r="D12" s="65">
        <f>140/20</f>
        <v>7</v>
      </c>
      <c r="E12" s="75" t="s">
        <v>86</v>
      </c>
      <c r="F12" s="10" t="s">
        <v>61</v>
      </c>
      <c r="G12" s="65">
        <v>4.0</v>
      </c>
      <c r="H12" s="67"/>
      <c r="I12" s="67" t="s">
        <v>90</v>
      </c>
      <c r="J12" s="13" t="b">
        <v>1</v>
      </c>
      <c r="K12" s="68" t="s">
        <v>63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>
      <c r="A13" s="76" t="s">
        <v>21</v>
      </c>
      <c r="B13" s="76">
        <v>1126.0</v>
      </c>
      <c r="C13" s="77" t="s">
        <v>91</v>
      </c>
      <c r="D13" s="78">
        <v>3.0</v>
      </c>
      <c r="E13" s="79" t="s">
        <v>92</v>
      </c>
      <c r="F13" s="78" t="s">
        <v>61</v>
      </c>
      <c r="G13" s="78">
        <v>1.0</v>
      </c>
      <c r="H13" s="55" t="s">
        <v>93</v>
      </c>
      <c r="I13" s="80" t="s">
        <v>94</v>
      </c>
      <c r="J13" s="13" t="b">
        <v>1</v>
      </c>
      <c r="K13" s="68" t="s">
        <v>63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ht="33.0" customHeight="1">
      <c r="A14" s="58" t="s">
        <v>11</v>
      </c>
      <c r="B14" s="71">
        <v>1223.0</v>
      </c>
      <c r="C14" s="64" t="s">
        <v>95</v>
      </c>
      <c r="D14" s="11">
        <v>6.0</v>
      </c>
      <c r="E14" s="81" t="s">
        <v>92</v>
      </c>
      <c r="F14" s="10" t="s">
        <v>61</v>
      </c>
      <c r="G14" s="82">
        <v>7.0</v>
      </c>
      <c r="H14" s="73" t="s">
        <v>96</v>
      </c>
      <c r="I14" s="83"/>
      <c r="J14" s="13" t="b">
        <v>1</v>
      </c>
      <c r="K14" s="68" t="s">
        <v>63</v>
      </c>
      <c r="L14" s="57"/>
      <c r="M14" s="57"/>
      <c r="N14" s="57"/>
      <c r="O14" s="74"/>
      <c r="P14" s="74"/>
      <c r="Q14" s="74"/>
      <c r="R14" s="74"/>
      <c r="S14" s="74"/>
      <c r="T14" s="74"/>
      <c r="U14" s="74"/>
      <c r="V14" s="74"/>
      <c r="W14" s="57"/>
    </row>
    <row r="15" ht="33.0" customHeight="1">
      <c r="A15" s="58" t="s">
        <v>11</v>
      </c>
      <c r="B15" s="59">
        <v>1222.0</v>
      </c>
      <c r="C15" s="60" t="s">
        <v>64</v>
      </c>
      <c r="D15" s="61">
        <v>1.0</v>
      </c>
      <c r="E15" s="59" t="s">
        <v>92</v>
      </c>
      <c r="F15" s="10" t="s">
        <v>61</v>
      </c>
      <c r="G15" s="61">
        <v>10.0</v>
      </c>
      <c r="H15" s="62" t="s">
        <v>97</v>
      </c>
      <c r="I15" s="63" t="s">
        <v>66</v>
      </c>
      <c r="J15" s="13" t="b">
        <v>1</v>
      </c>
      <c r="K15" s="62" t="s">
        <v>63</v>
      </c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7"/>
    </row>
    <row r="16">
      <c r="A16" s="58" t="s">
        <v>11</v>
      </c>
      <c r="B16" s="58">
        <v>1225.0</v>
      </c>
      <c r="C16" s="64" t="s">
        <v>98</v>
      </c>
      <c r="D16" s="65">
        <f>40/20</f>
        <v>2</v>
      </c>
      <c r="E16" s="11" t="s">
        <v>92</v>
      </c>
      <c r="F16" s="10" t="s">
        <v>61</v>
      </c>
      <c r="G16" s="65">
        <v>4.0</v>
      </c>
      <c r="H16" s="66" t="s">
        <v>99</v>
      </c>
      <c r="I16" s="66"/>
      <c r="J16" s="13" t="b">
        <v>1</v>
      </c>
      <c r="K16" s="68" t="s">
        <v>63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ht="33.0" customHeight="1">
      <c r="A17" s="58" t="s">
        <v>11</v>
      </c>
      <c r="B17" s="71">
        <v>1223.0</v>
      </c>
      <c r="C17" s="64" t="s">
        <v>100</v>
      </c>
      <c r="D17" s="65">
        <f t="shared" ref="D17:D18" si="2">60/20</f>
        <v>3</v>
      </c>
      <c r="E17" s="11" t="s">
        <v>92</v>
      </c>
      <c r="F17" s="10" t="s">
        <v>61</v>
      </c>
      <c r="G17" s="65">
        <v>7.0</v>
      </c>
      <c r="H17" s="72"/>
      <c r="I17" s="72"/>
      <c r="J17" s="13" t="b">
        <v>1</v>
      </c>
      <c r="K17" s="68" t="s">
        <v>63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ht="33.0" customHeight="1">
      <c r="A18" s="58" t="s">
        <v>11</v>
      </c>
      <c r="B18" s="58">
        <v>1225.0</v>
      </c>
      <c r="C18" s="64" t="s">
        <v>101</v>
      </c>
      <c r="D18" s="65">
        <f t="shared" si="2"/>
        <v>3</v>
      </c>
      <c r="E18" s="11" t="s">
        <v>102</v>
      </c>
      <c r="F18" s="10" t="s">
        <v>61</v>
      </c>
      <c r="G18" s="65">
        <v>4.0</v>
      </c>
      <c r="H18" s="66" t="s">
        <v>80</v>
      </c>
      <c r="I18" s="66"/>
      <c r="J18" s="13" t="b">
        <v>1</v>
      </c>
      <c r="K18" s="68" t="s">
        <v>63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ht="33.0" customHeight="1">
      <c r="A19" s="58" t="s">
        <v>11</v>
      </c>
      <c r="B19" s="71" t="s">
        <v>25</v>
      </c>
      <c r="C19" s="64" t="s">
        <v>103</v>
      </c>
      <c r="D19" s="65">
        <v>6.0</v>
      </c>
      <c r="E19" s="11" t="s">
        <v>102</v>
      </c>
      <c r="F19" s="10" t="s">
        <v>61</v>
      </c>
      <c r="G19" s="65">
        <v>10.0</v>
      </c>
      <c r="H19" s="66" t="s">
        <v>104</v>
      </c>
      <c r="I19" s="66"/>
      <c r="J19" s="13" t="b">
        <v>1</v>
      </c>
      <c r="K19" s="68" t="s">
        <v>63</v>
      </c>
      <c r="L19" s="68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ht="33.0" customHeight="1">
      <c r="A20" s="58" t="s">
        <v>11</v>
      </c>
      <c r="B20" s="59">
        <v>1222.0</v>
      </c>
      <c r="C20" s="60" t="s">
        <v>64</v>
      </c>
      <c r="D20" s="61">
        <v>2.0</v>
      </c>
      <c r="E20" s="59" t="s">
        <v>105</v>
      </c>
      <c r="F20" s="10" t="s">
        <v>61</v>
      </c>
      <c r="G20" s="61">
        <v>9.0</v>
      </c>
      <c r="H20" s="62" t="s">
        <v>106</v>
      </c>
      <c r="I20" s="63" t="s">
        <v>66</v>
      </c>
      <c r="J20" s="13" t="b">
        <v>1</v>
      </c>
      <c r="K20" s="62" t="s">
        <v>63</v>
      </c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</row>
    <row r="21" ht="33.0" customHeight="1">
      <c r="A21" s="58" t="s">
        <v>11</v>
      </c>
      <c r="B21" s="71">
        <v>1224.0</v>
      </c>
      <c r="C21" s="64" t="s">
        <v>107</v>
      </c>
      <c r="D21" s="65">
        <f>140/20</f>
        <v>7</v>
      </c>
      <c r="E21" s="11" t="s">
        <v>105</v>
      </c>
      <c r="F21" s="10" t="s">
        <v>61</v>
      </c>
      <c r="G21" s="65">
        <v>6.0</v>
      </c>
      <c r="H21" s="69" t="s">
        <v>108</v>
      </c>
      <c r="I21" s="70" t="s">
        <v>109</v>
      </c>
      <c r="J21" s="13" t="b">
        <v>1</v>
      </c>
      <c r="K21" s="68" t="s">
        <v>63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ht="33.0" customHeight="1">
      <c r="A22" s="84" t="s">
        <v>24</v>
      </c>
      <c r="B22" s="84">
        <v>1026.0</v>
      </c>
      <c r="C22" s="85" t="s">
        <v>110</v>
      </c>
      <c r="D22" s="86">
        <v>2.0</v>
      </c>
      <c r="E22" s="87" t="s">
        <v>105</v>
      </c>
      <c r="F22" s="86" t="s">
        <v>61</v>
      </c>
      <c r="G22" s="86">
        <v>2.0</v>
      </c>
      <c r="H22" s="88" t="s">
        <v>111</v>
      </c>
      <c r="I22" s="88" t="s">
        <v>112</v>
      </c>
      <c r="J22" s="13" t="b">
        <v>1</v>
      </c>
      <c r="K22" s="68" t="s">
        <v>63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ht="33.0" customHeight="1">
      <c r="A23" s="58" t="s">
        <v>11</v>
      </c>
      <c r="B23" s="58">
        <v>1222.0</v>
      </c>
      <c r="C23" s="64" t="s">
        <v>113</v>
      </c>
      <c r="D23" s="65">
        <f>60/20</f>
        <v>3</v>
      </c>
      <c r="E23" s="11" t="s">
        <v>105</v>
      </c>
      <c r="F23" s="10" t="s">
        <v>61</v>
      </c>
      <c r="G23" s="65">
        <v>9.0</v>
      </c>
      <c r="H23" s="66"/>
      <c r="I23" s="66"/>
      <c r="J23" s="13" t="b">
        <v>1</v>
      </c>
      <c r="K23" s="68" t="s">
        <v>63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ht="33.0" customHeight="1">
      <c r="A24" s="76" t="s">
        <v>21</v>
      </c>
      <c r="B24" s="76" t="s">
        <v>114</v>
      </c>
      <c r="C24" s="77" t="s">
        <v>115</v>
      </c>
      <c r="D24" s="78">
        <v>2.0</v>
      </c>
      <c r="E24" s="79" t="s">
        <v>116</v>
      </c>
      <c r="F24" s="78" t="s">
        <v>61</v>
      </c>
      <c r="G24" s="78">
        <v>4.0</v>
      </c>
      <c r="H24" s="55" t="s">
        <v>117</v>
      </c>
      <c r="I24" s="89"/>
      <c r="J24" s="13" t="b">
        <v>1</v>
      </c>
      <c r="K24" s="68" t="s">
        <v>63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ht="33.0" customHeight="1">
      <c r="A25" s="58" t="s">
        <v>11</v>
      </c>
      <c r="B25" s="59">
        <v>1222.0</v>
      </c>
      <c r="C25" s="60" t="s">
        <v>64</v>
      </c>
      <c r="D25" s="61">
        <v>2.0</v>
      </c>
      <c r="E25" s="59" t="s">
        <v>116</v>
      </c>
      <c r="F25" s="10" t="s">
        <v>61</v>
      </c>
      <c r="G25" s="61">
        <v>9.0</v>
      </c>
      <c r="H25" s="62" t="s">
        <v>118</v>
      </c>
      <c r="I25" s="63" t="s">
        <v>66</v>
      </c>
      <c r="J25" s="13" t="b">
        <v>1</v>
      </c>
      <c r="K25" s="62" t="s">
        <v>63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</row>
    <row r="26" ht="33.0" customHeight="1">
      <c r="A26" s="58" t="s">
        <v>11</v>
      </c>
      <c r="B26" s="58">
        <v>1226.0</v>
      </c>
      <c r="C26" s="64" t="s">
        <v>119</v>
      </c>
      <c r="D26" s="65">
        <f>68/17</f>
        <v>4</v>
      </c>
      <c r="E26" s="11" t="s">
        <v>116</v>
      </c>
      <c r="F26" s="10" t="s">
        <v>61</v>
      </c>
      <c r="G26" s="65">
        <v>2.0</v>
      </c>
      <c r="H26" s="69" t="s">
        <v>120</v>
      </c>
      <c r="I26" s="69"/>
      <c r="J26" s="13" t="b">
        <v>1</v>
      </c>
      <c r="K26" s="68" t="s">
        <v>63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ht="33.0" customHeight="1">
      <c r="A27" s="58" t="s">
        <v>11</v>
      </c>
      <c r="B27" s="71">
        <v>1224.0</v>
      </c>
      <c r="C27" s="64" t="s">
        <v>121</v>
      </c>
      <c r="D27" s="65">
        <f>80/20</f>
        <v>4</v>
      </c>
      <c r="E27" s="11" t="s">
        <v>116</v>
      </c>
      <c r="F27" s="10" t="s">
        <v>61</v>
      </c>
      <c r="G27" s="65">
        <v>6.0</v>
      </c>
      <c r="H27" s="66" t="s">
        <v>80</v>
      </c>
      <c r="I27" s="66"/>
      <c r="J27" s="13" t="b">
        <v>1</v>
      </c>
      <c r="K27" s="68" t="s">
        <v>63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ht="33.0" customHeight="1">
      <c r="A28" s="58" t="s">
        <v>11</v>
      </c>
      <c r="B28" s="58">
        <v>1222.0</v>
      </c>
      <c r="C28" s="64" t="s">
        <v>122</v>
      </c>
      <c r="D28" s="65">
        <f>40/20</f>
        <v>2</v>
      </c>
      <c r="E28" s="11" t="s">
        <v>116</v>
      </c>
      <c r="F28" s="10" t="s">
        <v>61</v>
      </c>
      <c r="G28" s="65">
        <v>9.0</v>
      </c>
      <c r="H28" s="72"/>
      <c r="I28" s="72"/>
      <c r="J28" s="13" t="b">
        <v>1</v>
      </c>
      <c r="K28" s="68" t="s">
        <v>63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ht="33.0" customHeight="1">
      <c r="A29" s="58" t="s">
        <v>11</v>
      </c>
      <c r="B29" s="58">
        <v>1225.0</v>
      </c>
      <c r="C29" s="64" t="s">
        <v>123</v>
      </c>
      <c r="D29" s="65">
        <f>60/20</f>
        <v>3</v>
      </c>
      <c r="E29" s="11" t="s">
        <v>116</v>
      </c>
      <c r="F29" s="10" t="s">
        <v>61</v>
      </c>
      <c r="G29" s="65">
        <v>4.0</v>
      </c>
      <c r="H29" s="72"/>
      <c r="I29" s="72"/>
      <c r="J29" s="13" t="b">
        <v>1</v>
      </c>
      <c r="K29" s="68" t="s">
        <v>63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ht="33.0" customHeight="1">
      <c r="A30" s="76" t="s">
        <v>21</v>
      </c>
      <c r="B30" s="76">
        <v>1126.0</v>
      </c>
      <c r="C30" s="77" t="s">
        <v>124</v>
      </c>
      <c r="D30" s="78">
        <v>4.0</v>
      </c>
      <c r="E30" s="79" t="s">
        <v>125</v>
      </c>
      <c r="F30" s="78" t="s">
        <v>61</v>
      </c>
      <c r="G30" s="78">
        <v>1.0</v>
      </c>
      <c r="H30" s="55" t="s">
        <v>126</v>
      </c>
      <c r="I30" s="80" t="s">
        <v>127</v>
      </c>
      <c r="J30" s="13" t="b">
        <v>1</v>
      </c>
      <c r="K30" s="68" t="s">
        <v>63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ht="33.0" customHeight="1">
      <c r="A31" s="58" t="s">
        <v>11</v>
      </c>
      <c r="B31" s="58">
        <v>1226.0</v>
      </c>
      <c r="C31" s="64" t="s">
        <v>128</v>
      </c>
      <c r="D31" s="65">
        <f>85/17</f>
        <v>5</v>
      </c>
      <c r="E31" s="11" t="s">
        <v>125</v>
      </c>
      <c r="F31" s="10" t="s">
        <v>61</v>
      </c>
      <c r="G31" s="65">
        <v>2.0</v>
      </c>
      <c r="H31" s="66" t="s">
        <v>129</v>
      </c>
      <c r="I31" s="66"/>
      <c r="J31" s="13" t="b">
        <v>1</v>
      </c>
      <c r="K31" s="68" t="s">
        <v>63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ht="33.0" customHeight="1">
      <c r="A32" s="58" t="s">
        <v>11</v>
      </c>
      <c r="B32" s="59">
        <v>1222.0</v>
      </c>
      <c r="C32" s="60" t="s">
        <v>64</v>
      </c>
      <c r="D32" s="61">
        <v>1.0</v>
      </c>
      <c r="E32" s="59" t="s">
        <v>130</v>
      </c>
      <c r="F32" s="10" t="s">
        <v>61</v>
      </c>
      <c r="G32" s="61">
        <v>10.0</v>
      </c>
      <c r="H32" s="62" t="s">
        <v>131</v>
      </c>
      <c r="I32" s="63" t="s">
        <v>66</v>
      </c>
      <c r="J32" s="13" t="b">
        <v>1</v>
      </c>
      <c r="K32" s="62" t="s">
        <v>63</v>
      </c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</row>
    <row r="33" ht="33.0" customHeight="1">
      <c r="A33" s="84" t="s">
        <v>24</v>
      </c>
      <c r="B33" s="84">
        <v>1026.0</v>
      </c>
      <c r="C33" s="85" t="s">
        <v>132</v>
      </c>
      <c r="D33" s="86">
        <v>5.0</v>
      </c>
      <c r="E33" s="87" t="s">
        <v>133</v>
      </c>
      <c r="F33" s="86" t="s">
        <v>61</v>
      </c>
      <c r="G33" s="86">
        <v>2.0</v>
      </c>
      <c r="H33" s="88" t="s">
        <v>111</v>
      </c>
      <c r="I33" s="88" t="s">
        <v>112</v>
      </c>
      <c r="J33" s="13" t="b">
        <v>1</v>
      </c>
      <c r="K33" s="68" t="s">
        <v>63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ht="33.0" customHeight="1">
      <c r="A34" s="76" t="s">
        <v>21</v>
      </c>
      <c r="B34" s="76">
        <v>1125.0</v>
      </c>
      <c r="C34" s="77" t="s">
        <v>134</v>
      </c>
      <c r="D34" s="78">
        <v>4.0</v>
      </c>
      <c r="E34" s="79" t="s">
        <v>135</v>
      </c>
      <c r="F34" s="78" t="s">
        <v>61</v>
      </c>
      <c r="G34" s="78">
        <v>3.0</v>
      </c>
      <c r="H34" s="55" t="s">
        <v>136</v>
      </c>
      <c r="I34" s="55" t="s">
        <v>137</v>
      </c>
      <c r="J34" s="13" t="b">
        <v>1</v>
      </c>
      <c r="K34" s="68" t="s">
        <v>63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ht="33.0" customHeight="1">
      <c r="A35" s="76" t="s">
        <v>21</v>
      </c>
      <c r="B35" s="76" t="s">
        <v>138</v>
      </c>
      <c r="C35" s="77" t="s">
        <v>139</v>
      </c>
      <c r="D35" s="78">
        <v>6.0</v>
      </c>
      <c r="E35" s="79" t="s">
        <v>135</v>
      </c>
      <c r="F35" s="78" t="s">
        <v>61</v>
      </c>
      <c r="G35" s="78">
        <v>2.0</v>
      </c>
      <c r="H35" s="55" t="s">
        <v>140</v>
      </c>
      <c r="I35" s="55" t="s">
        <v>141</v>
      </c>
      <c r="J35" s="13" t="b">
        <v>1</v>
      </c>
      <c r="K35" s="68" t="s">
        <v>63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0"/>
    </row>
    <row r="36" ht="33.0" customHeight="1">
      <c r="A36" s="58" t="s">
        <v>11</v>
      </c>
      <c r="B36" s="58">
        <v>1226.0</v>
      </c>
      <c r="C36" s="64" t="s">
        <v>142</v>
      </c>
      <c r="D36" s="65">
        <f>85/17</f>
        <v>5</v>
      </c>
      <c r="E36" s="11" t="s">
        <v>135</v>
      </c>
      <c r="F36" s="10" t="s">
        <v>61</v>
      </c>
      <c r="G36" s="65">
        <v>2.0</v>
      </c>
      <c r="H36" s="69" t="s">
        <v>143</v>
      </c>
      <c r="I36" s="70" t="s">
        <v>144</v>
      </c>
      <c r="J36" s="13" t="b">
        <v>1</v>
      </c>
      <c r="K36" s="68" t="s">
        <v>63</v>
      </c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ht="33.0" customHeight="1">
      <c r="A37" s="59"/>
      <c r="B37" s="90"/>
      <c r="C37" s="91"/>
      <c r="D37" s="92"/>
      <c r="E37" s="90"/>
      <c r="F37" s="59"/>
      <c r="G37" s="61"/>
      <c r="H37" s="62"/>
      <c r="I37" s="9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</row>
    <row r="38" ht="33.0" customHeight="1">
      <c r="A38" s="59"/>
      <c r="B38" s="94" t="s">
        <v>145</v>
      </c>
      <c r="C38" s="95" t="str">
        <f>#REF!</f>
        <v>#REF!</v>
      </c>
      <c r="D38" s="96" t="s">
        <v>146</v>
      </c>
      <c r="E38" s="97" t="s">
        <v>4</v>
      </c>
      <c r="F38" s="59"/>
      <c r="G38" s="61"/>
      <c r="H38" s="62"/>
      <c r="I38" s="9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</row>
    <row r="39" ht="33.0" customHeight="1">
      <c r="A39" s="59"/>
      <c r="B39" s="94" t="s">
        <v>147</v>
      </c>
      <c r="C39" s="98" t="str">
        <f>#REF!/9</f>
        <v>#REF!</v>
      </c>
      <c r="D39" s="99">
        <v>16.0</v>
      </c>
      <c r="E39" s="100" t="s">
        <v>60</v>
      </c>
      <c r="F39" s="100">
        <v>1.0</v>
      </c>
      <c r="G39" s="61"/>
      <c r="H39" s="101"/>
      <c r="I39" s="9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</row>
    <row r="40" ht="33.0" customHeight="1">
      <c r="A40" s="59"/>
      <c r="B40" s="59"/>
      <c r="C40" s="62"/>
      <c r="D40" s="99">
        <v>15.0</v>
      </c>
      <c r="E40" s="100" t="s">
        <v>73</v>
      </c>
      <c r="F40" s="100">
        <v>2.0</v>
      </c>
      <c r="G40" s="61"/>
      <c r="H40" s="62"/>
      <c r="I40" s="9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</row>
    <row r="41" ht="33.0" customHeight="1">
      <c r="A41" s="102"/>
      <c r="B41" s="102"/>
      <c r="C41" s="62"/>
      <c r="D41" s="99">
        <v>17.0</v>
      </c>
      <c r="E41" s="100" t="s">
        <v>86</v>
      </c>
      <c r="F41" s="100">
        <v>3.0</v>
      </c>
      <c r="G41" s="61"/>
      <c r="H41" s="62"/>
      <c r="I41" s="9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</row>
    <row r="42" ht="33.0" customHeight="1">
      <c r="A42" s="103"/>
      <c r="B42" s="59"/>
      <c r="C42" s="62"/>
      <c r="D42" s="99">
        <v>15.0</v>
      </c>
      <c r="E42" s="100" t="s">
        <v>92</v>
      </c>
      <c r="F42" s="100">
        <v>4.0</v>
      </c>
      <c r="G42" s="61"/>
      <c r="H42" s="62"/>
      <c r="I42" s="9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</row>
    <row r="43" ht="33.0" customHeight="1">
      <c r="A43" s="103"/>
      <c r="B43" s="59"/>
      <c r="C43" s="104"/>
      <c r="D43" s="99">
        <v>15.0</v>
      </c>
      <c r="E43" s="100" t="s">
        <v>148</v>
      </c>
      <c r="F43" s="100">
        <v>5.0</v>
      </c>
      <c r="G43" s="61"/>
      <c r="H43" s="101"/>
      <c r="I43" s="9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</row>
    <row r="44" ht="33.0" customHeight="1">
      <c r="A44" s="103"/>
      <c r="B44" s="59"/>
      <c r="C44" s="105"/>
      <c r="D44" s="99">
        <v>16.0</v>
      </c>
      <c r="E44" s="100" t="s">
        <v>105</v>
      </c>
      <c r="F44" s="100">
        <v>6.0</v>
      </c>
      <c r="G44" s="106"/>
      <c r="H44" s="107"/>
      <c r="I44" s="108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</row>
    <row r="45" ht="33.0" customHeight="1">
      <c r="A45" s="103"/>
      <c r="B45" s="59"/>
      <c r="C45" s="105"/>
      <c r="D45" s="99">
        <v>17.0</v>
      </c>
      <c r="E45" s="100" t="s">
        <v>116</v>
      </c>
      <c r="F45" s="100">
        <v>7.0</v>
      </c>
      <c r="G45" s="106"/>
      <c r="H45" s="107"/>
      <c r="I45" s="108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</row>
    <row r="46" ht="33.0" customHeight="1">
      <c r="A46" s="103"/>
      <c r="B46" s="59"/>
      <c r="C46" s="105"/>
      <c r="D46" s="99">
        <v>15.0</v>
      </c>
      <c r="E46" s="100" t="s">
        <v>125</v>
      </c>
      <c r="F46" s="100">
        <v>8.0</v>
      </c>
      <c r="G46" s="106"/>
      <c r="H46" s="107"/>
      <c r="I46" s="108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</row>
    <row r="47" ht="33.0" customHeight="1">
      <c r="A47" s="103"/>
      <c r="B47" s="108"/>
      <c r="C47" s="93"/>
      <c r="D47" s="99">
        <v>15.0</v>
      </c>
      <c r="E47" s="100" t="s">
        <v>135</v>
      </c>
      <c r="F47" s="100">
        <v>9.0</v>
      </c>
      <c r="G47" s="106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</row>
    <row r="48" ht="33.0" customHeight="1">
      <c r="A48" s="103"/>
      <c r="B48" s="108"/>
      <c r="C48" s="93"/>
      <c r="D48" s="61"/>
      <c r="E48" s="93"/>
      <c r="F48" s="93"/>
      <c r="G48" s="106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</row>
    <row r="49" ht="33.0" customHeight="1">
      <c r="A49" s="50"/>
      <c r="B49" s="108"/>
      <c r="C49" s="93"/>
      <c r="D49" s="61"/>
      <c r="E49" s="93"/>
      <c r="F49" s="93"/>
      <c r="G49" s="106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</row>
    <row r="50" ht="33.0" customHeight="1">
      <c r="A50" s="50"/>
      <c r="B50" s="93"/>
      <c r="C50" s="93"/>
      <c r="D50" s="61"/>
      <c r="E50" s="93"/>
      <c r="F50" s="93"/>
      <c r="G50" s="106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</row>
    <row r="51" ht="33.0" customHeight="1">
      <c r="A51" s="50"/>
      <c r="B51" s="93"/>
      <c r="C51" s="93"/>
      <c r="D51" s="61"/>
      <c r="E51" s="93"/>
      <c r="F51" s="93"/>
      <c r="G51" s="106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</row>
    <row r="52" ht="33.0" customHeight="1">
      <c r="A52" s="50"/>
      <c r="B52" s="93"/>
      <c r="C52" s="93"/>
      <c r="D52" s="106"/>
      <c r="E52" s="93"/>
      <c r="F52" s="93"/>
      <c r="G52" s="106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</row>
    <row r="53" ht="33.0" customHeight="1">
      <c r="A53" s="50"/>
      <c r="B53" s="93"/>
      <c r="C53" s="93"/>
      <c r="D53" s="106"/>
      <c r="E53" s="93"/>
      <c r="F53" s="93"/>
      <c r="G53" s="106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</row>
    <row r="54" ht="33.0" customHeight="1">
      <c r="A54" s="50"/>
      <c r="B54" s="93"/>
      <c r="C54" s="93"/>
      <c r="D54" s="106"/>
      <c r="E54" s="93"/>
      <c r="F54" s="93"/>
      <c r="G54" s="106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</row>
    <row r="55" ht="33.0" customHeight="1">
      <c r="A55" s="50"/>
      <c r="B55" s="93"/>
      <c r="C55" s="93"/>
      <c r="D55" s="106"/>
      <c r="E55" s="93"/>
      <c r="F55" s="93"/>
      <c r="G55" s="106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</row>
    <row r="56" ht="33.0" customHeight="1">
      <c r="A56" s="50"/>
      <c r="B56" s="93"/>
      <c r="C56" s="93"/>
      <c r="D56" s="106"/>
      <c r="E56" s="93"/>
      <c r="F56" s="93"/>
      <c r="G56" s="106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</row>
    <row r="57" ht="33.0" customHeight="1">
      <c r="A57" s="50"/>
      <c r="B57" s="93"/>
      <c r="C57" s="93"/>
      <c r="D57" s="106"/>
      <c r="E57" s="93"/>
      <c r="F57" s="93"/>
      <c r="G57" s="106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</row>
    <row r="58" ht="33.0" customHeight="1">
      <c r="A58" s="50"/>
      <c r="B58" s="93"/>
      <c r="C58" s="93"/>
      <c r="D58" s="106"/>
      <c r="E58" s="93"/>
      <c r="F58" s="93"/>
      <c r="G58" s="106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</row>
    <row r="59" ht="33.0" customHeight="1">
      <c r="A59" s="50"/>
      <c r="B59" s="93"/>
      <c r="C59" s="93"/>
      <c r="D59" s="106"/>
      <c r="E59" s="93"/>
      <c r="F59" s="93"/>
      <c r="G59" s="106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</row>
    <row r="60" ht="33.0" customHeight="1">
      <c r="A60" s="50"/>
      <c r="B60" s="93"/>
      <c r="C60" s="93"/>
      <c r="D60" s="106"/>
      <c r="E60" s="93"/>
      <c r="F60" s="93"/>
      <c r="G60" s="106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</row>
    <row r="61" ht="33.0" customHeight="1">
      <c r="A61" s="50"/>
      <c r="B61" s="93"/>
      <c r="C61" s="93"/>
      <c r="D61" s="106"/>
      <c r="E61" s="93"/>
      <c r="F61" s="93"/>
      <c r="G61" s="106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</row>
    <row r="62" ht="33.0" customHeight="1">
      <c r="A62" s="50"/>
      <c r="B62" s="93"/>
      <c r="C62" s="93"/>
      <c r="D62" s="106"/>
      <c r="E62" s="93"/>
      <c r="F62" s="93"/>
      <c r="G62" s="106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</row>
    <row r="63" ht="33.0" customHeight="1">
      <c r="A63" s="50"/>
      <c r="B63" s="93"/>
      <c r="C63" s="93"/>
      <c r="D63" s="106"/>
      <c r="E63" s="93"/>
      <c r="F63" s="93"/>
      <c r="G63" s="106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</row>
    <row r="64" ht="33.0" customHeight="1">
      <c r="A64" s="50"/>
      <c r="B64" s="93"/>
      <c r="C64" s="93"/>
      <c r="D64" s="106"/>
      <c r="E64" s="93"/>
      <c r="F64" s="93"/>
      <c r="G64" s="106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</row>
    <row r="65" ht="33.0" customHeight="1">
      <c r="A65" s="50"/>
      <c r="B65" s="93"/>
      <c r="C65" s="93"/>
      <c r="D65" s="106"/>
      <c r="E65" s="93"/>
      <c r="F65" s="93"/>
      <c r="G65" s="106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</row>
    <row r="66" ht="33.0" customHeight="1">
      <c r="A66" s="50"/>
      <c r="B66" s="93"/>
      <c r="C66" s="93"/>
      <c r="D66" s="106"/>
      <c r="E66" s="93"/>
      <c r="F66" s="93"/>
      <c r="G66" s="106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</row>
    <row r="67" ht="33.0" customHeight="1">
      <c r="A67" s="50"/>
      <c r="B67" s="93"/>
      <c r="C67" s="93"/>
      <c r="D67" s="106"/>
      <c r="E67" s="93"/>
      <c r="F67" s="93"/>
      <c r="G67" s="106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</row>
    <row r="68" ht="33.0" customHeight="1">
      <c r="A68" s="50"/>
      <c r="B68" s="93"/>
      <c r="C68" s="93"/>
      <c r="D68" s="106"/>
      <c r="E68" s="93"/>
      <c r="F68" s="93"/>
      <c r="G68" s="106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 ht="33.0" customHeight="1">
      <c r="A69" s="50"/>
      <c r="B69" s="93"/>
      <c r="C69" s="93"/>
      <c r="D69" s="106"/>
      <c r="E69" s="93"/>
      <c r="F69" s="93"/>
      <c r="G69" s="106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</row>
    <row r="70" ht="33.0" customHeight="1">
      <c r="A70" s="50"/>
      <c r="B70" s="93"/>
      <c r="C70" s="93"/>
      <c r="D70" s="106"/>
      <c r="E70" s="93"/>
      <c r="F70" s="93"/>
      <c r="G70" s="106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</row>
    <row r="71" ht="33.0" customHeight="1">
      <c r="A71" s="50"/>
      <c r="B71" s="93"/>
      <c r="C71" s="93"/>
      <c r="D71" s="106"/>
      <c r="E71" s="93"/>
      <c r="F71" s="93"/>
      <c r="G71" s="106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</row>
    <row r="72" ht="33.0" customHeight="1">
      <c r="A72" s="50"/>
      <c r="B72" s="93"/>
      <c r="C72" s="93"/>
      <c r="D72" s="106"/>
      <c r="E72" s="93"/>
      <c r="F72" s="93"/>
      <c r="G72" s="106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</row>
    <row r="73" ht="33.0" customHeight="1">
      <c r="A73" s="50"/>
      <c r="B73" s="93"/>
      <c r="C73" s="93"/>
      <c r="D73" s="106"/>
      <c r="E73" s="93"/>
      <c r="F73" s="93"/>
      <c r="G73" s="106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</row>
    <row r="74" ht="33.0" customHeight="1">
      <c r="A74" s="50"/>
      <c r="B74" s="93"/>
      <c r="C74" s="93"/>
      <c r="D74" s="106"/>
      <c r="E74" s="93"/>
      <c r="F74" s="93"/>
      <c r="G74" s="106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 ht="33.0" customHeight="1">
      <c r="A75" s="50"/>
      <c r="B75" s="93"/>
      <c r="C75" s="93"/>
      <c r="D75" s="106"/>
      <c r="E75" s="93"/>
      <c r="F75" s="93"/>
      <c r="G75" s="106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</row>
    <row r="76" ht="33.0" customHeight="1">
      <c r="A76" s="50"/>
      <c r="B76" s="93"/>
      <c r="C76" s="93"/>
      <c r="D76" s="106"/>
      <c r="E76" s="93"/>
      <c r="F76" s="93"/>
      <c r="G76" s="106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</row>
    <row r="77" ht="33.0" customHeight="1">
      <c r="A77" s="50"/>
      <c r="B77" s="93"/>
      <c r="C77" s="93"/>
      <c r="D77" s="106"/>
      <c r="E77" s="93"/>
      <c r="F77" s="93"/>
      <c r="G77" s="106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</row>
    <row r="78" ht="33.0" customHeight="1">
      <c r="A78" s="50"/>
      <c r="B78" s="93"/>
      <c r="C78" s="93"/>
      <c r="D78" s="106"/>
      <c r="E78" s="93"/>
      <c r="F78" s="93"/>
      <c r="G78" s="106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</row>
    <row r="79" ht="33.0" customHeight="1">
      <c r="A79" s="50"/>
      <c r="B79" s="93"/>
      <c r="C79" s="93"/>
      <c r="D79" s="106"/>
      <c r="E79" s="93"/>
      <c r="F79" s="93"/>
      <c r="G79" s="106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</row>
    <row r="80" ht="33.0" customHeight="1">
      <c r="A80" s="50"/>
      <c r="B80" s="93"/>
      <c r="C80" s="93"/>
      <c r="D80" s="106"/>
      <c r="E80" s="93"/>
      <c r="F80" s="93"/>
      <c r="G80" s="106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</row>
    <row r="81" ht="33.0" customHeight="1">
      <c r="A81" s="50"/>
      <c r="B81" s="93"/>
      <c r="C81" s="93"/>
      <c r="D81" s="106"/>
      <c r="E81" s="93"/>
      <c r="F81" s="93"/>
      <c r="G81" s="106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</row>
    <row r="82" ht="33.0" customHeight="1">
      <c r="A82" s="50"/>
      <c r="B82" s="93"/>
      <c r="C82" s="93"/>
      <c r="D82" s="106"/>
      <c r="E82" s="93"/>
      <c r="F82" s="93"/>
      <c r="G82" s="106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</row>
    <row r="83" ht="33.0" customHeight="1">
      <c r="A83" s="50"/>
      <c r="B83" s="93"/>
      <c r="C83" s="93"/>
      <c r="D83" s="106"/>
      <c r="E83" s="93"/>
      <c r="F83" s="93"/>
      <c r="G83" s="106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</row>
    <row r="84" ht="33.0" customHeight="1">
      <c r="A84" s="50"/>
      <c r="B84" s="93"/>
      <c r="C84" s="93"/>
      <c r="D84" s="106"/>
      <c r="E84" s="93"/>
      <c r="F84" s="93"/>
      <c r="G84" s="106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</row>
    <row r="85" ht="33.0" customHeight="1">
      <c r="A85" s="50"/>
      <c r="B85" s="93"/>
      <c r="C85" s="93"/>
      <c r="D85" s="106"/>
      <c r="E85" s="93"/>
      <c r="F85" s="93"/>
      <c r="G85" s="106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</row>
    <row r="86" ht="33.0" customHeight="1">
      <c r="A86" s="50"/>
      <c r="B86" s="93"/>
      <c r="C86" s="93"/>
      <c r="D86" s="106"/>
      <c r="E86" s="93"/>
      <c r="F86" s="93"/>
      <c r="G86" s="106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</row>
    <row r="87" ht="33.0" customHeight="1">
      <c r="A87" s="50"/>
      <c r="B87" s="93"/>
      <c r="C87" s="93"/>
      <c r="D87" s="106"/>
      <c r="E87" s="93"/>
      <c r="F87" s="93"/>
      <c r="G87" s="106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</row>
    <row r="88" ht="33.0" customHeight="1">
      <c r="A88" s="50"/>
      <c r="B88" s="93"/>
      <c r="C88" s="93"/>
      <c r="D88" s="106"/>
      <c r="E88" s="93"/>
      <c r="F88" s="93"/>
      <c r="G88" s="106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</row>
    <row r="89" ht="33.0" customHeight="1">
      <c r="A89" s="50"/>
      <c r="B89" s="93"/>
      <c r="C89" s="93"/>
      <c r="D89" s="106"/>
      <c r="E89" s="93"/>
      <c r="F89" s="93"/>
      <c r="G89" s="106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</row>
    <row r="90" ht="33.0" customHeight="1">
      <c r="A90" s="50"/>
      <c r="B90" s="93"/>
      <c r="C90" s="93"/>
      <c r="D90" s="106"/>
      <c r="E90" s="93"/>
      <c r="F90" s="93"/>
      <c r="G90" s="106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</row>
    <row r="91" ht="33.0" customHeight="1">
      <c r="A91" s="50"/>
      <c r="B91" s="93"/>
      <c r="C91" s="93"/>
      <c r="D91" s="106"/>
      <c r="E91" s="93"/>
      <c r="F91" s="93"/>
      <c r="G91" s="106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</row>
    <row r="92" ht="33.0" customHeight="1">
      <c r="A92" s="50"/>
      <c r="B92" s="93"/>
      <c r="C92" s="93"/>
      <c r="D92" s="106"/>
      <c r="E92" s="93"/>
      <c r="F92" s="93"/>
      <c r="G92" s="106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</row>
    <row r="93" ht="33.0" customHeight="1">
      <c r="A93" s="50"/>
      <c r="B93" s="93"/>
      <c r="C93" s="93"/>
      <c r="D93" s="106"/>
      <c r="E93" s="93"/>
      <c r="F93" s="93"/>
      <c r="G93" s="106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</row>
    <row r="94" ht="33.0" customHeight="1">
      <c r="A94" s="50"/>
      <c r="B94" s="93"/>
      <c r="C94" s="93"/>
      <c r="D94" s="106"/>
      <c r="E94" s="93"/>
      <c r="F94" s="93"/>
      <c r="G94" s="106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</row>
    <row r="95" ht="33.0" customHeight="1">
      <c r="A95" s="50"/>
      <c r="B95" s="93"/>
      <c r="C95" s="93"/>
      <c r="D95" s="106"/>
      <c r="E95" s="93"/>
      <c r="F95" s="93"/>
      <c r="G95" s="106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</row>
    <row r="96" ht="33.0" customHeight="1">
      <c r="A96" s="50"/>
      <c r="B96" s="93"/>
      <c r="C96" s="93"/>
      <c r="D96" s="106"/>
      <c r="E96" s="93"/>
      <c r="F96" s="93"/>
      <c r="G96" s="106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</row>
    <row r="97" ht="33.0" customHeight="1">
      <c r="A97" s="50"/>
      <c r="B97" s="93"/>
      <c r="C97" s="93"/>
      <c r="D97" s="106"/>
      <c r="E97" s="93"/>
      <c r="F97" s="93"/>
      <c r="G97" s="106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</row>
    <row r="98" ht="33.0" customHeight="1">
      <c r="A98" s="50"/>
      <c r="B98" s="93"/>
      <c r="C98" s="93"/>
      <c r="D98" s="106"/>
      <c r="E98" s="93"/>
      <c r="F98" s="93"/>
      <c r="G98" s="106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</row>
    <row r="99" ht="33.0" customHeight="1">
      <c r="A99" s="50"/>
      <c r="B99" s="93"/>
      <c r="C99" s="93"/>
      <c r="D99" s="106"/>
      <c r="E99" s="93"/>
      <c r="F99" s="93"/>
      <c r="G99" s="106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</row>
    <row r="100" ht="33.0" customHeight="1">
      <c r="A100" s="50"/>
      <c r="B100" s="93"/>
      <c r="C100" s="93"/>
      <c r="D100" s="106"/>
      <c r="E100" s="93"/>
      <c r="F100" s="93"/>
      <c r="G100" s="106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</row>
    <row r="101" ht="33.0" customHeight="1">
      <c r="A101" s="50"/>
      <c r="B101" s="93"/>
      <c r="C101" s="93"/>
      <c r="D101" s="106"/>
      <c r="E101" s="93"/>
      <c r="F101" s="93"/>
      <c r="G101" s="106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</row>
    <row r="102" ht="33.0" customHeight="1">
      <c r="A102" s="50"/>
      <c r="B102" s="93"/>
      <c r="C102" s="93"/>
      <c r="D102" s="106"/>
      <c r="E102" s="93"/>
      <c r="F102" s="93"/>
      <c r="G102" s="106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</row>
    <row r="103" ht="33.0" customHeight="1">
      <c r="A103" s="50"/>
      <c r="B103" s="93"/>
      <c r="C103" s="93"/>
      <c r="D103" s="106"/>
      <c r="E103" s="93"/>
      <c r="F103" s="93"/>
      <c r="G103" s="106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</row>
    <row r="104" ht="33.0" customHeight="1">
      <c r="A104" s="50"/>
      <c r="B104" s="93"/>
      <c r="C104" s="93"/>
      <c r="D104" s="106"/>
      <c r="E104" s="93"/>
      <c r="F104" s="93"/>
      <c r="G104" s="106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</row>
    <row r="105" ht="33.0" customHeight="1">
      <c r="A105" s="50"/>
      <c r="B105" s="93"/>
      <c r="C105" s="93"/>
      <c r="D105" s="106"/>
      <c r="E105" s="93"/>
      <c r="F105" s="93"/>
      <c r="G105" s="106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</row>
    <row r="106" ht="33.0" customHeight="1">
      <c r="A106" s="50"/>
      <c r="B106" s="93"/>
      <c r="C106" s="93"/>
      <c r="D106" s="106"/>
      <c r="E106" s="93"/>
      <c r="F106" s="93"/>
      <c r="G106" s="106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</row>
    <row r="107" ht="33.0" customHeight="1">
      <c r="A107" s="50"/>
      <c r="B107" s="93"/>
      <c r="C107" s="93"/>
      <c r="D107" s="106"/>
      <c r="E107" s="93"/>
      <c r="F107" s="93"/>
      <c r="G107" s="106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</row>
    <row r="108" ht="33.0" customHeight="1">
      <c r="A108" s="50"/>
      <c r="B108" s="93"/>
      <c r="C108" s="93"/>
      <c r="D108" s="106"/>
      <c r="E108" s="93"/>
      <c r="F108" s="93"/>
      <c r="G108" s="106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</row>
    <row r="109" ht="33.0" customHeight="1">
      <c r="A109" s="50"/>
      <c r="B109" s="93"/>
      <c r="C109" s="93"/>
      <c r="D109" s="106"/>
      <c r="E109" s="93"/>
      <c r="F109" s="93"/>
      <c r="G109" s="106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</row>
    <row r="110" ht="33.0" customHeight="1">
      <c r="A110" s="50"/>
      <c r="B110" s="93"/>
      <c r="C110" s="93"/>
      <c r="D110" s="106"/>
      <c r="E110" s="93"/>
      <c r="F110" s="93"/>
      <c r="G110" s="106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</row>
    <row r="111" ht="33.0" customHeight="1">
      <c r="A111" s="50"/>
      <c r="B111" s="93"/>
      <c r="C111" s="93"/>
      <c r="D111" s="106"/>
      <c r="E111" s="93"/>
      <c r="F111" s="93"/>
      <c r="G111" s="106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</row>
    <row r="112" ht="33.0" customHeight="1">
      <c r="A112" s="50"/>
      <c r="B112" s="93"/>
      <c r="C112" s="93"/>
      <c r="D112" s="106"/>
      <c r="E112" s="93"/>
      <c r="F112" s="93"/>
      <c r="G112" s="106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</row>
    <row r="113" ht="33.0" customHeight="1">
      <c r="A113" s="50"/>
      <c r="B113" s="93"/>
      <c r="C113" s="93"/>
      <c r="D113" s="106"/>
      <c r="E113" s="93"/>
      <c r="F113" s="93"/>
      <c r="G113" s="106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</row>
    <row r="114" ht="33.0" customHeight="1">
      <c r="A114" s="50"/>
      <c r="B114" s="93"/>
      <c r="C114" s="93"/>
      <c r="D114" s="106"/>
      <c r="E114" s="93"/>
      <c r="F114" s="93"/>
      <c r="G114" s="106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</row>
    <row r="115" ht="33.0" customHeight="1">
      <c r="A115" s="50"/>
      <c r="B115" s="93"/>
      <c r="C115" s="93"/>
      <c r="D115" s="106"/>
      <c r="E115" s="93"/>
      <c r="F115" s="93"/>
      <c r="G115" s="106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</row>
    <row r="116" ht="33.0" customHeight="1">
      <c r="A116" s="50"/>
      <c r="B116" s="93"/>
      <c r="C116" s="93"/>
      <c r="D116" s="106"/>
      <c r="E116" s="93"/>
      <c r="F116" s="93"/>
      <c r="G116" s="106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</row>
    <row r="117" ht="33.0" customHeight="1">
      <c r="A117" s="50"/>
      <c r="B117" s="93"/>
      <c r="C117" s="93"/>
      <c r="D117" s="106"/>
      <c r="E117" s="93"/>
      <c r="F117" s="93"/>
      <c r="G117" s="106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</row>
    <row r="118" ht="33.0" customHeight="1">
      <c r="A118" s="50"/>
      <c r="B118" s="93"/>
      <c r="C118" s="93"/>
      <c r="D118" s="106"/>
      <c r="E118" s="93"/>
      <c r="F118" s="93"/>
      <c r="G118" s="106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</row>
    <row r="119" ht="33.0" customHeight="1">
      <c r="A119" s="50"/>
      <c r="B119" s="93"/>
      <c r="C119" s="93"/>
      <c r="D119" s="106"/>
      <c r="E119" s="93"/>
      <c r="F119" s="93"/>
      <c r="G119" s="106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</row>
    <row r="120" ht="33.0" customHeight="1">
      <c r="A120" s="50"/>
      <c r="B120" s="93"/>
      <c r="C120" s="93"/>
      <c r="D120" s="106"/>
      <c r="E120" s="93"/>
      <c r="F120" s="93"/>
      <c r="G120" s="106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</row>
    <row r="121" ht="33.0" customHeight="1">
      <c r="A121" s="50"/>
      <c r="B121" s="93"/>
      <c r="C121" s="93"/>
      <c r="D121" s="106"/>
      <c r="E121" s="93"/>
      <c r="F121" s="93"/>
      <c r="G121" s="106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</row>
    <row r="122" ht="33.0" customHeight="1">
      <c r="A122" s="50"/>
      <c r="B122" s="93"/>
      <c r="C122" s="93"/>
      <c r="D122" s="106"/>
      <c r="E122" s="93"/>
      <c r="F122" s="93"/>
      <c r="G122" s="106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</row>
    <row r="123" ht="33.0" customHeight="1">
      <c r="A123" s="50"/>
      <c r="B123" s="93"/>
      <c r="C123" s="93"/>
      <c r="D123" s="106"/>
      <c r="E123" s="93"/>
      <c r="F123" s="93"/>
      <c r="G123" s="106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</row>
    <row r="124" ht="33.0" customHeight="1">
      <c r="A124" s="50"/>
      <c r="B124" s="93"/>
      <c r="C124" s="93"/>
      <c r="D124" s="106"/>
      <c r="E124" s="93"/>
      <c r="F124" s="93"/>
      <c r="G124" s="106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 ht="33.0" customHeight="1">
      <c r="A125" s="50"/>
      <c r="B125" s="93"/>
      <c r="C125" s="93"/>
      <c r="D125" s="106"/>
      <c r="E125" s="93"/>
      <c r="F125" s="93"/>
      <c r="G125" s="106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 ht="33.0" customHeight="1">
      <c r="A126" s="50"/>
      <c r="B126" s="93"/>
      <c r="C126" s="93"/>
      <c r="D126" s="106"/>
      <c r="E126" s="93"/>
      <c r="F126" s="93"/>
      <c r="G126" s="106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 ht="33.0" customHeight="1">
      <c r="A127" s="50"/>
      <c r="B127" s="93"/>
      <c r="C127" s="93"/>
      <c r="D127" s="106"/>
      <c r="E127" s="93"/>
      <c r="F127" s="93"/>
      <c r="G127" s="106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 ht="33.0" customHeight="1">
      <c r="A128" s="50"/>
      <c r="B128" s="93"/>
      <c r="C128" s="93"/>
      <c r="D128" s="106"/>
      <c r="E128" s="93"/>
      <c r="F128" s="93"/>
      <c r="G128" s="106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 ht="33.0" customHeight="1">
      <c r="A129" s="50"/>
      <c r="B129" s="93"/>
      <c r="C129" s="93"/>
      <c r="D129" s="106"/>
      <c r="E129" s="93"/>
      <c r="F129" s="93"/>
      <c r="G129" s="106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 ht="33.0" customHeight="1">
      <c r="A130" s="50"/>
      <c r="B130" s="93"/>
      <c r="C130" s="93"/>
      <c r="D130" s="106"/>
      <c r="E130" s="93"/>
      <c r="F130" s="93"/>
      <c r="G130" s="106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 ht="33.0" customHeight="1">
      <c r="A131" s="50"/>
      <c r="B131" s="93"/>
      <c r="C131" s="93"/>
      <c r="D131" s="106"/>
      <c r="E131" s="93"/>
      <c r="F131" s="93"/>
      <c r="G131" s="106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 ht="33.0" customHeight="1">
      <c r="A132" s="50"/>
      <c r="B132" s="93"/>
      <c r="C132" s="93"/>
      <c r="D132" s="106"/>
      <c r="E132" s="93"/>
      <c r="F132" s="93"/>
      <c r="G132" s="106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 ht="33.0" customHeight="1">
      <c r="A133" s="50"/>
      <c r="B133" s="93"/>
      <c r="C133" s="93"/>
      <c r="D133" s="106"/>
      <c r="E133" s="93"/>
      <c r="F133" s="93"/>
      <c r="G133" s="106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 ht="33.0" customHeight="1">
      <c r="A134" s="50"/>
      <c r="B134" s="93"/>
      <c r="C134" s="93"/>
      <c r="D134" s="106"/>
      <c r="E134" s="93"/>
      <c r="F134" s="93"/>
      <c r="G134" s="106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 ht="33.0" customHeight="1">
      <c r="A135" s="50"/>
      <c r="B135" s="93"/>
      <c r="C135" s="93"/>
      <c r="D135" s="106"/>
      <c r="E135" s="93"/>
      <c r="F135" s="93"/>
      <c r="G135" s="106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 ht="33.0" customHeight="1">
      <c r="A136" s="50"/>
      <c r="B136" s="93"/>
      <c r="C136" s="93"/>
      <c r="D136" s="106"/>
      <c r="E136" s="93"/>
      <c r="F136" s="93"/>
      <c r="G136" s="106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 ht="33.0" customHeight="1">
      <c r="A137" s="50"/>
      <c r="B137" s="93"/>
      <c r="C137" s="93"/>
      <c r="D137" s="106"/>
      <c r="E137" s="93"/>
      <c r="F137" s="93"/>
      <c r="G137" s="106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 ht="33.0" customHeight="1">
      <c r="A138" s="50"/>
      <c r="B138" s="93"/>
      <c r="C138" s="93"/>
      <c r="D138" s="106"/>
      <c r="E138" s="93"/>
      <c r="F138" s="93"/>
      <c r="G138" s="106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 ht="33.0" customHeight="1">
      <c r="A139" s="50"/>
      <c r="B139" s="93"/>
      <c r="C139" s="93"/>
      <c r="D139" s="106"/>
      <c r="E139" s="93"/>
      <c r="F139" s="93"/>
      <c r="G139" s="106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 ht="33.0" customHeight="1">
      <c r="A140" s="50"/>
      <c r="B140" s="93"/>
      <c r="C140" s="93"/>
      <c r="D140" s="106"/>
      <c r="E140" s="93"/>
      <c r="F140" s="93"/>
      <c r="G140" s="106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 ht="33.0" customHeight="1">
      <c r="A141" s="50"/>
      <c r="B141" s="93"/>
      <c r="C141" s="93"/>
      <c r="D141" s="106"/>
      <c r="E141" s="93"/>
      <c r="F141" s="93"/>
      <c r="G141" s="106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 ht="33.0" customHeight="1">
      <c r="A142" s="50"/>
      <c r="B142" s="93"/>
      <c r="C142" s="93"/>
      <c r="D142" s="106"/>
      <c r="E142" s="93"/>
      <c r="F142" s="93"/>
      <c r="G142" s="106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 ht="33.0" customHeight="1">
      <c r="A143" s="50"/>
      <c r="B143" s="93"/>
      <c r="C143" s="93"/>
      <c r="D143" s="106"/>
      <c r="E143" s="93"/>
      <c r="F143" s="93"/>
      <c r="G143" s="106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 ht="33.0" customHeight="1">
      <c r="A144" s="50"/>
      <c r="B144" s="93"/>
      <c r="C144" s="93"/>
      <c r="D144" s="106"/>
      <c r="E144" s="93"/>
      <c r="F144" s="93"/>
      <c r="G144" s="106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 ht="33.0" customHeight="1">
      <c r="A145" s="50"/>
      <c r="B145" s="93"/>
      <c r="C145" s="93"/>
      <c r="D145" s="106"/>
      <c r="E145" s="93"/>
      <c r="F145" s="93"/>
      <c r="G145" s="106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 ht="33.0" customHeight="1">
      <c r="A146" s="50"/>
      <c r="B146" s="93"/>
      <c r="C146" s="93"/>
      <c r="D146" s="106"/>
      <c r="E146" s="93"/>
      <c r="F146" s="93"/>
      <c r="G146" s="106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 ht="33.0" customHeight="1">
      <c r="A147" s="50"/>
      <c r="B147" s="93"/>
      <c r="C147" s="93"/>
      <c r="D147" s="106"/>
      <c r="E147" s="93"/>
      <c r="F147" s="93"/>
      <c r="G147" s="106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 ht="33.0" customHeight="1">
      <c r="A148" s="50"/>
      <c r="B148" s="93"/>
      <c r="C148" s="93"/>
      <c r="D148" s="106"/>
      <c r="E148" s="93"/>
      <c r="F148" s="93"/>
      <c r="G148" s="106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 ht="33.0" customHeight="1">
      <c r="A149" s="50"/>
      <c r="B149" s="93"/>
      <c r="C149" s="93"/>
      <c r="D149" s="106"/>
      <c r="E149" s="93"/>
      <c r="F149" s="93"/>
      <c r="G149" s="106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 ht="33.0" customHeight="1">
      <c r="A150" s="50"/>
      <c r="B150" s="93"/>
      <c r="C150" s="93"/>
      <c r="D150" s="106"/>
      <c r="E150" s="93"/>
      <c r="F150" s="93"/>
      <c r="G150" s="106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 ht="33.0" customHeight="1">
      <c r="A151" s="50"/>
      <c r="B151" s="93"/>
      <c r="C151" s="93"/>
      <c r="D151" s="106"/>
      <c r="E151" s="93"/>
      <c r="F151" s="93"/>
      <c r="G151" s="106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 ht="33.0" customHeight="1">
      <c r="A152" s="50"/>
      <c r="B152" s="93"/>
      <c r="C152" s="93"/>
      <c r="D152" s="106"/>
      <c r="E152" s="93"/>
      <c r="F152" s="93"/>
      <c r="G152" s="106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 ht="33.0" customHeight="1">
      <c r="A153" s="50"/>
      <c r="B153" s="93"/>
      <c r="C153" s="93"/>
      <c r="D153" s="106"/>
      <c r="E153" s="93"/>
      <c r="F153" s="93"/>
      <c r="G153" s="106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 ht="33.0" customHeight="1">
      <c r="A154" s="50"/>
      <c r="B154" s="93"/>
      <c r="C154" s="93"/>
      <c r="D154" s="106"/>
      <c r="E154" s="93"/>
      <c r="F154" s="93"/>
      <c r="G154" s="106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 ht="33.0" customHeight="1">
      <c r="A155" s="50"/>
      <c r="B155" s="93"/>
      <c r="C155" s="93"/>
      <c r="D155" s="106"/>
      <c r="E155" s="93"/>
      <c r="F155" s="93"/>
      <c r="G155" s="106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 ht="33.0" customHeight="1">
      <c r="A156" s="50"/>
      <c r="B156" s="93"/>
      <c r="C156" s="93"/>
      <c r="D156" s="106"/>
      <c r="E156" s="93"/>
      <c r="F156" s="93"/>
      <c r="G156" s="106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 ht="33.0" customHeight="1">
      <c r="A157" s="50"/>
      <c r="B157" s="93"/>
      <c r="C157" s="93"/>
      <c r="D157" s="106"/>
      <c r="E157" s="93"/>
      <c r="F157" s="93"/>
      <c r="G157" s="106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 ht="33.0" customHeight="1">
      <c r="A158" s="50"/>
      <c r="B158" s="93"/>
      <c r="C158" s="93"/>
      <c r="D158" s="106"/>
      <c r="E158" s="93"/>
      <c r="F158" s="93"/>
      <c r="G158" s="106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 ht="33.0" customHeight="1">
      <c r="A159" s="50"/>
      <c r="B159" s="93"/>
      <c r="C159" s="93"/>
      <c r="D159" s="106"/>
      <c r="E159" s="93"/>
      <c r="F159" s="93"/>
      <c r="G159" s="106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 ht="33.0" customHeight="1">
      <c r="A160" s="50"/>
      <c r="B160" s="93"/>
      <c r="C160" s="93"/>
      <c r="D160" s="106"/>
      <c r="E160" s="93"/>
      <c r="F160" s="93"/>
      <c r="G160" s="106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 ht="33.0" customHeight="1">
      <c r="A161" s="50"/>
      <c r="B161" s="93"/>
      <c r="C161" s="93"/>
      <c r="D161" s="106"/>
      <c r="E161" s="93"/>
      <c r="F161" s="93"/>
      <c r="G161" s="106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 ht="33.0" customHeight="1">
      <c r="A162" s="50"/>
      <c r="B162" s="93"/>
      <c r="C162" s="93"/>
      <c r="D162" s="106"/>
      <c r="E162" s="93"/>
      <c r="F162" s="93"/>
      <c r="G162" s="106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 ht="33.0" customHeight="1">
      <c r="A163" s="50"/>
      <c r="B163" s="93"/>
      <c r="C163" s="93"/>
      <c r="D163" s="106"/>
      <c r="E163" s="93"/>
      <c r="F163" s="93"/>
      <c r="G163" s="106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 ht="33.0" customHeight="1">
      <c r="A164" s="50"/>
      <c r="B164" s="93"/>
      <c r="C164" s="93"/>
      <c r="D164" s="106"/>
      <c r="E164" s="93"/>
      <c r="F164" s="93"/>
      <c r="G164" s="106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 ht="33.0" customHeight="1">
      <c r="A165" s="50"/>
      <c r="B165" s="93"/>
      <c r="C165" s="93"/>
      <c r="D165" s="106"/>
      <c r="E165" s="93"/>
      <c r="F165" s="93"/>
      <c r="G165" s="106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 ht="33.0" customHeight="1">
      <c r="A166" s="50"/>
      <c r="B166" s="93"/>
      <c r="C166" s="93"/>
      <c r="D166" s="106"/>
      <c r="E166" s="93"/>
      <c r="F166" s="93"/>
      <c r="G166" s="106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 ht="33.0" customHeight="1">
      <c r="A167" s="50"/>
      <c r="B167" s="93"/>
      <c r="C167" s="93"/>
      <c r="D167" s="106"/>
      <c r="E167" s="93"/>
      <c r="F167" s="93"/>
      <c r="G167" s="106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 ht="33.0" customHeight="1">
      <c r="A168" s="50"/>
      <c r="B168" s="93"/>
      <c r="C168" s="93"/>
      <c r="D168" s="106"/>
      <c r="E168" s="93"/>
      <c r="F168" s="93"/>
      <c r="G168" s="106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 ht="33.0" customHeight="1">
      <c r="A169" s="50"/>
      <c r="B169" s="93"/>
      <c r="C169" s="93"/>
      <c r="D169" s="106"/>
      <c r="E169" s="93"/>
      <c r="F169" s="93"/>
      <c r="G169" s="106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 ht="33.0" customHeight="1">
      <c r="A170" s="50"/>
      <c r="B170" s="93"/>
      <c r="C170" s="93"/>
      <c r="D170" s="106"/>
      <c r="E170" s="93"/>
      <c r="F170" s="93"/>
      <c r="G170" s="106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 ht="33.0" customHeight="1">
      <c r="A171" s="50"/>
      <c r="B171" s="93"/>
      <c r="C171" s="93"/>
      <c r="D171" s="106"/>
      <c r="E171" s="93"/>
      <c r="F171" s="93"/>
      <c r="G171" s="106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ht="33.0" customHeight="1">
      <c r="A172" s="50"/>
      <c r="B172" s="93"/>
      <c r="C172" s="93"/>
      <c r="D172" s="106"/>
      <c r="E172" s="93"/>
      <c r="F172" s="93"/>
      <c r="G172" s="106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 ht="33.0" customHeight="1">
      <c r="A173" s="50"/>
      <c r="B173" s="93"/>
      <c r="C173" s="93"/>
      <c r="D173" s="106"/>
      <c r="E173" s="93"/>
      <c r="F173" s="93"/>
      <c r="G173" s="106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 ht="33.0" customHeight="1">
      <c r="A174" s="50"/>
      <c r="B174" s="93"/>
      <c r="C174" s="93"/>
      <c r="D174" s="106"/>
      <c r="E174" s="93"/>
      <c r="F174" s="93"/>
      <c r="G174" s="106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 ht="33.0" customHeight="1">
      <c r="A175" s="50"/>
      <c r="B175" s="93"/>
      <c r="C175" s="93"/>
      <c r="D175" s="106"/>
      <c r="E175" s="93"/>
      <c r="F175" s="93"/>
      <c r="G175" s="106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 ht="33.0" customHeight="1">
      <c r="A176" s="50"/>
      <c r="B176" s="93"/>
      <c r="C176" s="93"/>
      <c r="D176" s="106"/>
      <c r="E176" s="93"/>
      <c r="F176" s="93"/>
      <c r="G176" s="106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 ht="33.0" customHeight="1">
      <c r="A177" s="50"/>
      <c r="B177" s="93"/>
      <c r="C177" s="93"/>
      <c r="D177" s="106"/>
      <c r="E177" s="93"/>
      <c r="F177" s="93"/>
      <c r="G177" s="106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 ht="33.0" customHeight="1">
      <c r="A178" s="50"/>
      <c r="B178" s="93"/>
      <c r="C178" s="93"/>
      <c r="D178" s="106"/>
      <c r="E178" s="93"/>
      <c r="F178" s="93"/>
      <c r="G178" s="106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 ht="33.0" customHeight="1">
      <c r="A179" s="50"/>
      <c r="B179" s="93"/>
      <c r="C179" s="93"/>
      <c r="D179" s="106"/>
      <c r="E179" s="93"/>
      <c r="F179" s="93"/>
      <c r="G179" s="106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 ht="33.0" customHeight="1">
      <c r="A180" s="50"/>
      <c r="B180" s="93"/>
      <c r="C180" s="93"/>
      <c r="D180" s="106"/>
      <c r="E180" s="93"/>
      <c r="F180" s="93"/>
      <c r="G180" s="106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ht="33.0" customHeight="1">
      <c r="A181" s="50"/>
      <c r="B181" s="93"/>
      <c r="C181" s="93"/>
      <c r="D181" s="106"/>
      <c r="E181" s="93"/>
      <c r="F181" s="93"/>
      <c r="G181" s="106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 ht="33.0" customHeight="1">
      <c r="A182" s="50"/>
      <c r="B182" s="93"/>
      <c r="C182" s="93"/>
      <c r="D182" s="106"/>
      <c r="E182" s="93"/>
      <c r="F182" s="93"/>
      <c r="G182" s="106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 ht="33.0" customHeight="1">
      <c r="A183" s="50"/>
      <c r="B183" s="93"/>
      <c r="C183" s="93"/>
      <c r="D183" s="106"/>
      <c r="E183" s="93"/>
      <c r="F183" s="93"/>
      <c r="G183" s="106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 ht="33.0" customHeight="1">
      <c r="A184" s="50"/>
      <c r="B184" s="93"/>
      <c r="C184" s="93"/>
      <c r="D184" s="106"/>
      <c r="E184" s="93"/>
      <c r="F184" s="93"/>
      <c r="G184" s="106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 ht="33.0" customHeight="1">
      <c r="A185" s="50"/>
      <c r="B185" s="93"/>
      <c r="C185" s="93"/>
      <c r="D185" s="106"/>
      <c r="E185" s="93"/>
      <c r="F185" s="93"/>
      <c r="G185" s="106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 ht="33.0" customHeight="1">
      <c r="A186" s="50"/>
      <c r="B186" s="93"/>
      <c r="C186" s="93"/>
      <c r="D186" s="106"/>
      <c r="E186" s="93"/>
      <c r="F186" s="93"/>
      <c r="G186" s="106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 ht="33.0" customHeight="1">
      <c r="A187" s="50"/>
      <c r="B187" s="93"/>
      <c r="C187" s="93"/>
      <c r="D187" s="106"/>
      <c r="E187" s="93"/>
      <c r="F187" s="93"/>
      <c r="G187" s="106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 ht="33.0" customHeight="1">
      <c r="A188" s="50"/>
      <c r="B188" s="93"/>
      <c r="C188" s="93"/>
      <c r="D188" s="106"/>
      <c r="E188" s="93"/>
      <c r="F188" s="93"/>
      <c r="G188" s="106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 ht="33.0" customHeight="1">
      <c r="A189" s="50"/>
      <c r="B189" s="93"/>
      <c r="C189" s="93"/>
      <c r="D189" s="106"/>
      <c r="E189" s="93"/>
      <c r="F189" s="93"/>
      <c r="G189" s="106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 ht="33.0" customHeight="1">
      <c r="A190" s="50"/>
      <c r="B190" s="93"/>
      <c r="C190" s="93"/>
      <c r="D190" s="106"/>
      <c r="E190" s="93"/>
      <c r="F190" s="93"/>
      <c r="G190" s="106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 ht="33.0" customHeight="1">
      <c r="A191" s="50"/>
      <c r="B191" s="93"/>
      <c r="C191" s="93"/>
      <c r="D191" s="106"/>
      <c r="E191" s="93"/>
      <c r="F191" s="93"/>
      <c r="G191" s="106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 ht="33.0" customHeight="1">
      <c r="A192" s="50"/>
      <c r="B192" s="93"/>
      <c r="C192" s="93"/>
      <c r="D192" s="106"/>
      <c r="E192" s="93"/>
      <c r="F192" s="93"/>
      <c r="G192" s="106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 ht="33.0" customHeight="1">
      <c r="A193" s="50"/>
      <c r="B193" s="93"/>
      <c r="C193" s="93"/>
      <c r="D193" s="106"/>
      <c r="E193" s="93"/>
      <c r="F193" s="93"/>
      <c r="G193" s="106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 ht="33.0" customHeight="1">
      <c r="A194" s="50"/>
      <c r="B194" s="93"/>
      <c r="C194" s="93"/>
      <c r="D194" s="106"/>
      <c r="E194" s="93"/>
      <c r="F194" s="93"/>
      <c r="G194" s="106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 ht="33.0" customHeight="1">
      <c r="A195" s="50"/>
      <c r="B195" s="93"/>
      <c r="C195" s="93"/>
      <c r="D195" s="106"/>
      <c r="E195" s="93"/>
      <c r="F195" s="93"/>
      <c r="G195" s="106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 ht="33.0" customHeight="1">
      <c r="A196" s="50"/>
      <c r="B196" s="93"/>
      <c r="C196" s="93"/>
      <c r="D196" s="106"/>
      <c r="E196" s="93"/>
      <c r="F196" s="93"/>
      <c r="G196" s="106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 ht="33.0" customHeight="1">
      <c r="A197" s="50"/>
      <c r="B197" s="93"/>
      <c r="C197" s="93"/>
      <c r="D197" s="106"/>
      <c r="E197" s="93"/>
      <c r="F197" s="93"/>
      <c r="G197" s="106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 ht="33.0" customHeight="1">
      <c r="A198" s="50"/>
      <c r="B198" s="93"/>
      <c r="C198" s="93"/>
      <c r="D198" s="106"/>
      <c r="E198" s="93"/>
      <c r="F198" s="93"/>
      <c r="G198" s="106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 ht="33.0" customHeight="1">
      <c r="A199" s="50"/>
      <c r="B199" s="93"/>
      <c r="C199" s="93"/>
      <c r="D199" s="106"/>
      <c r="E199" s="93"/>
      <c r="F199" s="93"/>
      <c r="G199" s="106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 ht="33.0" customHeight="1">
      <c r="A200" s="50"/>
      <c r="B200" s="93"/>
      <c r="C200" s="93"/>
      <c r="D200" s="106"/>
      <c r="E200" s="93"/>
      <c r="F200" s="93"/>
      <c r="G200" s="106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 ht="33.0" customHeight="1">
      <c r="A201" s="50"/>
      <c r="B201" s="93"/>
      <c r="C201" s="93"/>
      <c r="D201" s="106"/>
      <c r="E201" s="93"/>
      <c r="F201" s="93"/>
      <c r="G201" s="106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 ht="33.0" customHeight="1">
      <c r="A202" s="50"/>
      <c r="B202" s="93"/>
      <c r="C202" s="93"/>
      <c r="D202" s="106"/>
      <c r="E202" s="93"/>
      <c r="F202" s="93"/>
      <c r="G202" s="106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 ht="33.0" customHeight="1">
      <c r="A203" s="50"/>
      <c r="B203" s="93"/>
      <c r="C203" s="93"/>
      <c r="D203" s="106"/>
      <c r="E203" s="93"/>
      <c r="F203" s="93"/>
      <c r="G203" s="106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 ht="33.0" customHeight="1">
      <c r="A204" s="50"/>
      <c r="B204" s="93"/>
      <c r="C204" s="93"/>
      <c r="D204" s="106"/>
      <c r="E204" s="93"/>
      <c r="F204" s="93"/>
      <c r="G204" s="106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 ht="33.0" customHeight="1">
      <c r="A205" s="50"/>
      <c r="B205" s="93"/>
      <c r="C205" s="93"/>
      <c r="D205" s="106"/>
      <c r="E205" s="93"/>
      <c r="F205" s="93"/>
      <c r="G205" s="106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 ht="33.0" customHeight="1">
      <c r="A206" s="50"/>
      <c r="B206" s="93"/>
      <c r="C206" s="93"/>
      <c r="D206" s="106"/>
      <c r="E206" s="93"/>
      <c r="F206" s="93"/>
      <c r="G206" s="106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</row>
    <row r="207" ht="33.0" customHeight="1">
      <c r="A207" s="50"/>
      <c r="B207" s="93"/>
      <c r="C207" s="93"/>
      <c r="D207" s="106"/>
      <c r="E207" s="93"/>
      <c r="F207" s="93"/>
      <c r="G207" s="106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</row>
    <row r="208" ht="33.0" customHeight="1">
      <c r="A208" s="50"/>
      <c r="B208" s="93"/>
      <c r="C208" s="93"/>
      <c r="D208" s="106"/>
      <c r="E208" s="93"/>
      <c r="F208" s="93"/>
      <c r="G208" s="106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</row>
    <row r="209" ht="33.0" customHeight="1">
      <c r="A209" s="50"/>
      <c r="B209" s="93"/>
      <c r="C209" s="93"/>
      <c r="D209" s="106"/>
      <c r="E209" s="93"/>
      <c r="F209" s="93"/>
      <c r="G209" s="106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</row>
    <row r="210" ht="33.0" customHeight="1">
      <c r="A210" s="50"/>
      <c r="B210" s="93"/>
      <c r="C210" s="93"/>
      <c r="D210" s="106"/>
      <c r="E210" s="93"/>
      <c r="F210" s="93"/>
      <c r="G210" s="106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</row>
    <row r="211" ht="33.0" customHeight="1">
      <c r="A211" s="50"/>
      <c r="B211" s="93"/>
      <c r="C211" s="93"/>
      <c r="D211" s="106"/>
      <c r="E211" s="93"/>
      <c r="F211" s="93"/>
      <c r="G211" s="106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</row>
    <row r="212" ht="33.0" customHeight="1">
      <c r="A212" s="50"/>
      <c r="B212" s="93"/>
      <c r="C212" s="93"/>
      <c r="D212" s="106"/>
      <c r="E212" s="93"/>
      <c r="F212" s="93"/>
      <c r="G212" s="106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</row>
    <row r="213" ht="33.0" customHeight="1">
      <c r="A213" s="50"/>
      <c r="B213" s="93"/>
      <c r="C213" s="93"/>
      <c r="D213" s="106"/>
      <c r="E213" s="93"/>
      <c r="F213" s="93"/>
      <c r="G213" s="106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</row>
    <row r="214" ht="33.0" customHeight="1">
      <c r="A214" s="50"/>
      <c r="B214" s="93"/>
      <c r="C214" s="93"/>
      <c r="D214" s="106"/>
      <c r="E214" s="93"/>
      <c r="F214" s="93"/>
      <c r="G214" s="106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</row>
    <row r="215" ht="33.0" customHeight="1">
      <c r="A215" s="50"/>
      <c r="B215" s="93"/>
      <c r="C215" s="93"/>
      <c r="D215" s="106"/>
      <c r="E215" s="93"/>
      <c r="F215" s="93"/>
      <c r="G215" s="106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</row>
    <row r="216" ht="33.0" customHeight="1">
      <c r="A216" s="50"/>
      <c r="B216" s="93"/>
      <c r="C216" s="93"/>
      <c r="D216" s="106"/>
      <c r="E216" s="93"/>
      <c r="F216" s="93"/>
      <c r="G216" s="106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</row>
    <row r="217" ht="33.0" customHeight="1">
      <c r="A217" s="50"/>
      <c r="B217" s="93"/>
      <c r="C217" s="93"/>
      <c r="D217" s="106"/>
      <c r="E217" s="93"/>
      <c r="F217" s="93"/>
      <c r="G217" s="106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</row>
    <row r="218" ht="33.0" customHeight="1">
      <c r="A218" s="50"/>
      <c r="B218" s="93"/>
      <c r="C218" s="93"/>
      <c r="D218" s="106"/>
      <c r="E218" s="93"/>
      <c r="F218" s="93"/>
      <c r="G218" s="106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</row>
    <row r="219" ht="33.0" customHeight="1">
      <c r="A219" s="50"/>
      <c r="B219" s="93"/>
      <c r="C219" s="93"/>
      <c r="D219" s="106"/>
      <c r="E219" s="93"/>
      <c r="F219" s="93"/>
      <c r="G219" s="106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</row>
    <row r="220" ht="33.0" customHeight="1">
      <c r="A220" s="50"/>
      <c r="B220" s="93"/>
      <c r="C220" s="93"/>
      <c r="D220" s="106"/>
      <c r="E220" s="93"/>
      <c r="F220" s="93"/>
      <c r="G220" s="106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</row>
    <row r="221" ht="33.0" customHeight="1">
      <c r="A221" s="50"/>
      <c r="B221" s="93"/>
      <c r="C221" s="93"/>
      <c r="D221" s="106"/>
      <c r="E221" s="93"/>
      <c r="F221" s="93"/>
      <c r="G221" s="106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</row>
    <row r="222" ht="33.0" customHeight="1">
      <c r="A222" s="50"/>
      <c r="B222" s="93"/>
      <c r="C222" s="93"/>
      <c r="D222" s="106"/>
      <c r="E222" s="93"/>
      <c r="F222" s="93"/>
      <c r="G222" s="106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</row>
    <row r="223" ht="33.0" customHeight="1">
      <c r="A223" s="50"/>
      <c r="B223" s="93"/>
      <c r="C223" s="93"/>
      <c r="D223" s="106"/>
      <c r="E223" s="93"/>
      <c r="F223" s="93"/>
      <c r="G223" s="106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</row>
    <row r="224" ht="33.0" customHeight="1">
      <c r="A224" s="50"/>
      <c r="B224" s="93"/>
      <c r="C224" s="93"/>
      <c r="D224" s="106"/>
      <c r="E224" s="93"/>
      <c r="F224" s="93"/>
      <c r="G224" s="106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</row>
    <row r="225" ht="33.0" customHeight="1">
      <c r="A225" s="50"/>
      <c r="B225" s="93"/>
      <c r="C225" s="93"/>
      <c r="D225" s="106"/>
      <c r="E225" s="93"/>
      <c r="F225" s="93"/>
      <c r="G225" s="106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</row>
    <row r="226" ht="33.0" customHeight="1">
      <c r="A226" s="50"/>
      <c r="B226" s="93"/>
      <c r="C226" s="93"/>
      <c r="D226" s="106"/>
      <c r="E226" s="93"/>
      <c r="F226" s="93"/>
      <c r="G226" s="106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</row>
    <row r="227" ht="33.0" customHeight="1">
      <c r="A227" s="50"/>
      <c r="B227" s="93"/>
      <c r="C227" s="93"/>
      <c r="D227" s="106"/>
      <c r="E227" s="93"/>
      <c r="F227" s="93"/>
      <c r="G227" s="106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</row>
    <row r="228" ht="33.0" customHeight="1">
      <c r="A228" s="50"/>
      <c r="B228" s="93"/>
      <c r="C228" s="93"/>
      <c r="D228" s="106"/>
      <c r="E228" s="93"/>
      <c r="F228" s="93"/>
      <c r="G228" s="106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</row>
    <row r="229" ht="33.0" customHeight="1">
      <c r="A229" s="50"/>
      <c r="B229" s="93"/>
      <c r="C229" s="93"/>
      <c r="D229" s="106"/>
      <c r="E229" s="93"/>
      <c r="F229" s="93"/>
      <c r="G229" s="106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</row>
    <row r="230" ht="33.0" customHeight="1">
      <c r="A230" s="50"/>
      <c r="B230" s="93"/>
      <c r="C230" s="93"/>
      <c r="D230" s="106"/>
      <c r="E230" s="93"/>
      <c r="F230" s="93"/>
      <c r="G230" s="106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</row>
    <row r="231" ht="33.0" customHeight="1">
      <c r="A231" s="50"/>
      <c r="B231" s="93"/>
      <c r="C231" s="93"/>
      <c r="D231" s="106"/>
      <c r="E231" s="93"/>
      <c r="F231" s="93"/>
      <c r="G231" s="106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</row>
    <row r="232" ht="33.0" customHeight="1">
      <c r="A232" s="50"/>
      <c r="B232" s="93"/>
      <c r="C232" s="93"/>
      <c r="D232" s="106"/>
      <c r="E232" s="93"/>
      <c r="F232" s="93"/>
      <c r="G232" s="106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</row>
    <row r="233" ht="33.0" customHeight="1">
      <c r="A233" s="50"/>
      <c r="B233" s="93"/>
      <c r="C233" s="93"/>
      <c r="D233" s="106"/>
      <c r="E233" s="93"/>
      <c r="F233" s="93"/>
      <c r="G233" s="106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</row>
    <row r="234" ht="33.0" customHeight="1">
      <c r="A234" s="50"/>
      <c r="B234" s="93"/>
      <c r="C234" s="93"/>
      <c r="D234" s="106"/>
      <c r="E234" s="93"/>
      <c r="F234" s="93"/>
      <c r="G234" s="106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</row>
    <row r="235" ht="33.0" customHeight="1">
      <c r="A235" s="50"/>
      <c r="B235" s="93"/>
      <c r="C235" s="93"/>
      <c r="D235" s="106"/>
      <c r="E235" s="93"/>
      <c r="F235" s="93"/>
      <c r="G235" s="106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</row>
    <row r="236" ht="33.0" customHeight="1">
      <c r="A236" s="50"/>
      <c r="B236" s="93"/>
      <c r="C236" s="93"/>
      <c r="D236" s="106"/>
      <c r="E236" s="93"/>
      <c r="F236" s="93"/>
      <c r="G236" s="106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</row>
    <row r="237" ht="33.0" customHeight="1">
      <c r="A237" s="50"/>
      <c r="B237" s="93"/>
      <c r="C237" s="93"/>
      <c r="D237" s="106"/>
      <c r="E237" s="93"/>
      <c r="F237" s="93"/>
      <c r="G237" s="106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</row>
    <row r="238" ht="33.0" customHeight="1">
      <c r="A238" s="50"/>
      <c r="B238" s="93"/>
      <c r="C238" s="93"/>
      <c r="D238" s="106"/>
      <c r="E238" s="93"/>
      <c r="F238" s="93"/>
      <c r="G238" s="106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</row>
    <row r="239" ht="33.0" customHeight="1">
      <c r="A239" s="50"/>
      <c r="B239" s="93"/>
      <c r="C239" s="93"/>
      <c r="D239" s="106"/>
      <c r="E239" s="93"/>
      <c r="F239" s="93"/>
      <c r="G239" s="106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</row>
    <row r="240" ht="33.0" customHeight="1">
      <c r="A240" s="50"/>
      <c r="B240" s="93"/>
      <c r="C240" s="93"/>
      <c r="D240" s="106"/>
      <c r="E240" s="93"/>
      <c r="F240" s="93"/>
      <c r="G240" s="106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</row>
    <row r="241" ht="33.0" customHeight="1">
      <c r="A241" s="50"/>
      <c r="B241" s="93"/>
      <c r="C241" s="93"/>
      <c r="D241" s="106"/>
      <c r="E241" s="93"/>
      <c r="F241" s="93"/>
      <c r="G241" s="106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</row>
    <row r="242" ht="33.0" customHeight="1">
      <c r="A242" s="50"/>
      <c r="B242" s="93"/>
      <c r="C242" s="93"/>
      <c r="D242" s="106"/>
      <c r="E242" s="93"/>
      <c r="F242" s="93"/>
      <c r="G242" s="106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</row>
    <row r="243" ht="33.0" customHeight="1">
      <c r="A243" s="50"/>
      <c r="B243" s="93"/>
      <c r="C243" s="93"/>
      <c r="D243" s="106"/>
      <c r="E243" s="93"/>
      <c r="F243" s="93"/>
      <c r="G243" s="106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</row>
    <row r="244" ht="33.0" customHeight="1">
      <c r="A244" s="50"/>
      <c r="B244" s="93"/>
      <c r="C244" s="93"/>
      <c r="D244" s="106"/>
      <c r="E244" s="93"/>
      <c r="F244" s="93"/>
      <c r="G244" s="106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</row>
    <row r="245" ht="33.0" customHeight="1">
      <c r="A245" s="50"/>
      <c r="B245" s="93"/>
      <c r="C245" s="93"/>
      <c r="D245" s="106"/>
      <c r="E245" s="93"/>
      <c r="F245" s="93"/>
      <c r="G245" s="106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</row>
    <row r="246" ht="33.0" customHeight="1">
      <c r="A246" s="50"/>
      <c r="B246" s="93"/>
      <c r="C246" s="93"/>
      <c r="D246" s="106"/>
      <c r="E246" s="93"/>
      <c r="F246" s="93"/>
      <c r="G246" s="106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</row>
    <row r="247" ht="33.0" customHeight="1">
      <c r="A247" s="50"/>
      <c r="B247" s="93"/>
      <c r="C247" s="93"/>
      <c r="D247" s="106"/>
      <c r="E247" s="93"/>
      <c r="F247" s="93"/>
      <c r="G247" s="106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</row>
    <row r="248" ht="33.0" customHeight="1">
      <c r="A248" s="50"/>
      <c r="B248" s="93"/>
      <c r="C248" s="93"/>
      <c r="D248" s="106"/>
      <c r="E248" s="93"/>
      <c r="F248" s="93"/>
      <c r="G248" s="106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</row>
    <row r="249" ht="33.0" customHeight="1">
      <c r="A249" s="50"/>
      <c r="B249" s="93"/>
      <c r="C249" s="93"/>
      <c r="D249" s="106"/>
      <c r="E249" s="93"/>
      <c r="F249" s="93"/>
      <c r="G249" s="106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</row>
    <row r="250" ht="33.0" customHeight="1">
      <c r="A250" s="50"/>
      <c r="B250" s="93"/>
      <c r="C250" s="93"/>
      <c r="D250" s="106"/>
      <c r="E250" s="93"/>
      <c r="F250" s="93"/>
      <c r="G250" s="106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</row>
    <row r="251" ht="33.0" customHeight="1">
      <c r="A251" s="50"/>
      <c r="B251" s="93"/>
      <c r="C251" s="93"/>
      <c r="D251" s="106"/>
      <c r="E251" s="93"/>
      <c r="F251" s="93"/>
      <c r="G251" s="106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</row>
    <row r="252" ht="33.0" customHeight="1">
      <c r="A252" s="50"/>
      <c r="B252" s="93"/>
      <c r="C252" s="93"/>
      <c r="D252" s="106"/>
      <c r="E252" s="93"/>
      <c r="F252" s="93"/>
      <c r="G252" s="106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</row>
    <row r="253" ht="33.0" customHeight="1">
      <c r="A253" s="50"/>
      <c r="B253" s="93"/>
      <c r="C253" s="93"/>
      <c r="D253" s="106"/>
      <c r="E253" s="93"/>
      <c r="F253" s="93"/>
      <c r="G253" s="106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</row>
    <row r="254" ht="33.0" customHeight="1">
      <c r="A254" s="50"/>
      <c r="B254" s="93"/>
      <c r="C254" s="93"/>
      <c r="D254" s="106"/>
      <c r="E254" s="93"/>
      <c r="F254" s="93"/>
      <c r="G254" s="106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</row>
    <row r="255" ht="33.0" customHeight="1">
      <c r="A255" s="50"/>
      <c r="B255" s="93"/>
      <c r="C255" s="93"/>
      <c r="D255" s="106"/>
      <c r="E255" s="93"/>
      <c r="F255" s="93"/>
      <c r="G255" s="106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</row>
    <row r="256" ht="33.0" customHeight="1">
      <c r="A256" s="50"/>
      <c r="B256" s="93"/>
      <c r="C256" s="93"/>
      <c r="D256" s="106"/>
      <c r="E256" s="93"/>
      <c r="F256" s="93"/>
      <c r="G256" s="106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</row>
    <row r="257" ht="33.0" customHeight="1">
      <c r="A257" s="50"/>
      <c r="B257" s="93"/>
      <c r="C257" s="93"/>
      <c r="D257" s="106"/>
      <c r="E257" s="93"/>
      <c r="F257" s="93"/>
      <c r="G257" s="106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</row>
    <row r="258" ht="33.0" customHeight="1">
      <c r="A258" s="50"/>
      <c r="B258" s="93"/>
      <c r="C258" s="93"/>
      <c r="D258" s="106"/>
      <c r="E258" s="93"/>
      <c r="F258" s="93"/>
      <c r="G258" s="106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</row>
    <row r="259" ht="33.0" customHeight="1">
      <c r="A259" s="50"/>
      <c r="B259" s="93"/>
      <c r="C259" s="93"/>
      <c r="D259" s="106"/>
      <c r="E259" s="93"/>
      <c r="F259" s="93"/>
      <c r="G259" s="106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</row>
    <row r="260" ht="33.0" customHeight="1">
      <c r="A260" s="50"/>
      <c r="B260" s="93"/>
      <c r="C260" s="93"/>
      <c r="D260" s="106"/>
      <c r="E260" s="93"/>
      <c r="F260" s="93"/>
      <c r="G260" s="106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</row>
    <row r="261" ht="33.0" customHeight="1">
      <c r="A261" s="50"/>
      <c r="B261" s="93"/>
      <c r="C261" s="93"/>
      <c r="D261" s="106"/>
      <c r="E261" s="93"/>
      <c r="F261" s="93"/>
      <c r="G261" s="106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</row>
    <row r="262" ht="33.0" customHeight="1">
      <c r="A262" s="50"/>
      <c r="B262" s="93"/>
      <c r="C262" s="93"/>
      <c r="D262" s="106"/>
      <c r="E262" s="93"/>
      <c r="F262" s="93"/>
      <c r="G262" s="106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</row>
    <row r="263" ht="33.0" customHeight="1">
      <c r="A263" s="50"/>
      <c r="B263" s="93"/>
      <c r="C263" s="93"/>
      <c r="D263" s="106"/>
      <c r="E263" s="93"/>
      <c r="F263" s="93"/>
      <c r="G263" s="106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</row>
    <row r="264" ht="33.0" customHeight="1">
      <c r="A264" s="50"/>
      <c r="B264" s="93"/>
      <c r="C264" s="93"/>
      <c r="D264" s="106"/>
      <c r="E264" s="93"/>
      <c r="F264" s="93"/>
      <c r="G264" s="106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</row>
    <row r="265" ht="33.0" customHeight="1">
      <c r="A265" s="50"/>
      <c r="B265" s="93"/>
      <c r="C265" s="93"/>
      <c r="D265" s="106"/>
      <c r="E265" s="93"/>
      <c r="F265" s="93"/>
      <c r="G265" s="106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</row>
    <row r="266" ht="33.0" customHeight="1">
      <c r="A266" s="50"/>
      <c r="B266" s="93"/>
      <c r="C266" s="93"/>
      <c r="D266" s="106"/>
      <c r="E266" s="93"/>
      <c r="F266" s="93"/>
      <c r="G266" s="106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</row>
    <row r="267" ht="33.0" customHeight="1">
      <c r="A267" s="50"/>
      <c r="B267" s="93"/>
      <c r="C267" s="93"/>
      <c r="D267" s="106"/>
      <c r="E267" s="93"/>
      <c r="F267" s="93"/>
      <c r="G267" s="106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</row>
    <row r="268" ht="33.0" customHeight="1">
      <c r="A268" s="50"/>
      <c r="B268" s="93"/>
      <c r="C268" s="93"/>
      <c r="D268" s="106"/>
      <c r="E268" s="93"/>
      <c r="F268" s="93"/>
      <c r="G268" s="106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</row>
    <row r="269" ht="33.0" customHeight="1">
      <c r="A269" s="50"/>
      <c r="B269" s="93"/>
      <c r="C269" s="93"/>
      <c r="D269" s="106"/>
      <c r="E269" s="93"/>
      <c r="F269" s="93"/>
      <c r="G269" s="106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</row>
    <row r="270" ht="33.0" customHeight="1">
      <c r="A270" s="50"/>
      <c r="B270" s="93"/>
      <c r="C270" s="93"/>
      <c r="D270" s="106"/>
      <c r="E270" s="93"/>
      <c r="F270" s="93"/>
      <c r="G270" s="106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</row>
    <row r="271" ht="33.0" customHeight="1">
      <c r="A271" s="50"/>
      <c r="B271" s="93"/>
      <c r="C271" s="93"/>
      <c r="D271" s="106"/>
      <c r="E271" s="93"/>
      <c r="F271" s="93"/>
      <c r="G271" s="106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</row>
    <row r="272" ht="33.0" customHeight="1">
      <c r="A272" s="50"/>
      <c r="B272" s="93"/>
      <c r="C272" s="93"/>
      <c r="D272" s="106"/>
      <c r="E272" s="93"/>
      <c r="F272" s="93"/>
      <c r="G272" s="106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</row>
    <row r="273" ht="33.0" customHeight="1">
      <c r="A273" s="50"/>
      <c r="B273" s="93"/>
      <c r="C273" s="93"/>
      <c r="D273" s="106"/>
      <c r="E273" s="93"/>
      <c r="F273" s="93"/>
      <c r="G273" s="106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</row>
    <row r="274" ht="33.0" customHeight="1">
      <c r="A274" s="50"/>
      <c r="B274" s="93"/>
      <c r="C274" s="93"/>
      <c r="D274" s="106"/>
      <c r="E274" s="93"/>
      <c r="F274" s="93"/>
      <c r="G274" s="106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</row>
    <row r="275" ht="33.0" customHeight="1">
      <c r="A275" s="50"/>
      <c r="B275" s="93"/>
      <c r="C275" s="93"/>
      <c r="D275" s="106"/>
      <c r="E275" s="93"/>
      <c r="F275" s="93"/>
      <c r="G275" s="106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</row>
    <row r="276" ht="33.0" customHeight="1">
      <c r="A276" s="50"/>
      <c r="B276" s="93"/>
      <c r="C276" s="93"/>
      <c r="D276" s="106"/>
      <c r="E276" s="93"/>
      <c r="F276" s="93"/>
      <c r="G276" s="106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</row>
    <row r="277" ht="33.0" customHeight="1">
      <c r="A277" s="50"/>
      <c r="B277" s="93"/>
      <c r="C277" s="93"/>
      <c r="D277" s="106"/>
      <c r="E277" s="93"/>
      <c r="F277" s="93"/>
      <c r="G277" s="106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</row>
    <row r="278" ht="33.0" customHeight="1">
      <c r="A278" s="50"/>
      <c r="B278" s="93"/>
      <c r="C278" s="93"/>
      <c r="D278" s="106"/>
      <c r="E278" s="93"/>
      <c r="F278" s="93"/>
      <c r="G278" s="106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</row>
    <row r="279" ht="33.0" customHeight="1">
      <c r="A279" s="50"/>
      <c r="B279" s="93"/>
      <c r="C279" s="93"/>
      <c r="D279" s="106"/>
      <c r="E279" s="93"/>
      <c r="F279" s="93"/>
      <c r="G279" s="106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</row>
    <row r="280" ht="33.0" customHeight="1">
      <c r="A280" s="50"/>
      <c r="B280" s="93"/>
      <c r="C280" s="93"/>
      <c r="D280" s="106"/>
      <c r="E280" s="93"/>
      <c r="F280" s="93"/>
      <c r="G280" s="106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</row>
    <row r="281" ht="33.0" customHeight="1">
      <c r="A281" s="50"/>
      <c r="B281" s="93"/>
      <c r="C281" s="93"/>
      <c r="D281" s="106"/>
      <c r="E281" s="93"/>
      <c r="F281" s="93"/>
      <c r="G281" s="106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</row>
    <row r="282" ht="33.0" customHeight="1">
      <c r="A282" s="50"/>
      <c r="B282" s="93"/>
      <c r="C282" s="93"/>
      <c r="D282" s="106"/>
      <c r="E282" s="93"/>
      <c r="F282" s="93"/>
      <c r="G282" s="106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</row>
    <row r="283" ht="33.0" customHeight="1">
      <c r="A283" s="50"/>
      <c r="B283" s="93"/>
      <c r="C283" s="93"/>
      <c r="D283" s="106"/>
      <c r="E283" s="93"/>
      <c r="F283" s="93"/>
      <c r="G283" s="106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</row>
    <row r="284" ht="33.0" customHeight="1">
      <c r="A284" s="50"/>
      <c r="B284" s="93"/>
      <c r="C284" s="93"/>
      <c r="D284" s="106"/>
      <c r="E284" s="93"/>
      <c r="F284" s="93"/>
      <c r="G284" s="106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</row>
    <row r="285" ht="33.0" customHeight="1">
      <c r="A285" s="50"/>
      <c r="B285" s="93"/>
      <c r="C285" s="93"/>
      <c r="D285" s="106"/>
      <c r="E285" s="93"/>
      <c r="F285" s="93"/>
      <c r="G285" s="106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</row>
    <row r="286" ht="33.0" customHeight="1">
      <c r="A286" s="50"/>
      <c r="B286" s="93"/>
      <c r="C286" s="93"/>
      <c r="D286" s="106"/>
      <c r="E286" s="93"/>
      <c r="F286" s="93"/>
      <c r="G286" s="106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</row>
    <row r="287" ht="33.0" customHeight="1">
      <c r="A287" s="50"/>
      <c r="B287" s="93"/>
      <c r="C287" s="93"/>
      <c r="D287" s="106"/>
      <c r="E287" s="93"/>
      <c r="F287" s="93"/>
      <c r="G287" s="106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</row>
    <row r="288" ht="33.0" customHeight="1">
      <c r="A288" s="50"/>
      <c r="B288" s="93"/>
      <c r="C288" s="93"/>
      <c r="D288" s="106"/>
      <c r="E288" s="93"/>
      <c r="F288" s="93"/>
      <c r="G288" s="106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</row>
    <row r="289" ht="33.0" customHeight="1">
      <c r="A289" s="50"/>
      <c r="B289" s="93"/>
      <c r="C289" s="93"/>
      <c r="D289" s="106"/>
      <c r="E289" s="93"/>
      <c r="F289" s="93"/>
      <c r="G289" s="106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</row>
    <row r="290" ht="33.0" customHeight="1">
      <c r="A290" s="50"/>
      <c r="B290" s="93"/>
      <c r="C290" s="93"/>
      <c r="D290" s="106"/>
      <c r="E290" s="93"/>
      <c r="F290" s="93"/>
      <c r="G290" s="106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</row>
    <row r="291" ht="33.0" customHeight="1">
      <c r="A291" s="50"/>
      <c r="B291" s="93"/>
      <c r="C291" s="93"/>
      <c r="D291" s="106"/>
      <c r="E291" s="93"/>
      <c r="F291" s="93"/>
      <c r="G291" s="106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</row>
    <row r="292" ht="33.0" customHeight="1">
      <c r="A292" s="50"/>
      <c r="B292" s="93"/>
      <c r="C292" s="93"/>
      <c r="D292" s="106"/>
      <c r="E292" s="93"/>
      <c r="F292" s="93"/>
      <c r="G292" s="106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</row>
    <row r="293" ht="33.0" customHeight="1">
      <c r="A293" s="50"/>
      <c r="B293" s="93"/>
      <c r="C293" s="93"/>
      <c r="D293" s="106"/>
      <c r="E293" s="93"/>
      <c r="F293" s="93"/>
      <c r="G293" s="106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</row>
    <row r="294" ht="33.0" customHeight="1">
      <c r="A294" s="50"/>
      <c r="B294" s="93"/>
      <c r="C294" s="93"/>
      <c r="D294" s="106"/>
      <c r="E294" s="93"/>
      <c r="F294" s="93"/>
      <c r="G294" s="106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</row>
    <row r="295" ht="33.0" customHeight="1">
      <c r="A295" s="50"/>
      <c r="B295" s="93"/>
      <c r="C295" s="93"/>
      <c r="D295" s="106"/>
      <c r="E295" s="93"/>
      <c r="F295" s="93"/>
      <c r="G295" s="106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</row>
    <row r="296" ht="33.0" customHeight="1">
      <c r="A296" s="50"/>
      <c r="B296" s="93"/>
      <c r="C296" s="93"/>
      <c r="D296" s="106"/>
      <c r="E296" s="93"/>
      <c r="F296" s="93"/>
      <c r="G296" s="106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</row>
    <row r="297" ht="33.0" customHeight="1">
      <c r="A297" s="50"/>
      <c r="B297" s="93"/>
      <c r="C297" s="93"/>
      <c r="D297" s="106"/>
      <c r="E297" s="93"/>
      <c r="F297" s="93"/>
      <c r="G297" s="106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</row>
    <row r="298" ht="33.0" customHeight="1">
      <c r="A298" s="50"/>
      <c r="B298" s="93"/>
      <c r="C298" s="93"/>
      <c r="D298" s="106"/>
      <c r="E298" s="93"/>
      <c r="F298" s="93"/>
      <c r="G298" s="106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</row>
    <row r="299" ht="33.0" customHeight="1">
      <c r="A299" s="50"/>
      <c r="B299" s="93"/>
      <c r="C299" s="93"/>
      <c r="D299" s="106"/>
      <c r="E299" s="93"/>
      <c r="F299" s="93"/>
      <c r="G299" s="106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</row>
    <row r="300" ht="33.0" customHeight="1">
      <c r="A300" s="50"/>
      <c r="B300" s="93"/>
      <c r="C300" s="93"/>
      <c r="D300" s="106"/>
      <c r="E300" s="93"/>
      <c r="F300" s="93"/>
      <c r="G300" s="106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</row>
    <row r="301" ht="33.0" customHeight="1">
      <c r="A301" s="50"/>
      <c r="B301" s="93"/>
      <c r="C301" s="93"/>
      <c r="D301" s="106"/>
      <c r="E301" s="93"/>
      <c r="F301" s="93"/>
      <c r="G301" s="106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</row>
    <row r="302" ht="33.0" customHeight="1">
      <c r="A302" s="50"/>
      <c r="B302" s="93"/>
      <c r="C302" s="93"/>
      <c r="D302" s="106"/>
      <c r="E302" s="93"/>
      <c r="F302" s="93"/>
      <c r="G302" s="106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</row>
    <row r="303" ht="33.0" customHeight="1">
      <c r="A303" s="50"/>
      <c r="B303" s="93"/>
      <c r="C303" s="93"/>
      <c r="D303" s="106"/>
      <c r="E303" s="93"/>
      <c r="F303" s="93"/>
      <c r="G303" s="106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</row>
    <row r="304" ht="33.0" customHeight="1">
      <c r="A304" s="50"/>
      <c r="B304" s="93"/>
      <c r="C304" s="93"/>
      <c r="D304" s="106"/>
      <c r="E304" s="93"/>
      <c r="F304" s="93"/>
      <c r="G304" s="106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</row>
    <row r="305" ht="33.0" customHeight="1">
      <c r="A305" s="50"/>
      <c r="B305" s="93"/>
      <c r="C305" s="93"/>
      <c r="D305" s="106"/>
      <c r="E305" s="93"/>
      <c r="F305" s="93"/>
      <c r="G305" s="106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</row>
    <row r="306" ht="33.0" customHeight="1">
      <c r="A306" s="50"/>
      <c r="B306" s="93"/>
      <c r="C306" s="93"/>
      <c r="D306" s="106"/>
      <c r="E306" s="93"/>
      <c r="F306" s="93"/>
      <c r="G306" s="106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</row>
    <row r="307" ht="33.0" customHeight="1">
      <c r="A307" s="50"/>
      <c r="B307" s="93"/>
      <c r="C307" s="93"/>
      <c r="D307" s="106"/>
      <c r="E307" s="93"/>
      <c r="F307" s="93"/>
      <c r="G307" s="106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</row>
    <row r="308" ht="33.0" customHeight="1">
      <c r="A308" s="50"/>
      <c r="B308" s="93"/>
      <c r="C308" s="93"/>
      <c r="D308" s="106"/>
      <c r="E308" s="93"/>
      <c r="F308" s="93"/>
      <c r="G308" s="106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</row>
    <row r="309" ht="33.0" customHeight="1">
      <c r="A309" s="50"/>
      <c r="B309" s="93"/>
      <c r="C309" s="93"/>
      <c r="D309" s="106"/>
      <c r="E309" s="93"/>
      <c r="F309" s="93"/>
      <c r="G309" s="106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</row>
    <row r="310" ht="33.0" customHeight="1">
      <c r="A310" s="50"/>
      <c r="B310" s="93"/>
      <c r="C310" s="93"/>
      <c r="D310" s="106"/>
      <c r="E310" s="93"/>
      <c r="F310" s="93"/>
      <c r="G310" s="106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</row>
    <row r="311" ht="33.0" customHeight="1">
      <c r="A311" s="50"/>
      <c r="B311" s="93"/>
      <c r="C311" s="93"/>
      <c r="D311" s="106"/>
      <c r="E311" s="93"/>
      <c r="F311" s="93"/>
      <c r="G311" s="106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</row>
    <row r="312" ht="33.0" customHeight="1">
      <c r="A312" s="50"/>
      <c r="B312" s="93"/>
      <c r="C312" s="93"/>
      <c r="D312" s="106"/>
      <c r="E312" s="93"/>
      <c r="F312" s="93"/>
      <c r="G312" s="106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</row>
    <row r="313" ht="33.0" customHeight="1">
      <c r="A313" s="50"/>
      <c r="B313" s="93"/>
      <c r="C313" s="93"/>
      <c r="D313" s="106"/>
      <c r="E313" s="93"/>
      <c r="F313" s="93"/>
      <c r="G313" s="106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</row>
    <row r="314" ht="33.0" customHeight="1">
      <c r="A314" s="50"/>
      <c r="B314" s="93"/>
      <c r="C314" s="93"/>
      <c r="D314" s="106"/>
      <c r="E314" s="93"/>
      <c r="F314" s="93"/>
      <c r="G314" s="106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</row>
    <row r="315" ht="33.0" customHeight="1">
      <c r="A315" s="50"/>
      <c r="B315" s="93"/>
      <c r="C315" s="93"/>
      <c r="D315" s="106"/>
      <c r="E315" s="93"/>
      <c r="F315" s="93"/>
      <c r="G315" s="106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</row>
    <row r="316" ht="33.0" customHeight="1">
      <c r="A316" s="50"/>
      <c r="B316" s="93"/>
      <c r="C316" s="93"/>
      <c r="D316" s="106"/>
      <c r="E316" s="93"/>
      <c r="F316" s="93"/>
      <c r="G316" s="106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</row>
    <row r="317" ht="33.0" customHeight="1">
      <c r="A317" s="50"/>
      <c r="B317" s="93"/>
      <c r="C317" s="93"/>
      <c r="D317" s="106"/>
      <c r="E317" s="93"/>
      <c r="F317" s="93"/>
      <c r="G317" s="106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</row>
    <row r="318" ht="33.0" customHeight="1">
      <c r="A318" s="50"/>
      <c r="B318" s="93"/>
      <c r="C318" s="93"/>
      <c r="D318" s="106"/>
      <c r="E318" s="93"/>
      <c r="F318" s="93"/>
      <c r="G318" s="106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</row>
    <row r="319" ht="33.0" customHeight="1">
      <c r="A319" s="50"/>
      <c r="B319" s="93"/>
      <c r="C319" s="93"/>
      <c r="D319" s="106"/>
      <c r="E319" s="93"/>
      <c r="F319" s="93"/>
      <c r="G319" s="106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</row>
    <row r="320" ht="33.0" customHeight="1">
      <c r="A320" s="50"/>
      <c r="B320" s="93"/>
      <c r="C320" s="93"/>
      <c r="D320" s="106"/>
      <c r="E320" s="93"/>
      <c r="F320" s="93"/>
      <c r="G320" s="106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</row>
    <row r="321" ht="33.0" customHeight="1">
      <c r="A321" s="50"/>
      <c r="B321" s="93"/>
      <c r="C321" s="93"/>
      <c r="D321" s="106"/>
      <c r="E321" s="93"/>
      <c r="F321" s="93"/>
      <c r="G321" s="106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</row>
    <row r="322" ht="33.0" customHeight="1">
      <c r="A322" s="50"/>
      <c r="B322" s="93"/>
      <c r="C322" s="93"/>
      <c r="D322" s="106"/>
      <c r="E322" s="93"/>
      <c r="F322" s="93"/>
      <c r="G322" s="106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</row>
    <row r="323" ht="33.0" customHeight="1">
      <c r="A323" s="50"/>
      <c r="B323" s="93"/>
      <c r="C323" s="93"/>
      <c r="D323" s="106"/>
      <c r="E323" s="93"/>
      <c r="F323" s="93"/>
      <c r="G323" s="106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</row>
    <row r="324" ht="33.0" customHeight="1">
      <c r="A324" s="50"/>
      <c r="B324" s="93"/>
      <c r="C324" s="93"/>
      <c r="D324" s="106"/>
      <c r="E324" s="93"/>
      <c r="F324" s="93"/>
      <c r="G324" s="106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</row>
    <row r="325" ht="33.0" customHeight="1">
      <c r="A325" s="50"/>
      <c r="B325" s="93"/>
      <c r="C325" s="93"/>
      <c r="D325" s="106"/>
      <c r="E325" s="93"/>
      <c r="F325" s="93"/>
      <c r="G325" s="106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</row>
    <row r="326" ht="33.0" customHeight="1">
      <c r="A326" s="50"/>
      <c r="B326" s="93"/>
      <c r="C326" s="93"/>
      <c r="D326" s="106"/>
      <c r="E326" s="93"/>
      <c r="F326" s="93"/>
      <c r="G326" s="106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</row>
    <row r="327" ht="33.0" customHeight="1">
      <c r="A327" s="50"/>
      <c r="B327" s="93"/>
      <c r="C327" s="93"/>
      <c r="D327" s="106"/>
      <c r="E327" s="93"/>
      <c r="F327" s="93"/>
      <c r="G327" s="106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</row>
    <row r="328" ht="33.0" customHeight="1">
      <c r="A328" s="50"/>
      <c r="B328" s="93"/>
      <c r="C328" s="93"/>
      <c r="D328" s="106"/>
      <c r="E328" s="93"/>
      <c r="F328" s="93"/>
      <c r="G328" s="106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</row>
    <row r="329" ht="33.0" customHeight="1">
      <c r="A329" s="50"/>
      <c r="B329" s="93"/>
      <c r="C329" s="93"/>
      <c r="D329" s="106"/>
      <c r="E329" s="93"/>
      <c r="F329" s="93"/>
      <c r="G329" s="106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</row>
    <row r="330" ht="33.0" customHeight="1">
      <c r="A330" s="50"/>
      <c r="B330" s="93"/>
      <c r="C330" s="93"/>
      <c r="D330" s="106"/>
      <c r="E330" s="93"/>
      <c r="F330" s="93"/>
      <c r="G330" s="106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</row>
    <row r="331" ht="33.0" customHeight="1">
      <c r="A331" s="50"/>
      <c r="B331" s="93"/>
      <c r="C331" s="93"/>
      <c r="D331" s="106"/>
      <c r="E331" s="93"/>
      <c r="F331" s="93"/>
      <c r="G331" s="106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</row>
    <row r="332" ht="33.0" customHeight="1">
      <c r="A332" s="50"/>
      <c r="B332" s="93"/>
      <c r="C332" s="93"/>
      <c r="D332" s="106"/>
      <c r="E332" s="93"/>
      <c r="F332" s="93"/>
      <c r="G332" s="106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</row>
    <row r="333" ht="33.0" customHeight="1">
      <c r="A333" s="50"/>
      <c r="B333" s="93"/>
      <c r="C333" s="93"/>
      <c r="D333" s="106"/>
      <c r="E333" s="93"/>
      <c r="F333" s="93"/>
      <c r="G333" s="106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</row>
    <row r="334" ht="33.0" customHeight="1">
      <c r="A334" s="50"/>
      <c r="B334" s="93"/>
      <c r="C334" s="93"/>
      <c r="D334" s="106"/>
      <c r="E334" s="93"/>
      <c r="F334" s="93"/>
      <c r="G334" s="106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</row>
    <row r="335" ht="33.0" customHeight="1">
      <c r="A335" s="50"/>
      <c r="B335" s="93"/>
      <c r="C335" s="93"/>
      <c r="D335" s="106"/>
      <c r="E335" s="93"/>
      <c r="F335" s="93"/>
      <c r="G335" s="106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</row>
    <row r="336" ht="33.0" customHeight="1">
      <c r="A336" s="50"/>
      <c r="B336" s="93"/>
      <c r="C336" s="93"/>
      <c r="D336" s="106"/>
      <c r="E336" s="93"/>
      <c r="F336" s="93"/>
      <c r="G336" s="106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</row>
    <row r="337" ht="33.0" customHeight="1">
      <c r="A337" s="50"/>
      <c r="B337" s="93"/>
      <c r="C337" s="93"/>
      <c r="D337" s="106"/>
      <c r="E337" s="93"/>
      <c r="F337" s="93"/>
      <c r="G337" s="106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</row>
    <row r="338" ht="33.0" customHeight="1">
      <c r="A338" s="50"/>
      <c r="B338" s="93"/>
      <c r="C338" s="93"/>
      <c r="D338" s="106"/>
      <c r="E338" s="93"/>
      <c r="F338" s="93"/>
      <c r="G338" s="106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</row>
    <row r="339" ht="33.0" customHeight="1">
      <c r="A339" s="50"/>
      <c r="B339" s="93"/>
      <c r="C339" s="93"/>
      <c r="D339" s="106"/>
      <c r="E339" s="93"/>
      <c r="F339" s="93"/>
      <c r="G339" s="106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</row>
    <row r="340" ht="33.0" customHeight="1">
      <c r="A340" s="50"/>
      <c r="B340" s="93"/>
      <c r="C340" s="93"/>
      <c r="D340" s="106"/>
      <c r="E340" s="93"/>
      <c r="F340" s="93"/>
      <c r="G340" s="106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</row>
    <row r="341" ht="33.0" customHeight="1">
      <c r="A341" s="50"/>
      <c r="B341" s="93"/>
      <c r="C341" s="93"/>
      <c r="D341" s="106"/>
      <c r="E341" s="93"/>
      <c r="F341" s="93"/>
      <c r="G341" s="106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</row>
    <row r="342" ht="33.0" customHeight="1">
      <c r="A342" s="50"/>
      <c r="B342" s="93"/>
      <c r="C342" s="93"/>
      <c r="D342" s="106"/>
      <c r="E342" s="93"/>
      <c r="F342" s="93"/>
      <c r="G342" s="106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</row>
    <row r="343" ht="33.0" customHeight="1">
      <c r="A343" s="50"/>
      <c r="B343" s="93"/>
      <c r="C343" s="93"/>
      <c r="D343" s="106"/>
      <c r="E343" s="93"/>
      <c r="F343" s="93"/>
      <c r="G343" s="106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</row>
    <row r="344" ht="33.0" customHeight="1">
      <c r="A344" s="50"/>
      <c r="B344" s="93"/>
      <c r="C344" s="93"/>
      <c r="D344" s="106"/>
      <c r="E344" s="93"/>
      <c r="F344" s="93"/>
      <c r="G344" s="106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</row>
    <row r="345" ht="33.0" customHeight="1">
      <c r="A345" s="50"/>
      <c r="B345" s="93"/>
      <c r="C345" s="93"/>
      <c r="D345" s="106"/>
      <c r="E345" s="93"/>
      <c r="F345" s="93"/>
      <c r="G345" s="106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</row>
    <row r="346" ht="33.0" customHeight="1">
      <c r="A346" s="50"/>
      <c r="B346" s="93"/>
      <c r="C346" s="93"/>
      <c r="D346" s="106"/>
      <c r="E346" s="93"/>
      <c r="F346" s="93"/>
      <c r="G346" s="106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</row>
    <row r="347" ht="33.0" customHeight="1">
      <c r="A347" s="50"/>
      <c r="B347" s="93"/>
      <c r="C347" s="93"/>
      <c r="D347" s="106"/>
      <c r="E347" s="93"/>
      <c r="F347" s="93"/>
      <c r="G347" s="106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</row>
    <row r="348" ht="33.0" customHeight="1">
      <c r="A348" s="50"/>
      <c r="B348" s="93"/>
      <c r="C348" s="93"/>
      <c r="D348" s="106"/>
      <c r="E348" s="93"/>
      <c r="F348" s="93"/>
      <c r="G348" s="106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</row>
    <row r="349" ht="33.0" customHeight="1">
      <c r="A349" s="50"/>
      <c r="B349" s="93"/>
      <c r="C349" s="93"/>
      <c r="D349" s="106"/>
      <c r="E349" s="93"/>
      <c r="F349" s="93"/>
      <c r="G349" s="106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</row>
    <row r="350" ht="33.0" customHeight="1">
      <c r="A350" s="50"/>
      <c r="B350" s="93"/>
      <c r="C350" s="93"/>
      <c r="D350" s="106"/>
      <c r="E350" s="93"/>
      <c r="F350" s="93"/>
      <c r="G350" s="106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</row>
    <row r="351" ht="33.0" customHeight="1">
      <c r="A351" s="50"/>
      <c r="B351" s="93"/>
      <c r="C351" s="93"/>
      <c r="D351" s="106"/>
      <c r="E351" s="93"/>
      <c r="F351" s="93"/>
      <c r="G351" s="106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</row>
    <row r="352" ht="33.0" customHeight="1">
      <c r="A352" s="50"/>
      <c r="B352" s="93"/>
      <c r="C352" s="93"/>
      <c r="D352" s="106"/>
      <c r="E352" s="93"/>
      <c r="F352" s="93"/>
      <c r="G352" s="106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</row>
    <row r="353" ht="33.0" customHeight="1">
      <c r="A353" s="50"/>
      <c r="B353" s="93"/>
      <c r="C353" s="93"/>
      <c r="D353" s="106"/>
      <c r="E353" s="93"/>
      <c r="F353" s="93"/>
      <c r="G353" s="106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</row>
    <row r="354" ht="33.0" customHeight="1">
      <c r="A354" s="50"/>
      <c r="B354" s="93"/>
      <c r="C354" s="93"/>
      <c r="D354" s="106"/>
      <c r="E354" s="93"/>
      <c r="F354" s="93"/>
      <c r="G354" s="106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</row>
    <row r="355" ht="33.0" customHeight="1">
      <c r="A355" s="50"/>
      <c r="B355" s="93"/>
      <c r="C355" s="93"/>
      <c r="D355" s="106"/>
      <c r="E355" s="93"/>
      <c r="F355" s="93"/>
      <c r="G355" s="106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</row>
    <row r="356" ht="33.0" customHeight="1">
      <c r="A356" s="50"/>
      <c r="B356" s="93"/>
      <c r="C356" s="93"/>
      <c r="D356" s="106"/>
      <c r="E356" s="93"/>
      <c r="F356" s="93"/>
      <c r="G356" s="106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</row>
    <row r="357" ht="33.0" customHeight="1">
      <c r="A357" s="50"/>
      <c r="B357" s="93"/>
      <c r="C357" s="93"/>
      <c r="D357" s="106"/>
      <c r="E357" s="93"/>
      <c r="F357" s="93"/>
      <c r="G357" s="106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</row>
    <row r="358" ht="33.0" customHeight="1">
      <c r="A358" s="50"/>
      <c r="B358" s="93"/>
      <c r="C358" s="93"/>
      <c r="D358" s="106"/>
      <c r="E358" s="93"/>
      <c r="F358" s="93"/>
      <c r="G358" s="106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</row>
    <row r="359" ht="33.0" customHeight="1">
      <c r="A359" s="50"/>
      <c r="B359" s="93"/>
      <c r="C359" s="93"/>
      <c r="D359" s="106"/>
      <c r="E359" s="93"/>
      <c r="F359" s="93"/>
      <c r="G359" s="106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</row>
    <row r="360" ht="33.0" customHeight="1">
      <c r="A360" s="50"/>
      <c r="B360" s="93"/>
      <c r="C360" s="93"/>
      <c r="D360" s="106"/>
      <c r="E360" s="93"/>
      <c r="F360" s="93"/>
      <c r="G360" s="106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</row>
    <row r="361" ht="33.0" customHeight="1">
      <c r="A361" s="50"/>
      <c r="B361" s="93"/>
      <c r="C361" s="93"/>
      <c r="D361" s="106"/>
      <c r="E361" s="93"/>
      <c r="F361" s="93"/>
      <c r="G361" s="106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</row>
    <row r="362" ht="33.0" customHeight="1">
      <c r="A362" s="50"/>
      <c r="B362" s="93"/>
      <c r="C362" s="93"/>
      <c r="D362" s="106"/>
      <c r="E362" s="93"/>
      <c r="F362" s="93"/>
      <c r="G362" s="106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</row>
    <row r="363" ht="33.0" customHeight="1">
      <c r="A363" s="50"/>
      <c r="B363" s="93"/>
      <c r="C363" s="93"/>
      <c r="D363" s="106"/>
      <c r="E363" s="93"/>
      <c r="F363" s="93"/>
      <c r="G363" s="106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</row>
    <row r="364" ht="33.0" customHeight="1">
      <c r="A364" s="50"/>
      <c r="B364" s="93"/>
      <c r="C364" s="93"/>
      <c r="D364" s="106"/>
      <c r="E364" s="93"/>
      <c r="F364" s="93"/>
      <c r="G364" s="106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</row>
    <row r="365" ht="33.0" customHeight="1">
      <c r="A365" s="50"/>
      <c r="B365" s="93"/>
      <c r="C365" s="93"/>
      <c r="D365" s="106"/>
      <c r="E365" s="93"/>
      <c r="F365" s="93"/>
      <c r="G365" s="106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</row>
    <row r="366" ht="33.0" customHeight="1">
      <c r="A366" s="50"/>
      <c r="B366" s="93"/>
      <c r="C366" s="93"/>
      <c r="D366" s="106"/>
      <c r="E366" s="93"/>
      <c r="F366" s="93"/>
      <c r="G366" s="106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</row>
    <row r="367" ht="33.0" customHeight="1">
      <c r="A367" s="50"/>
      <c r="B367" s="93"/>
      <c r="C367" s="93"/>
      <c r="D367" s="106"/>
      <c r="E367" s="93"/>
      <c r="F367" s="93"/>
      <c r="G367" s="106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</row>
    <row r="368" ht="33.0" customHeight="1">
      <c r="A368" s="50"/>
      <c r="B368" s="93"/>
      <c r="C368" s="93"/>
      <c r="D368" s="106"/>
      <c r="E368" s="93"/>
      <c r="F368" s="93"/>
      <c r="G368" s="106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</row>
    <row r="369" ht="33.0" customHeight="1">
      <c r="A369" s="50"/>
      <c r="B369" s="93"/>
      <c r="C369" s="93"/>
      <c r="D369" s="106"/>
      <c r="E369" s="93"/>
      <c r="F369" s="93"/>
      <c r="G369" s="106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</row>
    <row r="370" ht="33.0" customHeight="1">
      <c r="A370" s="50"/>
      <c r="B370" s="93"/>
      <c r="C370" s="93"/>
      <c r="D370" s="106"/>
      <c r="E370" s="93"/>
      <c r="F370" s="93"/>
      <c r="G370" s="106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</row>
    <row r="371" ht="33.0" customHeight="1">
      <c r="A371" s="50"/>
      <c r="B371" s="93"/>
      <c r="C371" s="93"/>
      <c r="D371" s="106"/>
      <c r="E371" s="93"/>
      <c r="F371" s="93"/>
      <c r="G371" s="106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</row>
    <row r="372" ht="33.0" customHeight="1">
      <c r="A372" s="50"/>
      <c r="B372" s="93"/>
      <c r="C372" s="93"/>
      <c r="D372" s="106"/>
      <c r="E372" s="93"/>
      <c r="F372" s="93"/>
      <c r="G372" s="106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</row>
    <row r="373" ht="33.0" customHeight="1">
      <c r="A373" s="50"/>
      <c r="B373" s="93"/>
      <c r="C373" s="93"/>
      <c r="D373" s="106"/>
      <c r="E373" s="93"/>
      <c r="F373" s="93"/>
      <c r="G373" s="106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</row>
    <row r="374" ht="33.0" customHeight="1">
      <c r="A374" s="50"/>
      <c r="B374" s="93"/>
      <c r="C374" s="93"/>
      <c r="D374" s="106"/>
      <c r="E374" s="93"/>
      <c r="F374" s="93"/>
      <c r="G374" s="106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</row>
    <row r="375" ht="33.0" customHeight="1">
      <c r="A375" s="50"/>
      <c r="B375" s="93"/>
      <c r="C375" s="93"/>
      <c r="D375" s="106"/>
      <c r="E375" s="93"/>
      <c r="F375" s="93"/>
      <c r="G375" s="106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</row>
    <row r="376" ht="33.0" customHeight="1">
      <c r="A376" s="50"/>
      <c r="B376" s="93"/>
      <c r="C376" s="93"/>
      <c r="D376" s="106"/>
      <c r="E376" s="93"/>
      <c r="F376" s="93"/>
      <c r="G376" s="106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</row>
    <row r="377" ht="33.0" customHeight="1">
      <c r="A377" s="50"/>
      <c r="B377" s="93"/>
      <c r="C377" s="93"/>
      <c r="D377" s="106"/>
      <c r="E377" s="93"/>
      <c r="F377" s="93"/>
      <c r="G377" s="106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</row>
    <row r="378" ht="33.0" customHeight="1">
      <c r="A378" s="50"/>
      <c r="B378" s="93"/>
      <c r="C378" s="93"/>
      <c r="D378" s="106"/>
      <c r="E378" s="93"/>
      <c r="F378" s="93"/>
      <c r="G378" s="106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</row>
    <row r="379" ht="33.0" customHeight="1">
      <c r="A379" s="50"/>
      <c r="B379" s="93"/>
      <c r="C379" s="93"/>
      <c r="D379" s="106"/>
      <c r="E379" s="93"/>
      <c r="F379" s="93"/>
      <c r="G379" s="106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</row>
    <row r="380" ht="33.0" customHeight="1">
      <c r="A380" s="50"/>
      <c r="B380" s="93"/>
      <c r="C380" s="93"/>
      <c r="D380" s="106"/>
      <c r="E380" s="93"/>
      <c r="F380" s="93"/>
      <c r="G380" s="106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</row>
    <row r="381" ht="33.0" customHeight="1">
      <c r="A381" s="50"/>
      <c r="B381" s="93"/>
      <c r="C381" s="93"/>
      <c r="D381" s="106"/>
      <c r="E381" s="93"/>
      <c r="F381" s="93"/>
      <c r="G381" s="106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</row>
    <row r="382" ht="33.0" customHeight="1">
      <c r="A382" s="50"/>
      <c r="B382" s="93"/>
      <c r="C382" s="93"/>
      <c r="D382" s="106"/>
      <c r="E382" s="93"/>
      <c r="F382" s="93"/>
      <c r="G382" s="106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</row>
    <row r="383" ht="33.0" customHeight="1">
      <c r="A383" s="50"/>
      <c r="B383" s="93"/>
      <c r="C383" s="93"/>
      <c r="D383" s="106"/>
      <c r="E383" s="93"/>
      <c r="F383" s="93"/>
      <c r="G383" s="106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</row>
    <row r="384" ht="33.0" customHeight="1">
      <c r="A384" s="50"/>
      <c r="B384" s="93"/>
      <c r="C384" s="93"/>
      <c r="D384" s="106"/>
      <c r="E384" s="93"/>
      <c r="F384" s="93"/>
      <c r="G384" s="106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</row>
    <row r="385" ht="33.0" customHeight="1">
      <c r="A385" s="50"/>
      <c r="B385" s="93"/>
      <c r="C385" s="93"/>
      <c r="D385" s="106"/>
      <c r="E385" s="93"/>
      <c r="F385" s="93"/>
      <c r="G385" s="106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</row>
    <row r="386" ht="33.0" customHeight="1">
      <c r="A386" s="50"/>
      <c r="B386" s="93"/>
      <c r="C386" s="93"/>
      <c r="D386" s="106"/>
      <c r="E386" s="93"/>
      <c r="F386" s="93"/>
      <c r="G386" s="106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</row>
    <row r="387" ht="33.0" customHeight="1">
      <c r="A387" s="50"/>
      <c r="B387" s="93"/>
      <c r="C387" s="93"/>
      <c r="D387" s="106"/>
      <c r="E387" s="93"/>
      <c r="F387" s="93"/>
      <c r="G387" s="106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</row>
    <row r="388" ht="33.0" customHeight="1">
      <c r="A388" s="50"/>
      <c r="B388" s="93"/>
      <c r="C388" s="93"/>
      <c r="D388" s="106"/>
      <c r="E388" s="93"/>
      <c r="F388" s="93"/>
      <c r="G388" s="106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</row>
    <row r="389" ht="33.0" customHeight="1">
      <c r="A389" s="50"/>
      <c r="B389" s="93"/>
      <c r="C389" s="93"/>
      <c r="D389" s="106"/>
      <c r="E389" s="93"/>
      <c r="F389" s="93"/>
      <c r="G389" s="106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</row>
    <row r="390" ht="33.0" customHeight="1">
      <c r="A390" s="50"/>
      <c r="B390" s="93"/>
      <c r="C390" s="93"/>
      <c r="D390" s="106"/>
      <c r="E390" s="93"/>
      <c r="F390" s="93"/>
      <c r="G390" s="106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</row>
    <row r="391" ht="33.0" customHeight="1">
      <c r="A391" s="50"/>
      <c r="B391" s="93"/>
      <c r="C391" s="93"/>
      <c r="D391" s="106"/>
      <c r="E391" s="93"/>
      <c r="F391" s="93"/>
      <c r="G391" s="106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</row>
    <row r="392" ht="33.0" customHeight="1">
      <c r="A392" s="50"/>
      <c r="B392" s="93"/>
      <c r="C392" s="93"/>
      <c r="D392" s="106"/>
      <c r="E392" s="93"/>
      <c r="F392" s="93"/>
      <c r="G392" s="106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</row>
    <row r="393" ht="33.0" customHeight="1">
      <c r="A393" s="50"/>
      <c r="B393" s="93"/>
      <c r="C393" s="93"/>
      <c r="D393" s="106"/>
      <c r="E393" s="93"/>
      <c r="F393" s="93"/>
      <c r="G393" s="106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</row>
    <row r="394" ht="33.0" customHeight="1">
      <c r="A394" s="50"/>
      <c r="B394" s="93"/>
      <c r="C394" s="93"/>
      <c r="D394" s="106"/>
      <c r="E394" s="93"/>
      <c r="F394" s="93"/>
      <c r="G394" s="106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</row>
    <row r="395" ht="33.0" customHeight="1">
      <c r="A395" s="50"/>
      <c r="B395" s="93"/>
      <c r="C395" s="93"/>
      <c r="D395" s="106"/>
      <c r="E395" s="93"/>
      <c r="F395" s="93"/>
      <c r="G395" s="106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</row>
    <row r="396" ht="33.0" customHeight="1">
      <c r="A396" s="50"/>
      <c r="B396" s="93"/>
      <c r="C396" s="93"/>
      <c r="D396" s="106"/>
      <c r="E396" s="93"/>
      <c r="F396" s="93"/>
      <c r="G396" s="106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</row>
    <row r="397" ht="33.0" customHeight="1">
      <c r="A397" s="50"/>
      <c r="B397" s="93"/>
      <c r="C397" s="93"/>
      <c r="D397" s="106"/>
      <c r="E397" s="93"/>
      <c r="F397" s="93"/>
      <c r="G397" s="106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</row>
    <row r="398" ht="33.0" customHeight="1">
      <c r="A398" s="50"/>
      <c r="B398" s="93"/>
      <c r="C398" s="93"/>
      <c r="D398" s="106"/>
      <c r="E398" s="93"/>
      <c r="F398" s="93"/>
      <c r="G398" s="106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</row>
    <row r="399" ht="33.0" customHeight="1">
      <c r="A399" s="50"/>
      <c r="B399" s="93"/>
      <c r="C399" s="93"/>
      <c r="D399" s="106"/>
      <c r="E399" s="93"/>
      <c r="F399" s="93"/>
      <c r="G399" s="106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</row>
    <row r="400" ht="33.0" customHeight="1">
      <c r="A400" s="50"/>
      <c r="B400" s="93"/>
      <c r="C400" s="93"/>
      <c r="D400" s="106"/>
      <c r="E400" s="93"/>
      <c r="F400" s="93"/>
      <c r="G400" s="106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</row>
    <row r="401" ht="33.0" customHeight="1">
      <c r="A401" s="50"/>
      <c r="B401" s="93"/>
      <c r="C401" s="93"/>
      <c r="D401" s="106"/>
      <c r="E401" s="93"/>
      <c r="F401" s="93"/>
      <c r="G401" s="106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</row>
    <row r="402" ht="33.0" customHeight="1">
      <c r="A402" s="50"/>
      <c r="B402" s="93"/>
      <c r="C402" s="93"/>
      <c r="D402" s="106"/>
      <c r="E402" s="93"/>
      <c r="F402" s="93"/>
      <c r="G402" s="106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</row>
    <row r="403" ht="33.0" customHeight="1">
      <c r="A403" s="50"/>
      <c r="B403" s="93"/>
      <c r="C403" s="93"/>
      <c r="D403" s="106"/>
      <c r="E403" s="93"/>
      <c r="F403" s="93"/>
      <c r="G403" s="106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</row>
    <row r="404" ht="33.0" customHeight="1">
      <c r="A404" s="50"/>
      <c r="B404" s="93"/>
      <c r="C404" s="93"/>
      <c r="D404" s="106"/>
      <c r="E404" s="93"/>
      <c r="F404" s="93"/>
      <c r="G404" s="106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</row>
    <row r="405" ht="33.0" customHeight="1">
      <c r="A405" s="50"/>
      <c r="B405" s="93"/>
      <c r="C405" s="93"/>
      <c r="D405" s="106"/>
      <c r="E405" s="93"/>
      <c r="F405" s="93"/>
      <c r="G405" s="106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</row>
    <row r="406" ht="33.0" customHeight="1">
      <c r="A406" s="50"/>
      <c r="B406" s="93"/>
      <c r="C406" s="93"/>
      <c r="D406" s="106"/>
      <c r="E406" s="93"/>
      <c r="F406" s="93"/>
      <c r="G406" s="106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</row>
    <row r="407" ht="33.0" customHeight="1">
      <c r="A407" s="50"/>
      <c r="B407" s="93"/>
      <c r="C407" s="93"/>
      <c r="D407" s="106"/>
      <c r="E407" s="93"/>
      <c r="F407" s="93"/>
      <c r="G407" s="106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</row>
    <row r="408" ht="33.0" customHeight="1">
      <c r="A408" s="50"/>
      <c r="B408" s="93"/>
      <c r="C408" s="93"/>
      <c r="D408" s="106"/>
      <c r="E408" s="93"/>
      <c r="F408" s="93"/>
      <c r="G408" s="106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</row>
    <row r="409" ht="33.0" customHeight="1">
      <c r="A409" s="50"/>
      <c r="B409" s="93"/>
      <c r="C409" s="93"/>
      <c r="D409" s="106"/>
      <c r="E409" s="93"/>
      <c r="F409" s="93"/>
      <c r="G409" s="106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</row>
    <row r="410" ht="33.0" customHeight="1">
      <c r="A410" s="50"/>
      <c r="B410" s="93"/>
      <c r="C410" s="93"/>
      <c r="D410" s="106"/>
      <c r="E410" s="93"/>
      <c r="F410" s="93"/>
      <c r="G410" s="106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</row>
    <row r="411" ht="33.0" customHeight="1">
      <c r="A411" s="50"/>
      <c r="B411" s="93"/>
      <c r="C411" s="93"/>
      <c r="D411" s="106"/>
      <c r="E411" s="93"/>
      <c r="F411" s="93"/>
      <c r="G411" s="106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</row>
    <row r="412" ht="33.0" customHeight="1">
      <c r="A412" s="50"/>
      <c r="B412" s="93"/>
      <c r="C412" s="93"/>
      <c r="D412" s="106"/>
      <c r="E412" s="93"/>
      <c r="F412" s="93"/>
      <c r="G412" s="106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</row>
    <row r="413" ht="33.0" customHeight="1">
      <c r="A413" s="50"/>
      <c r="B413" s="93"/>
      <c r="C413" s="93"/>
      <c r="D413" s="106"/>
      <c r="E413" s="93"/>
      <c r="F413" s="93"/>
      <c r="G413" s="106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</row>
    <row r="414" ht="33.0" customHeight="1">
      <c r="A414" s="50"/>
      <c r="B414" s="93"/>
      <c r="C414" s="93"/>
      <c r="D414" s="106"/>
      <c r="E414" s="93"/>
      <c r="F414" s="93"/>
      <c r="G414" s="106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</row>
    <row r="415" ht="33.0" customHeight="1">
      <c r="A415" s="50"/>
      <c r="B415" s="93"/>
      <c r="C415" s="93"/>
      <c r="D415" s="106"/>
      <c r="E415" s="93"/>
      <c r="F415" s="93"/>
      <c r="G415" s="106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</row>
    <row r="416" ht="33.0" customHeight="1">
      <c r="A416" s="50"/>
      <c r="B416" s="93"/>
      <c r="C416" s="93"/>
      <c r="D416" s="106"/>
      <c r="E416" s="93"/>
      <c r="F416" s="93"/>
      <c r="G416" s="106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</row>
    <row r="417" ht="33.0" customHeight="1">
      <c r="A417" s="50"/>
      <c r="B417" s="93"/>
      <c r="C417" s="93"/>
      <c r="D417" s="106"/>
      <c r="E417" s="93"/>
      <c r="F417" s="93"/>
      <c r="G417" s="106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</row>
    <row r="418" ht="33.0" customHeight="1">
      <c r="A418" s="50"/>
      <c r="B418" s="93"/>
      <c r="C418" s="93"/>
      <c r="D418" s="106"/>
      <c r="E418" s="93"/>
      <c r="F418" s="93"/>
      <c r="G418" s="106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</row>
    <row r="419" ht="33.0" customHeight="1">
      <c r="A419" s="50"/>
      <c r="B419" s="93"/>
      <c r="C419" s="93"/>
      <c r="D419" s="106"/>
      <c r="E419" s="93"/>
      <c r="F419" s="93"/>
      <c r="G419" s="106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</row>
    <row r="420" ht="33.0" customHeight="1">
      <c r="A420" s="50"/>
      <c r="B420" s="93"/>
      <c r="C420" s="93"/>
      <c r="D420" s="106"/>
      <c r="E420" s="93"/>
      <c r="F420" s="93"/>
      <c r="G420" s="106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</row>
    <row r="421" ht="33.0" customHeight="1">
      <c r="A421" s="50"/>
      <c r="B421" s="93"/>
      <c r="C421" s="93"/>
      <c r="D421" s="106"/>
      <c r="E421" s="93"/>
      <c r="F421" s="93"/>
      <c r="G421" s="106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</row>
    <row r="422" ht="33.0" customHeight="1">
      <c r="A422" s="50"/>
      <c r="B422" s="93"/>
      <c r="C422" s="93"/>
      <c r="D422" s="106"/>
      <c r="E422" s="93"/>
      <c r="F422" s="93"/>
      <c r="G422" s="106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</row>
    <row r="423" ht="33.0" customHeight="1">
      <c r="A423" s="50"/>
      <c r="B423" s="93"/>
      <c r="C423" s="93"/>
      <c r="D423" s="106"/>
      <c r="E423" s="93"/>
      <c r="F423" s="93"/>
      <c r="G423" s="106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</row>
    <row r="424" ht="33.0" customHeight="1">
      <c r="A424" s="50"/>
      <c r="B424" s="93"/>
      <c r="C424" s="93"/>
      <c r="D424" s="106"/>
      <c r="E424" s="93"/>
      <c r="F424" s="93"/>
      <c r="G424" s="106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</row>
    <row r="425" ht="33.0" customHeight="1">
      <c r="A425" s="50"/>
      <c r="B425" s="93"/>
      <c r="C425" s="93"/>
      <c r="D425" s="106"/>
      <c r="E425" s="93"/>
      <c r="F425" s="93"/>
      <c r="G425" s="106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</row>
    <row r="426" ht="33.0" customHeight="1">
      <c r="A426" s="50"/>
      <c r="B426" s="93"/>
      <c r="C426" s="93"/>
      <c r="D426" s="106"/>
      <c r="E426" s="93"/>
      <c r="F426" s="93"/>
      <c r="G426" s="106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</row>
    <row r="427" ht="33.0" customHeight="1">
      <c r="A427" s="50"/>
      <c r="B427" s="93"/>
      <c r="C427" s="93"/>
      <c r="D427" s="106"/>
      <c r="E427" s="93"/>
      <c r="F427" s="93"/>
      <c r="G427" s="106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</row>
    <row r="428" ht="33.0" customHeight="1">
      <c r="A428" s="50"/>
      <c r="B428" s="93"/>
      <c r="C428" s="93"/>
      <c r="D428" s="106"/>
      <c r="E428" s="93"/>
      <c r="F428" s="93"/>
      <c r="G428" s="106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</row>
    <row r="429" ht="33.0" customHeight="1">
      <c r="A429" s="50"/>
      <c r="B429" s="93"/>
      <c r="C429" s="93"/>
      <c r="D429" s="106"/>
      <c r="E429" s="93"/>
      <c r="F429" s="93"/>
      <c r="G429" s="106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</row>
    <row r="430" ht="33.0" customHeight="1">
      <c r="A430" s="50"/>
      <c r="B430" s="93"/>
      <c r="C430" s="93"/>
      <c r="D430" s="106"/>
      <c r="E430" s="93"/>
      <c r="F430" s="93"/>
      <c r="G430" s="106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</row>
    <row r="431" ht="33.0" customHeight="1">
      <c r="A431" s="50"/>
      <c r="B431" s="93"/>
      <c r="C431" s="93"/>
      <c r="D431" s="106"/>
      <c r="E431" s="93"/>
      <c r="F431" s="93"/>
      <c r="G431" s="106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</row>
    <row r="432" ht="33.0" customHeight="1">
      <c r="A432" s="50"/>
      <c r="B432" s="93"/>
      <c r="C432" s="93"/>
      <c r="D432" s="106"/>
      <c r="E432" s="93"/>
      <c r="F432" s="93"/>
      <c r="G432" s="106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</row>
    <row r="433" ht="33.0" customHeight="1">
      <c r="A433" s="50"/>
      <c r="B433" s="93"/>
      <c r="C433" s="93"/>
      <c r="D433" s="106"/>
      <c r="E433" s="93"/>
      <c r="F433" s="93"/>
      <c r="G433" s="106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</row>
    <row r="434" ht="33.0" customHeight="1">
      <c r="A434" s="50"/>
      <c r="B434" s="93"/>
      <c r="C434" s="93"/>
      <c r="D434" s="106"/>
      <c r="E434" s="93"/>
      <c r="F434" s="93"/>
      <c r="G434" s="106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</row>
    <row r="435" ht="33.0" customHeight="1">
      <c r="A435" s="50"/>
      <c r="B435" s="93"/>
      <c r="C435" s="93"/>
      <c r="D435" s="106"/>
      <c r="E435" s="93"/>
      <c r="F435" s="93"/>
      <c r="G435" s="106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</row>
    <row r="436" ht="33.0" customHeight="1">
      <c r="A436" s="50"/>
      <c r="B436" s="93"/>
      <c r="C436" s="93"/>
      <c r="D436" s="106"/>
      <c r="E436" s="93"/>
      <c r="F436" s="93"/>
      <c r="G436" s="106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</row>
    <row r="437" ht="33.0" customHeight="1">
      <c r="A437" s="50"/>
      <c r="B437" s="93"/>
      <c r="C437" s="93"/>
      <c r="D437" s="106"/>
      <c r="E437" s="93"/>
      <c r="F437" s="93"/>
      <c r="G437" s="106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</row>
    <row r="438" ht="33.0" customHeight="1">
      <c r="A438" s="50"/>
      <c r="B438" s="93"/>
      <c r="C438" s="93"/>
      <c r="D438" s="106"/>
      <c r="E438" s="93"/>
      <c r="F438" s="93"/>
      <c r="G438" s="106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</row>
    <row r="439" ht="33.0" customHeight="1">
      <c r="A439" s="50"/>
      <c r="B439" s="93"/>
      <c r="C439" s="93"/>
      <c r="D439" s="106"/>
      <c r="E439" s="93"/>
      <c r="F439" s="93"/>
      <c r="G439" s="106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</row>
    <row r="440" ht="33.0" customHeight="1">
      <c r="A440" s="50"/>
      <c r="B440" s="93"/>
      <c r="C440" s="93"/>
      <c r="D440" s="106"/>
      <c r="E440" s="93"/>
      <c r="F440" s="93"/>
      <c r="G440" s="106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</row>
    <row r="441" ht="33.0" customHeight="1">
      <c r="A441" s="50"/>
      <c r="B441" s="93"/>
      <c r="C441" s="93"/>
      <c r="D441" s="106"/>
      <c r="E441" s="93"/>
      <c r="F441" s="93"/>
      <c r="G441" s="106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</row>
    <row r="442" ht="33.0" customHeight="1">
      <c r="A442" s="50"/>
      <c r="B442" s="93"/>
      <c r="C442" s="93"/>
      <c r="D442" s="106"/>
      <c r="E442" s="93"/>
      <c r="F442" s="93"/>
      <c r="G442" s="106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</row>
    <row r="443" ht="33.0" customHeight="1">
      <c r="A443" s="50"/>
      <c r="B443" s="93"/>
      <c r="C443" s="93"/>
      <c r="D443" s="106"/>
      <c r="E443" s="93"/>
      <c r="F443" s="93"/>
      <c r="G443" s="106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</row>
    <row r="444" ht="33.0" customHeight="1">
      <c r="A444" s="50"/>
      <c r="B444" s="93"/>
      <c r="C444" s="93"/>
      <c r="D444" s="106"/>
      <c r="E444" s="93"/>
      <c r="F444" s="93"/>
      <c r="G444" s="106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</row>
    <row r="445" ht="33.0" customHeight="1">
      <c r="A445" s="50"/>
      <c r="B445" s="93"/>
      <c r="C445" s="93"/>
      <c r="D445" s="106"/>
      <c r="E445" s="93"/>
      <c r="F445" s="93"/>
      <c r="G445" s="106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</row>
    <row r="446" ht="33.0" customHeight="1">
      <c r="A446" s="50"/>
      <c r="B446" s="93"/>
      <c r="C446" s="93"/>
      <c r="D446" s="106"/>
      <c r="E446" s="93"/>
      <c r="F446" s="93"/>
      <c r="G446" s="106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</row>
    <row r="447" ht="33.0" customHeight="1">
      <c r="A447" s="50"/>
      <c r="B447" s="93"/>
      <c r="C447" s="93"/>
      <c r="D447" s="106"/>
      <c r="E447" s="93"/>
      <c r="F447" s="93"/>
      <c r="G447" s="106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</row>
    <row r="448" ht="33.0" customHeight="1">
      <c r="A448" s="50"/>
      <c r="B448" s="93"/>
      <c r="C448" s="93"/>
      <c r="D448" s="106"/>
      <c r="E448" s="93"/>
      <c r="F448" s="93"/>
      <c r="G448" s="106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</row>
    <row r="449" ht="33.0" customHeight="1">
      <c r="A449" s="50"/>
      <c r="B449" s="93"/>
      <c r="C449" s="93"/>
      <c r="D449" s="106"/>
      <c r="E449" s="93"/>
      <c r="F449" s="93"/>
      <c r="G449" s="106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</row>
    <row r="450" ht="33.0" customHeight="1">
      <c r="A450" s="50"/>
      <c r="B450" s="93"/>
      <c r="C450" s="93"/>
      <c r="D450" s="106"/>
      <c r="E450" s="93"/>
      <c r="F450" s="93"/>
      <c r="G450" s="106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</row>
    <row r="451" ht="33.0" customHeight="1">
      <c r="A451" s="50"/>
      <c r="B451" s="93"/>
      <c r="C451" s="93"/>
      <c r="D451" s="106"/>
      <c r="E451" s="93"/>
      <c r="F451" s="93"/>
      <c r="G451" s="106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</row>
    <row r="452" ht="33.0" customHeight="1">
      <c r="A452" s="50"/>
      <c r="B452" s="93"/>
      <c r="C452" s="93"/>
      <c r="D452" s="106"/>
      <c r="E452" s="93"/>
      <c r="F452" s="93"/>
      <c r="G452" s="106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</row>
    <row r="453" ht="33.0" customHeight="1">
      <c r="A453" s="50"/>
      <c r="B453" s="93"/>
      <c r="C453" s="93"/>
      <c r="D453" s="106"/>
      <c r="E453" s="93"/>
      <c r="F453" s="93"/>
      <c r="G453" s="106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</row>
    <row r="454" ht="33.0" customHeight="1">
      <c r="A454" s="50"/>
      <c r="B454" s="93"/>
      <c r="C454" s="93"/>
      <c r="D454" s="106"/>
      <c r="E454" s="93"/>
      <c r="F454" s="93"/>
      <c r="G454" s="106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</row>
    <row r="455" ht="33.0" customHeight="1">
      <c r="A455" s="50"/>
      <c r="B455" s="93"/>
      <c r="C455" s="93"/>
      <c r="D455" s="106"/>
      <c r="E455" s="93"/>
      <c r="F455" s="93"/>
      <c r="G455" s="106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</row>
    <row r="456" ht="33.0" customHeight="1">
      <c r="A456" s="50"/>
      <c r="B456" s="93"/>
      <c r="C456" s="93"/>
      <c r="D456" s="106"/>
      <c r="E456" s="93"/>
      <c r="F456" s="93"/>
      <c r="G456" s="106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</row>
    <row r="457" ht="33.0" customHeight="1">
      <c r="A457" s="50"/>
      <c r="B457" s="93"/>
      <c r="C457" s="93"/>
      <c r="D457" s="106"/>
      <c r="E457" s="93"/>
      <c r="F457" s="93"/>
      <c r="G457" s="106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</row>
    <row r="458" ht="33.0" customHeight="1">
      <c r="A458" s="50"/>
      <c r="B458" s="93"/>
      <c r="C458" s="93"/>
      <c r="D458" s="106"/>
      <c r="E458" s="93"/>
      <c r="F458" s="93"/>
      <c r="G458" s="106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</row>
    <row r="459" ht="33.0" customHeight="1">
      <c r="A459" s="50"/>
      <c r="B459" s="93"/>
      <c r="C459" s="93"/>
      <c r="D459" s="106"/>
      <c r="E459" s="93"/>
      <c r="F459" s="93"/>
      <c r="G459" s="106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</row>
    <row r="460" ht="33.0" customHeight="1">
      <c r="A460" s="50"/>
      <c r="B460" s="93"/>
      <c r="C460" s="93"/>
      <c r="D460" s="106"/>
      <c r="E460" s="93"/>
      <c r="F460" s="93"/>
      <c r="G460" s="106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</row>
    <row r="461" ht="33.0" customHeight="1">
      <c r="A461" s="50"/>
      <c r="B461" s="93"/>
      <c r="C461" s="93"/>
      <c r="D461" s="106"/>
      <c r="E461" s="93"/>
      <c r="F461" s="93"/>
      <c r="G461" s="106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</row>
    <row r="462" ht="33.0" customHeight="1">
      <c r="A462" s="50"/>
      <c r="B462" s="93"/>
      <c r="C462" s="93"/>
      <c r="D462" s="106"/>
      <c r="E462" s="93"/>
      <c r="F462" s="93"/>
      <c r="G462" s="106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</row>
    <row r="463" ht="33.0" customHeight="1">
      <c r="A463" s="50"/>
      <c r="B463" s="93"/>
      <c r="C463" s="93"/>
      <c r="D463" s="106"/>
      <c r="E463" s="93"/>
      <c r="F463" s="93"/>
      <c r="G463" s="106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</row>
    <row r="464" ht="33.0" customHeight="1">
      <c r="A464" s="50"/>
      <c r="B464" s="93"/>
      <c r="C464" s="93"/>
      <c r="D464" s="106"/>
      <c r="E464" s="93"/>
      <c r="F464" s="93"/>
      <c r="G464" s="106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</row>
    <row r="465" ht="33.0" customHeight="1">
      <c r="A465" s="50"/>
      <c r="B465" s="93"/>
      <c r="C465" s="93"/>
      <c r="D465" s="106"/>
      <c r="E465" s="93"/>
      <c r="F465" s="93"/>
      <c r="G465" s="106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</row>
    <row r="466" ht="33.0" customHeight="1">
      <c r="A466" s="50"/>
      <c r="B466" s="93"/>
      <c r="C466" s="93"/>
      <c r="D466" s="106"/>
      <c r="E466" s="93"/>
      <c r="F466" s="93"/>
      <c r="G466" s="106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</row>
    <row r="467" ht="33.0" customHeight="1">
      <c r="A467" s="50"/>
      <c r="B467" s="93"/>
      <c r="C467" s="93"/>
      <c r="D467" s="106"/>
      <c r="E467" s="93"/>
      <c r="F467" s="93"/>
      <c r="G467" s="106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</row>
    <row r="468" ht="33.0" customHeight="1">
      <c r="A468" s="50"/>
      <c r="B468" s="93"/>
      <c r="C468" s="93"/>
      <c r="D468" s="106"/>
      <c r="E468" s="93"/>
      <c r="F468" s="93"/>
      <c r="G468" s="106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</row>
    <row r="469" ht="33.0" customHeight="1">
      <c r="A469" s="50"/>
      <c r="B469" s="93"/>
      <c r="C469" s="93"/>
      <c r="D469" s="106"/>
      <c r="E469" s="93"/>
      <c r="F469" s="93"/>
      <c r="G469" s="106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</row>
    <row r="470" ht="33.0" customHeight="1">
      <c r="A470" s="50"/>
      <c r="B470" s="93"/>
      <c r="C470" s="93"/>
      <c r="D470" s="106"/>
      <c r="E470" s="93"/>
      <c r="F470" s="93"/>
      <c r="G470" s="106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</row>
    <row r="471" ht="33.0" customHeight="1">
      <c r="A471" s="50"/>
      <c r="B471" s="93"/>
      <c r="C471" s="93"/>
      <c r="D471" s="106"/>
      <c r="E471" s="93"/>
      <c r="F471" s="93"/>
      <c r="G471" s="106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</row>
    <row r="472" ht="33.0" customHeight="1">
      <c r="A472" s="50"/>
      <c r="B472" s="93"/>
      <c r="C472" s="93"/>
      <c r="D472" s="106"/>
      <c r="E472" s="93"/>
      <c r="F472" s="93"/>
      <c r="G472" s="106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</row>
    <row r="473" ht="33.0" customHeight="1">
      <c r="A473" s="50"/>
      <c r="B473" s="93"/>
      <c r="C473" s="93"/>
      <c r="D473" s="106"/>
      <c r="E473" s="93"/>
      <c r="F473" s="93"/>
      <c r="G473" s="106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</row>
    <row r="474" ht="33.0" customHeight="1">
      <c r="A474" s="50"/>
      <c r="B474" s="93"/>
      <c r="C474" s="93"/>
      <c r="D474" s="106"/>
      <c r="E474" s="93"/>
      <c r="F474" s="93"/>
      <c r="G474" s="106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</row>
    <row r="475" ht="33.0" customHeight="1">
      <c r="A475" s="50"/>
      <c r="B475" s="93"/>
      <c r="C475" s="93"/>
      <c r="D475" s="106"/>
      <c r="E475" s="93"/>
      <c r="F475" s="93"/>
      <c r="G475" s="106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</row>
    <row r="476" ht="33.0" customHeight="1">
      <c r="A476" s="50"/>
      <c r="B476" s="93"/>
      <c r="C476" s="93"/>
      <c r="D476" s="106"/>
      <c r="E476" s="93"/>
      <c r="F476" s="93"/>
      <c r="G476" s="106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</row>
    <row r="477" ht="33.0" customHeight="1">
      <c r="A477" s="50"/>
      <c r="B477" s="93"/>
      <c r="C477" s="93"/>
      <c r="D477" s="106"/>
      <c r="E477" s="93"/>
      <c r="F477" s="93"/>
      <c r="G477" s="106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</row>
    <row r="478" ht="33.0" customHeight="1">
      <c r="A478" s="50"/>
      <c r="B478" s="93"/>
      <c r="C478" s="93"/>
      <c r="D478" s="106"/>
      <c r="E478" s="93"/>
      <c r="F478" s="93"/>
      <c r="G478" s="106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</row>
    <row r="479" ht="33.0" customHeight="1">
      <c r="A479" s="50"/>
      <c r="B479" s="93"/>
      <c r="C479" s="93"/>
      <c r="D479" s="106"/>
      <c r="E479" s="93"/>
      <c r="F479" s="93"/>
      <c r="G479" s="106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</row>
    <row r="480" ht="33.0" customHeight="1">
      <c r="A480" s="50"/>
      <c r="B480" s="93"/>
      <c r="C480" s="93"/>
      <c r="D480" s="106"/>
      <c r="E480" s="93"/>
      <c r="F480" s="93"/>
      <c r="G480" s="106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</row>
    <row r="481" ht="33.0" customHeight="1">
      <c r="A481" s="50"/>
      <c r="B481" s="93"/>
      <c r="C481" s="93"/>
      <c r="D481" s="106"/>
      <c r="E481" s="93"/>
      <c r="F481" s="93"/>
      <c r="G481" s="106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</row>
    <row r="482" ht="33.0" customHeight="1">
      <c r="A482" s="50"/>
      <c r="B482" s="93"/>
      <c r="C482" s="93"/>
      <c r="D482" s="106"/>
      <c r="E482" s="93"/>
      <c r="F482" s="93"/>
      <c r="G482" s="106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</row>
    <row r="483" ht="33.0" customHeight="1">
      <c r="A483" s="50"/>
      <c r="B483" s="93"/>
      <c r="C483" s="93"/>
      <c r="D483" s="106"/>
      <c r="E483" s="93"/>
      <c r="F483" s="93"/>
      <c r="G483" s="106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</row>
    <row r="484" ht="33.0" customHeight="1">
      <c r="A484" s="50"/>
      <c r="B484" s="93"/>
      <c r="C484" s="93"/>
      <c r="D484" s="106"/>
      <c r="E484" s="93"/>
      <c r="F484" s="93"/>
      <c r="G484" s="106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</row>
    <row r="485" ht="33.0" customHeight="1">
      <c r="A485" s="50"/>
      <c r="B485" s="93"/>
      <c r="C485" s="93"/>
      <c r="D485" s="106"/>
      <c r="E485" s="93"/>
      <c r="F485" s="93"/>
      <c r="G485" s="106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</row>
    <row r="486" ht="33.0" customHeight="1">
      <c r="A486" s="50"/>
      <c r="B486" s="93"/>
      <c r="C486" s="93"/>
      <c r="D486" s="106"/>
      <c r="E486" s="93"/>
      <c r="F486" s="93"/>
      <c r="G486" s="106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</row>
    <row r="487" ht="33.0" customHeight="1">
      <c r="A487" s="50"/>
      <c r="B487" s="93"/>
      <c r="C487" s="93"/>
      <c r="D487" s="106"/>
      <c r="E487" s="93"/>
      <c r="F487" s="93"/>
      <c r="G487" s="106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</row>
    <row r="488" ht="33.0" customHeight="1">
      <c r="A488" s="50"/>
      <c r="B488" s="93"/>
      <c r="C488" s="93"/>
      <c r="D488" s="106"/>
      <c r="E488" s="93"/>
      <c r="F488" s="93"/>
      <c r="G488" s="106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</row>
    <row r="489" ht="33.0" customHeight="1">
      <c r="A489" s="50"/>
      <c r="B489" s="93"/>
      <c r="C489" s="93"/>
      <c r="D489" s="106"/>
      <c r="E489" s="93"/>
      <c r="F489" s="93"/>
      <c r="G489" s="106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</row>
    <row r="490" ht="33.0" customHeight="1">
      <c r="A490" s="50"/>
      <c r="B490" s="93"/>
      <c r="C490" s="93"/>
      <c r="D490" s="106"/>
      <c r="E490" s="93"/>
      <c r="F490" s="93"/>
      <c r="G490" s="106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</row>
    <row r="491" ht="33.0" customHeight="1">
      <c r="A491" s="50"/>
      <c r="B491" s="93"/>
      <c r="C491" s="93"/>
      <c r="D491" s="106"/>
      <c r="E491" s="93"/>
      <c r="F491" s="93"/>
      <c r="G491" s="106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</row>
    <row r="492" ht="33.0" customHeight="1">
      <c r="A492" s="50"/>
      <c r="B492" s="93"/>
      <c r="C492" s="93"/>
      <c r="D492" s="106"/>
      <c r="E492" s="93"/>
      <c r="F492" s="93"/>
      <c r="G492" s="106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</row>
    <row r="493" ht="33.0" customHeight="1">
      <c r="A493" s="50"/>
      <c r="B493" s="93"/>
      <c r="C493" s="93"/>
      <c r="D493" s="106"/>
      <c r="E493" s="93"/>
      <c r="F493" s="93"/>
      <c r="G493" s="106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</row>
    <row r="494" ht="33.0" customHeight="1">
      <c r="A494" s="50"/>
      <c r="B494" s="93"/>
      <c r="C494" s="93"/>
      <c r="D494" s="106"/>
      <c r="E494" s="93"/>
      <c r="F494" s="93"/>
      <c r="G494" s="106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</row>
    <row r="495" ht="33.0" customHeight="1">
      <c r="A495" s="50"/>
      <c r="B495" s="93"/>
      <c r="C495" s="93"/>
      <c r="D495" s="106"/>
      <c r="E495" s="93"/>
      <c r="F495" s="93"/>
      <c r="G495" s="106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</row>
    <row r="496" ht="33.0" customHeight="1">
      <c r="A496" s="50"/>
      <c r="B496" s="93"/>
      <c r="C496" s="93"/>
      <c r="D496" s="106"/>
      <c r="E496" s="93"/>
      <c r="F496" s="93"/>
      <c r="G496" s="106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</row>
    <row r="497" ht="33.0" customHeight="1">
      <c r="A497" s="50"/>
      <c r="B497" s="93"/>
      <c r="C497" s="93"/>
      <c r="D497" s="106"/>
      <c r="E497" s="93"/>
      <c r="F497" s="93"/>
      <c r="G497" s="106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</row>
    <row r="498" ht="33.0" customHeight="1">
      <c r="A498" s="50"/>
      <c r="B498" s="93"/>
      <c r="C498" s="93"/>
      <c r="D498" s="106"/>
      <c r="E498" s="93"/>
      <c r="F498" s="93"/>
      <c r="G498" s="106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</row>
    <row r="499" ht="33.0" customHeight="1">
      <c r="A499" s="50"/>
      <c r="B499" s="93"/>
      <c r="C499" s="93"/>
      <c r="D499" s="106"/>
      <c r="E499" s="93"/>
      <c r="F499" s="93"/>
      <c r="G499" s="106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</row>
    <row r="500" ht="33.0" customHeight="1">
      <c r="A500" s="50"/>
      <c r="B500" s="93"/>
      <c r="C500" s="93"/>
      <c r="D500" s="106"/>
      <c r="E500" s="93"/>
      <c r="F500" s="93"/>
      <c r="G500" s="106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</row>
    <row r="501" ht="33.0" customHeight="1">
      <c r="A501" s="50"/>
      <c r="B501" s="93"/>
      <c r="C501" s="93"/>
      <c r="D501" s="106"/>
      <c r="E501" s="93"/>
      <c r="F501" s="93"/>
      <c r="G501" s="106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</row>
    <row r="502" ht="33.0" customHeight="1">
      <c r="A502" s="50"/>
      <c r="B502" s="93"/>
      <c r="C502" s="93"/>
      <c r="D502" s="106"/>
      <c r="E502" s="93"/>
      <c r="F502" s="93"/>
      <c r="G502" s="106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</row>
    <row r="503" ht="33.0" customHeight="1">
      <c r="A503" s="50"/>
      <c r="B503" s="93"/>
      <c r="C503" s="93"/>
      <c r="D503" s="106"/>
      <c r="E503" s="93"/>
      <c r="F503" s="93"/>
      <c r="G503" s="106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</row>
    <row r="504" ht="33.0" customHeight="1">
      <c r="A504" s="50"/>
      <c r="B504" s="93"/>
      <c r="C504" s="93"/>
      <c r="D504" s="106"/>
      <c r="E504" s="93"/>
      <c r="F504" s="93"/>
      <c r="G504" s="106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</row>
    <row r="505" ht="33.0" customHeight="1">
      <c r="A505" s="50"/>
      <c r="B505" s="93"/>
      <c r="C505" s="93"/>
      <c r="D505" s="106"/>
      <c r="E505" s="93"/>
      <c r="F505" s="93"/>
      <c r="G505" s="106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</row>
    <row r="506" ht="33.0" customHeight="1">
      <c r="A506" s="50"/>
      <c r="B506" s="93"/>
      <c r="C506" s="93"/>
      <c r="D506" s="106"/>
      <c r="E506" s="93"/>
      <c r="F506" s="93"/>
      <c r="G506" s="106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</row>
    <row r="507" ht="33.0" customHeight="1">
      <c r="A507" s="50"/>
      <c r="B507" s="93"/>
      <c r="C507" s="93"/>
      <c r="D507" s="106"/>
      <c r="E507" s="93"/>
      <c r="F507" s="93"/>
      <c r="G507" s="106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</row>
    <row r="508" ht="33.0" customHeight="1">
      <c r="A508" s="50"/>
      <c r="B508" s="93"/>
      <c r="C508" s="93"/>
      <c r="D508" s="106"/>
      <c r="E508" s="93"/>
      <c r="F508" s="93"/>
      <c r="G508" s="106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</row>
    <row r="509" ht="33.0" customHeight="1">
      <c r="A509" s="50"/>
      <c r="B509" s="93"/>
      <c r="C509" s="93"/>
      <c r="D509" s="106"/>
      <c r="E509" s="93"/>
      <c r="F509" s="93"/>
      <c r="G509" s="106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</row>
    <row r="510" ht="33.0" customHeight="1">
      <c r="A510" s="50"/>
      <c r="B510" s="93"/>
      <c r="C510" s="93"/>
      <c r="D510" s="106"/>
      <c r="E510" s="93"/>
      <c r="F510" s="93"/>
      <c r="G510" s="106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</row>
    <row r="511" ht="33.0" customHeight="1">
      <c r="A511" s="50"/>
      <c r="B511" s="93"/>
      <c r="C511" s="93"/>
      <c r="D511" s="106"/>
      <c r="E511" s="93"/>
      <c r="F511" s="93"/>
      <c r="G511" s="106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</row>
    <row r="512" ht="33.0" customHeight="1">
      <c r="A512" s="50"/>
      <c r="B512" s="93"/>
      <c r="C512" s="93"/>
      <c r="D512" s="106"/>
      <c r="E512" s="93"/>
      <c r="F512" s="93"/>
      <c r="G512" s="106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</row>
    <row r="513" ht="33.0" customHeight="1">
      <c r="A513" s="50"/>
      <c r="B513" s="93"/>
      <c r="C513" s="93"/>
      <c r="D513" s="106"/>
      <c r="E513" s="93"/>
      <c r="F513" s="93"/>
      <c r="G513" s="106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</row>
    <row r="514" ht="33.0" customHeight="1">
      <c r="A514" s="50"/>
      <c r="B514" s="93"/>
      <c r="C514" s="93"/>
      <c r="D514" s="106"/>
      <c r="E514" s="93"/>
      <c r="F514" s="93"/>
      <c r="G514" s="106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</row>
    <row r="515" ht="33.0" customHeight="1">
      <c r="A515" s="50"/>
      <c r="B515" s="93"/>
      <c r="C515" s="93"/>
      <c r="D515" s="106"/>
      <c r="E515" s="93"/>
      <c r="F515" s="93"/>
      <c r="G515" s="106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</row>
    <row r="516" ht="33.0" customHeight="1">
      <c r="A516" s="50"/>
      <c r="B516" s="93"/>
      <c r="C516" s="93"/>
      <c r="D516" s="106"/>
      <c r="E516" s="93"/>
      <c r="F516" s="93"/>
      <c r="G516" s="106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</row>
    <row r="517" ht="33.0" customHeight="1">
      <c r="A517" s="50"/>
      <c r="B517" s="93"/>
      <c r="C517" s="93"/>
      <c r="D517" s="106"/>
      <c r="E517" s="93"/>
      <c r="F517" s="93"/>
      <c r="G517" s="106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</row>
    <row r="518" ht="33.0" customHeight="1">
      <c r="A518" s="50"/>
      <c r="B518" s="93"/>
      <c r="C518" s="93"/>
      <c r="D518" s="106"/>
      <c r="E518" s="93"/>
      <c r="F518" s="93"/>
      <c r="G518" s="106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</row>
    <row r="519" ht="33.0" customHeight="1">
      <c r="A519" s="50"/>
      <c r="B519" s="93"/>
      <c r="C519" s="93"/>
      <c r="D519" s="106"/>
      <c r="E519" s="93"/>
      <c r="F519" s="93"/>
      <c r="G519" s="106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</row>
    <row r="520" ht="33.0" customHeight="1">
      <c r="A520" s="50"/>
      <c r="B520" s="93"/>
      <c r="C520" s="93"/>
      <c r="D520" s="106"/>
      <c r="E520" s="93"/>
      <c r="F520" s="93"/>
      <c r="G520" s="106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</row>
    <row r="521" ht="33.0" customHeight="1">
      <c r="A521" s="50"/>
      <c r="B521" s="93"/>
      <c r="C521" s="93"/>
      <c r="D521" s="106"/>
      <c r="E521" s="93"/>
      <c r="F521" s="93"/>
      <c r="G521" s="106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</row>
    <row r="522" ht="33.0" customHeight="1">
      <c r="A522" s="50"/>
      <c r="B522" s="93"/>
      <c r="C522" s="93"/>
      <c r="D522" s="106"/>
      <c r="E522" s="93"/>
      <c r="F522" s="93"/>
      <c r="G522" s="106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</row>
    <row r="523" ht="33.0" customHeight="1">
      <c r="A523" s="50"/>
      <c r="B523" s="93"/>
      <c r="C523" s="93"/>
      <c r="D523" s="106"/>
      <c r="E523" s="93"/>
      <c r="F523" s="93"/>
      <c r="G523" s="106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</row>
    <row r="524" ht="33.0" customHeight="1">
      <c r="A524" s="50"/>
      <c r="B524" s="93"/>
      <c r="C524" s="93"/>
      <c r="D524" s="106"/>
      <c r="E524" s="93"/>
      <c r="F524" s="93"/>
      <c r="G524" s="106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</row>
    <row r="525" ht="33.0" customHeight="1">
      <c r="A525" s="50"/>
      <c r="B525" s="93"/>
      <c r="C525" s="93"/>
      <c r="D525" s="106"/>
      <c r="E525" s="93"/>
      <c r="F525" s="93"/>
      <c r="G525" s="106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</row>
    <row r="526" ht="33.0" customHeight="1">
      <c r="A526" s="50"/>
      <c r="B526" s="93"/>
      <c r="C526" s="93"/>
      <c r="D526" s="106"/>
      <c r="E526" s="93"/>
      <c r="F526" s="93"/>
      <c r="G526" s="106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</row>
    <row r="527" ht="33.0" customHeight="1">
      <c r="A527" s="50"/>
      <c r="B527" s="93"/>
      <c r="C527" s="93"/>
      <c r="D527" s="106"/>
      <c r="E527" s="93"/>
      <c r="F527" s="93"/>
      <c r="G527" s="106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</row>
    <row r="528" ht="33.0" customHeight="1">
      <c r="A528" s="50"/>
      <c r="B528" s="93"/>
      <c r="C528" s="93"/>
      <c r="D528" s="106"/>
      <c r="E528" s="93"/>
      <c r="F528" s="93"/>
      <c r="G528" s="106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</row>
    <row r="529" ht="33.0" customHeight="1">
      <c r="A529" s="50"/>
      <c r="B529" s="93"/>
      <c r="C529" s="93"/>
      <c r="D529" s="106"/>
      <c r="E529" s="93"/>
      <c r="F529" s="93"/>
      <c r="G529" s="106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</row>
    <row r="530" ht="33.0" customHeight="1">
      <c r="A530" s="50"/>
      <c r="B530" s="93"/>
      <c r="C530" s="93"/>
      <c r="D530" s="106"/>
      <c r="E530" s="93"/>
      <c r="F530" s="93"/>
      <c r="G530" s="106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</row>
    <row r="531" ht="33.0" customHeight="1">
      <c r="A531" s="50"/>
      <c r="B531" s="93"/>
      <c r="C531" s="93"/>
      <c r="D531" s="106"/>
      <c r="E531" s="93"/>
      <c r="F531" s="93"/>
      <c r="G531" s="106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</row>
    <row r="532" ht="33.0" customHeight="1">
      <c r="A532" s="50"/>
      <c r="B532" s="93"/>
      <c r="C532" s="93"/>
      <c r="D532" s="106"/>
      <c r="E532" s="93"/>
      <c r="F532" s="93"/>
      <c r="G532" s="106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</row>
    <row r="533" ht="33.0" customHeight="1">
      <c r="A533" s="50"/>
      <c r="B533" s="93"/>
      <c r="C533" s="93"/>
      <c r="D533" s="106"/>
      <c r="E533" s="93"/>
      <c r="F533" s="93"/>
      <c r="G533" s="106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</row>
    <row r="534" ht="33.0" customHeight="1">
      <c r="A534" s="50"/>
      <c r="B534" s="93"/>
      <c r="C534" s="93"/>
      <c r="D534" s="106"/>
      <c r="E534" s="93"/>
      <c r="F534" s="93"/>
      <c r="G534" s="106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</row>
    <row r="535" ht="33.0" customHeight="1">
      <c r="A535" s="50"/>
      <c r="B535" s="93"/>
      <c r="C535" s="93"/>
      <c r="D535" s="106"/>
      <c r="E535" s="93"/>
      <c r="F535" s="93"/>
      <c r="G535" s="106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</row>
    <row r="536" ht="33.0" customHeight="1">
      <c r="A536" s="50"/>
      <c r="B536" s="93"/>
      <c r="C536" s="93"/>
      <c r="D536" s="106"/>
      <c r="E536" s="93"/>
      <c r="F536" s="93"/>
      <c r="G536" s="106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</row>
    <row r="537" ht="33.0" customHeight="1">
      <c r="A537" s="50"/>
      <c r="B537" s="93"/>
      <c r="C537" s="93"/>
      <c r="D537" s="106"/>
      <c r="E537" s="93"/>
      <c r="F537" s="93"/>
      <c r="G537" s="106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</row>
    <row r="538" ht="33.0" customHeight="1">
      <c r="A538" s="50"/>
      <c r="B538" s="93"/>
      <c r="C538" s="93"/>
      <c r="D538" s="106"/>
      <c r="E538" s="93"/>
      <c r="F538" s="93"/>
      <c r="G538" s="106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</row>
    <row r="539" ht="33.0" customHeight="1">
      <c r="A539" s="50"/>
      <c r="B539" s="93"/>
      <c r="C539" s="93"/>
      <c r="D539" s="106"/>
      <c r="E539" s="93"/>
      <c r="F539" s="93"/>
      <c r="G539" s="106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</row>
    <row r="540" ht="33.0" customHeight="1">
      <c r="A540" s="50"/>
      <c r="B540" s="93"/>
      <c r="C540" s="93"/>
      <c r="D540" s="106"/>
      <c r="E540" s="93"/>
      <c r="F540" s="93"/>
      <c r="G540" s="106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</row>
    <row r="541" ht="33.0" customHeight="1">
      <c r="A541" s="50"/>
      <c r="B541" s="93"/>
      <c r="C541" s="93"/>
      <c r="D541" s="106"/>
      <c r="E541" s="93"/>
      <c r="F541" s="93"/>
      <c r="G541" s="106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</row>
    <row r="542" ht="33.0" customHeight="1">
      <c r="A542" s="50"/>
      <c r="B542" s="93"/>
      <c r="C542" s="93"/>
      <c r="D542" s="106"/>
      <c r="E542" s="93"/>
      <c r="F542" s="93"/>
      <c r="G542" s="106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</row>
    <row r="543" ht="33.0" customHeight="1">
      <c r="A543" s="50"/>
      <c r="B543" s="93"/>
      <c r="C543" s="93"/>
      <c r="D543" s="106"/>
      <c r="E543" s="93"/>
      <c r="F543" s="93"/>
      <c r="G543" s="106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</row>
    <row r="544" ht="33.0" customHeight="1">
      <c r="A544" s="50"/>
      <c r="B544" s="93"/>
      <c r="C544" s="93"/>
      <c r="D544" s="106"/>
      <c r="E544" s="93"/>
      <c r="F544" s="93"/>
      <c r="G544" s="106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</row>
    <row r="545" ht="33.0" customHeight="1">
      <c r="A545" s="50"/>
      <c r="B545" s="93"/>
      <c r="C545" s="93"/>
      <c r="D545" s="106"/>
      <c r="E545" s="93"/>
      <c r="F545" s="93"/>
      <c r="G545" s="106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</row>
    <row r="546" ht="33.0" customHeight="1">
      <c r="A546" s="50"/>
      <c r="B546" s="93"/>
      <c r="C546" s="93"/>
      <c r="D546" s="106"/>
      <c r="E546" s="93"/>
      <c r="F546" s="93"/>
      <c r="G546" s="106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</row>
    <row r="547" ht="33.0" customHeight="1">
      <c r="A547" s="50"/>
      <c r="B547" s="93"/>
      <c r="C547" s="93"/>
      <c r="D547" s="106"/>
      <c r="E547" s="93"/>
      <c r="F547" s="93"/>
      <c r="G547" s="106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</row>
    <row r="548" ht="33.0" customHeight="1">
      <c r="A548" s="50"/>
      <c r="B548" s="93"/>
      <c r="C548" s="93"/>
      <c r="D548" s="106"/>
      <c r="E548" s="93"/>
      <c r="F548" s="93"/>
      <c r="G548" s="106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</row>
    <row r="549" ht="33.0" customHeight="1">
      <c r="A549" s="50"/>
      <c r="B549" s="93"/>
      <c r="C549" s="93"/>
      <c r="D549" s="106"/>
      <c r="E549" s="93"/>
      <c r="F549" s="93"/>
      <c r="G549" s="106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</row>
    <row r="550" ht="33.0" customHeight="1">
      <c r="A550" s="50"/>
      <c r="B550" s="93"/>
      <c r="C550" s="93"/>
      <c r="D550" s="106"/>
      <c r="E550" s="93"/>
      <c r="F550" s="93"/>
      <c r="G550" s="106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</row>
    <row r="551" ht="33.0" customHeight="1">
      <c r="A551" s="50"/>
      <c r="B551" s="93"/>
      <c r="C551" s="93"/>
      <c r="D551" s="106"/>
      <c r="E551" s="93"/>
      <c r="F551" s="93"/>
      <c r="G551" s="106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</row>
    <row r="552" ht="33.0" customHeight="1">
      <c r="A552" s="50"/>
      <c r="B552" s="93"/>
      <c r="C552" s="93"/>
      <c r="D552" s="106"/>
      <c r="E552" s="93"/>
      <c r="F552" s="93"/>
      <c r="G552" s="106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</row>
    <row r="553" ht="33.0" customHeight="1">
      <c r="A553" s="50"/>
      <c r="B553" s="93"/>
      <c r="C553" s="93"/>
      <c r="D553" s="106"/>
      <c r="E553" s="93"/>
      <c r="F553" s="93"/>
      <c r="G553" s="106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</row>
    <row r="554" ht="33.0" customHeight="1">
      <c r="A554" s="50"/>
      <c r="B554" s="93"/>
      <c r="C554" s="93"/>
      <c r="D554" s="106"/>
      <c r="E554" s="93"/>
      <c r="F554" s="93"/>
      <c r="G554" s="106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</row>
    <row r="555" ht="33.0" customHeight="1">
      <c r="A555" s="50"/>
      <c r="B555" s="93"/>
      <c r="C555" s="93"/>
      <c r="D555" s="106"/>
      <c r="E555" s="93"/>
      <c r="F555" s="93"/>
      <c r="G555" s="106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</row>
    <row r="556" ht="33.0" customHeight="1">
      <c r="A556" s="50"/>
      <c r="B556" s="93"/>
      <c r="C556" s="93"/>
      <c r="D556" s="106"/>
      <c r="E556" s="93"/>
      <c r="F556" s="93"/>
      <c r="G556" s="106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</row>
    <row r="557" ht="33.0" customHeight="1">
      <c r="A557" s="50"/>
      <c r="B557" s="93"/>
      <c r="C557" s="93"/>
      <c r="D557" s="106"/>
      <c r="E557" s="93"/>
      <c r="F557" s="93"/>
      <c r="G557" s="106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</row>
    <row r="558" ht="33.0" customHeight="1">
      <c r="A558" s="50"/>
      <c r="B558" s="93"/>
      <c r="C558" s="93"/>
      <c r="D558" s="106"/>
      <c r="E558" s="93"/>
      <c r="F558" s="93"/>
      <c r="G558" s="106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</row>
    <row r="559" ht="33.0" customHeight="1">
      <c r="A559" s="50"/>
      <c r="B559" s="93"/>
      <c r="C559" s="93"/>
      <c r="D559" s="106"/>
      <c r="E559" s="93"/>
      <c r="F559" s="93"/>
      <c r="G559" s="106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</row>
    <row r="560" ht="33.0" customHeight="1">
      <c r="A560" s="50"/>
      <c r="B560" s="93"/>
      <c r="C560" s="93"/>
      <c r="D560" s="106"/>
      <c r="E560" s="93"/>
      <c r="F560" s="93"/>
      <c r="G560" s="106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</row>
    <row r="561" ht="33.0" customHeight="1">
      <c r="A561" s="50"/>
      <c r="B561" s="93"/>
      <c r="C561" s="93"/>
      <c r="D561" s="106"/>
      <c r="E561" s="93"/>
      <c r="F561" s="93"/>
      <c r="G561" s="106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</row>
    <row r="562" ht="33.0" customHeight="1">
      <c r="A562" s="50"/>
      <c r="B562" s="93"/>
      <c r="C562" s="93"/>
      <c r="D562" s="106"/>
      <c r="E562" s="93"/>
      <c r="F562" s="93"/>
      <c r="G562" s="106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</row>
    <row r="563" ht="33.0" customHeight="1">
      <c r="A563" s="50"/>
      <c r="B563" s="93"/>
      <c r="C563" s="93"/>
      <c r="D563" s="106"/>
      <c r="E563" s="93"/>
      <c r="F563" s="93"/>
      <c r="G563" s="106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</row>
    <row r="564" ht="33.0" customHeight="1">
      <c r="A564" s="50"/>
      <c r="B564" s="93"/>
      <c r="C564" s="93"/>
      <c r="D564" s="106"/>
      <c r="E564" s="93"/>
      <c r="F564" s="93"/>
      <c r="G564" s="106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</row>
    <row r="565" ht="33.0" customHeight="1">
      <c r="A565" s="50"/>
      <c r="B565" s="93"/>
      <c r="C565" s="93"/>
      <c r="D565" s="106"/>
      <c r="E565" s="93"/>
      <c r="F565" s="93"/>
      <c r="G565" s="106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</row>
    <row r="566" ht="33.0" customHeight="1">
      <c r="A566" s="50"/>
      <c r="B566" s="93"/>
      <c r="C566" s="93"/>
      <c r="D566" s="106"/>
      <c r="E566" s="93"/>
      <c r="F566" s="93"/>
      <c r="G566" s="106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</row>
    <row r="567" ht="33.0" customHeight="1">
      <c r="A567" s="50"/>
      <c r="B567" s="93"/>
      <c r="C567" s="93"/>
      <c r="D567" s="106"/>
      <c r="E567" s="93"/>
      <c r="F567" s="93"/>
      <c r="G567" s="106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</row>
    <row r="568" ht="33.0" customHeight="1">
      <c r="A568" s="50"/>
      <c r="B568" s="93"/>
      <c r="C568" s="93"/>
      <c r="D568" s="106"/>
      <c r="E568" s="93"/>
      <c r="F568" s="93"/>
      <c r="G568" s="106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</row>
    <row r="569" ht="33.0" customHeight="1">
      <c r="A569" s="50"/>
      <c r="B569" s="93"/>
      <c r="C569" s="93"/>
      <c r="D569" s="106"/>
      <c r="E569" s="93"/>
      <c r="F569" s="93"/>
      <c r="G569" s="106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</row>
    <row r="570" ht="33.0" customHeight="1">
      <c r="A570" s="50"/>
      <c r="B570" s="93"/>
      <c r="C570" s="93"/>
      <c r="D570" s="106"/>
      <c r="E570" s="93"/>
      <c r="F570" s="93"/>
      <c r="G570" s="106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</row>
    <row r="571" ht="33.0" customHeight="1">
      <c r="A571" s="50"/>
      <c r="B571" s="93"/>
      <c r="C571" s="93"/>
      <c r="D571" s="106"/>
      <c r="E571" s="93"/>
      <c r="F571" s="93"/>
      <c r="G571" s="106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</row>
    <row r="572" ht="33.0" customHeight="1">
      <c r="A572" s="50"/>
      <c r="B572" s="93"/>
      <c r="C572" s="93"/>
      <c r="D572" s="106"/>
      <c r="E572" s="93"/>
      <c r="F572" s="93"/>
      <c r="G572" s="106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</row>
    <row r="573" ht="33.0" customHeight="1">
      <c r="A573" s="50"/>
      <c r="B573" s="93"/>
      <c r="C573" s="93"/>
      <c r="D573" s="106"/>
      <c r="E573" s="93"/>
      <c r="F573" s="93"/>
      <c r="G573" s="106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</row>
    <row r="574" ht="33.0" customHeight="1">
      <c r="A574" s="50"/>
      <c r="B574" s="93"/>
      <c r="C574" s="93"/>
      <c r="D574" s="106"/>
      <c r="E574" s="93"/>
      <c r="F574" s="93"/>
      <c r="G574" s="106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</row>
    <row r="575" ht="33.0" customHeight="1">
      <c r="A575" s="50"/>
      <c r="B575" s="93"/>
      <c r="C575" s="93"/>
      <c r="D575" s="106"/>
      <c r="E575" s="93"/>
      <c r="F575" s="93"/>
      <c r="G575" s="106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</row>
    <row r="576" ht="33.0" customHeight="1">
      <c r="A576" s="50"/>
      <c r="B576" s="93"/>
      <c r="C576" s="93"/>
      <c r="D576" s="106"/>
      <c r="E576" s="93"/>
      <c r="F576" s="93"/>
      <c r="G576" s="106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</row>
    <row r="577" ht="33.0" customHeight="1">
      <c r="A577" s="50"/>
      <c r="B577" s="93"/>
      <c r="C577" s="93"/>
      <c r="D577" s="106"/>
      <c r="E577" s="93"/>
      <c r="F577" s="93"/>
      <c r="G577" s="106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</row>
    <row r="578" ht="33.0" customHeight="1">
      <c r="A578" s="50"/>
      <c r="B578" s="93"/>
      <c r="C578" s="93"/>
      <c r="D578" s="106"/>
      <c r="E578" s="93"/>
      <c r="F578" s="93"/>
      <c r="G578" s="106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</row>
    <row r="579" ht="33.0" customHeight="1">
      <c r="A579" s="50"/>
      <c r="B579" s="93"/>
      <c r="C579" s="93"/>
      <c r="D579" s="106"/>
      <c r="E579" s="93"/>
      <c r="F579" s="93"/>
      <c r="G579" s="106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</row>
    <row r="580" ht="33.0" customHeight="1">
      <c r="A580" s="50"/>
      <c r="B580" s="93"/>
      <c r="C580" s="93"/>
      <c r="D580" s="106"/>
      <c r="E580" s="93"/>
      <c r="F580" s="93"/>
      <c r="G580" s="106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</row>
    <row r="581" ht="33.0" customHeight="1">
      <c r="A581" s="50"/>
      <c r="B581" s="93"/>
      <c r="C581" s="93"/>
      <c r="D581" s="106"/>
      <c r="E581" s="93"/>
      <c r="F581" s="93"/>
      <c r="G581" s="106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</row>
    <row r="582" ht="33.0" customHeight="1">
      <c r="A582" s="50"/>
      <c r="B582" s="93"/>
      <c r="C582" s="93"/>
      <c r="D582" s="106"/>
      <c r="E582" s="93"/>
      <c r="F582" s="93"/>
      <c r="G582" s="106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</row>
    <row r="583" ht="33.0" customHeight="1">
      <c r="A583" s="50"/>
      <c r="B583" s="93"/>
      <c r="C583" s="93"/>
      <c r="D583" s="106"/>
      <c r="E583" s="93"/>
      <c r="F583" s="93"/>
      <c r="G583" s="106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</row>
    <row r="584" ht="33.0" customHeight="1">
      <c r="A584" s="50"/>
      <c r="B584" s="93"/>
      <c r="C584" s="93"/>
      <c r="D584" s="106"/>
      <c r="E584" s="93"/>
      <c r="F584" s="93"/>
      <c r="G584" s="106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</row>
    <row r="585" ht="33.0" customHeight="1">
      <c r="A585" s="50"/>
      <c r="B585" s="93"/>
      <c r="C585" s="93"/>
      <c r="D585" s="106"/>
      <c r="E585" s="93"/>
      <c r="F585" s="93"/>
      <c r="G585" s="106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</row>
    <row r="586" ht="33.0" customHeight="1">
      <c r="A586" s="50"/>
      <c r="B586" s="93"/>
      <c r="C586" s="93"/>
      <c r="D586" s="106"/>
      <c r="E586" s="93"/>
      <c r="F586" s="93"/>
      <c r="G586" s="106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</row>
    <row r="587" ht="33.0" customHeight="1">
      <c r="A587" s="50"/>
      <c r="B587" s="93"/>
      <c r="C587" s="93"/>
      <c r="D587" s="106"/>
      <c r="E587" s="93"/>
      <c r="F587" s="93"/>
      <c r="G587" s="106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</row>
    <row r="588" ht="33.0" customHeight="1">
      <c r="A588" s="50"/>
      <c r="B588" s="93"/>
      <c r="C588" s="93"/>
      <c r="D588" s="106"/>
      <c r="E588" s="93"/>
      <c r="F588" s="93"/>
      <c r="G588" s="106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</row>
    <row r="589" ht="33.0" customHeight="1">
      <c r="A589" s="50"/>
      <c r="B589" s="93"/>
      <c r="C589" s="93"/>
      <c r="D589" s="106"/>
      <c r="E589" s="93"/>
      <c r="F589" s="93"/>
      <c r="G589" s="106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</row>
    <row r="590" ht="33.0" customHeight="1">
      <c r="A590" s="50"/>
      <c r="B590" s="93"/>
      <c r="C590" s="93"/>
      <c r="D590" s="106"/>
      <c r="E590" s="93"/>
      <c r="F590" s="93"/>
      <c r="G590" s="106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</row>
    <row r="591" ht="33.0" customHeight="1">
      <c r="A591" s="50"/>
      <c r="B591" s="93"/>
      <c r="C591" s="93"/>
      <c r="D591" s="106"/>
      <c r="E591" s="93"/>
      <c r="F591" s="93"/>
      <c r="G591" s="106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</row>
    <row r="592" ht="33.0" customHeight="1">
      <c r="A592" s="50"/>
      <c r="B592" s="93"/>
      <c r="C592" s="93"/>
      <c r="D592" s="106"/>
      <c r="E592" s="93"/>
      <c r="F592" s="93"/>
      <c r="G592" s="106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</row>
    <row r="593" ht="33.0" customHeight="1">
      <c r="A593" s="50"/>
      <c r="B593" s="93"/>
      <c r="C593" s="93"/>
      <c r="D593" s="106"/>
      <c r="E593" s="93"/>
      <c r="F593" s="93"/>
      <c r="G593" s="106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</row>
    <row r="594" ht="33.0" customHeight="1">
      <c r="A594" s="50"/>
      <c r="B594" s="93"/>
      <c r="C594" s="93"/>
      <c r="D594" s="106"/>
      <c r="E594" s="93"/>
      <c r="F594" s="93"/>
      <c r="G594" s="106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</row>
    <row r="595" ht="33.0" customHeight="1">
      <c r="A595" s="50"/>
      <c r="B595" s="93"/>
      <c r="C595" s="93"/>
      <c r="D595" s="106"/>
      <c r="E595" s="93"/>
      <c r="F595" s="93"/>
      <c r="G595" s="106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</row>
    <row r="596" ht="33.0" customHeight="1">
      <c r="A596" s="50"/>
      <c r="B596" s="93"/>
      <c r="C596" s="93"/>
      <c r="D596" s="106"/>
      <c r="E596" s="93"/>
      <c r="F596" s="93"/>
      <c r="G596" s="106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</row>
    <row r="597" ht="33.0" customHeight="1">
      <c r="A597" s="50"/>
      <c r="B597" s="93"/>
      <c r="C597" s="93"/>
      <c r="D597" s="106"/>
      <c r="E597" s="93"/>
      <c r="F597" s="93"/>
      <c r="G597" s="106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</row>
    <row r="598" ht="33.0" customHeight="1">
      <c r="A598" s="50"/>
      <c r="B598" s="93"/>
      <c r="C598" s="93"/>
      <c r="D598" s="106"/>
      <c r="E598" s="93"/>
      <c r="F598" s="93"/>
      <c r="G598" s="106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</row>
    <row r="599" ht="33.0" customHeight="1">
      <c r="A599" s="50"/>
      <c r="B599" s="93"/>
      <c r="C599" s="93"/>
      <c r="D599" s="106"/>
      <c r="E599" s="93"/>
      <c r="F599" s="93"/>
      <c r="G599" s="106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</row>
    <row r="600" ht="33.0" customHeight="1">
      <c r="A600" s="50"/>
      <c r="B600" s="93"/>
      <c r="C600" s="93"/>
      <c r="D600" s="106"/>
      <c r="E600" s="93"/>
      <c r="F600" s="93"/>
      <c r="G600" s="106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</row>
    <row r="601" ht="33.0" customHeight="1">
      <c r="A601" s="50"/>
      <c r="B601" s="93"/>
      <c r="C601" s="93"/>
      <c r="D601" s="106"/>
      <c r="E601" s="93"/>
      <c r="F601" s="93"/>
      <c r="G601" s="106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</row>
    <row r="602" ht="33.0" customHeight="1">
      <c r="A602" s="50"/>
      <c r="B602" s="93"/>
      <c r="C602" s="93"/>
      <c r="D602" s="106"/>
      <c r="E602" s="93"/>
      <c r="F602" s="93"/>
      <c r="G602" s="106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</row>
    <row r="603" ht="33.0" customHeight="1">
      <c r="A603" s="50"/>
      <c r="B603" s="93"/>
      <c r="C603" s="93"/>
      <c r="D603" s="106"/>
      <c r="E603" s="93"/>
      <c r="F603" s="93"/>
      <c r="G603" s="106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</row>
    <row r="604" ht="33.0" customHeight="1">
      <c r="A604" s="50"/>
      <c r="B604" s="93"/>
      <c r="C604" s="93"/>
      <c r="D604" s="106"/>
      <c r="E604" s="93"/>
      <c r="F604" s="93"/>
      <c r="G604" s="106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</row>
    <row r="605" ht="33.0" customHeight="1">
      <c r="A605" s="50"/>
      <c r="B605" s="93"/>
      <c r="C605" s="93"/>
      <c r="D605" s="106"/>
      <c r="E605" s="93"/>
      <c r="F605" s="93"/>
      <c r="G605" s="106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</row>
    <row r="606" ht="33.0" customHeight="1">
      <c r="A606" s="50"/>
      <c r="B606" s="93"/>
      <c r="C606" s="93"/>
      <c r="D606" s="106"/>
      <c r="E606" s="93"/>
      <c r="F606" s="93"/>
      <c r="G606" s="106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</row>
    <row r="607" ht="33.0" customHeight="1">
      <c r="A607" s="50"/>
      <c r="B607" s="93"/>
      <c r="C607" s="93"/>
      <c r="D607" s="106"/>
      <c r="E607" s="93"/>
      <c r="F607" s="93"/>
      <c r="G607" s="106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</row>
    <row r="608" ht="33.0" customHeight="1">
      <c r="A608" s="50"/>
      <c r="B608" s="93"/>
      <c r="C608" s="93"/>
      <c r="D608" s="106"/>
      <c r="E608" s="93"/>
      <c r="F608" s="93"/>
      <c r="G608" s="106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</row>
    <row r="609" ht="33.0" customHeight="1">
      <c r="A609" s="50"/>
      <c r="B609" s="93"/>
      <c r="C609" s="93"/>
      <c r="D609" s="106"/>
      <c r="E609" s="93"/>
      <c r="F609" s="93"/>
      <c r="G609" s="106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</row>
    <row r="610" ht="33.0" customHeight="1">
      <c r="A610" s="50"/>
      <c r="B610" s="93"/>
      <c r="C610" s="93"/>
      <c r="D610" s="106"/>
      <c r="E610" s="93"/>
      <c r="F610" s="93"/>
      <c r="G610" s="106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</row>
    <row r="611" ht="33.0" customHeight="1">
      <c r="A611" s="50"/>
      <c r="B611" s="93"/>
      <c r="C611" s="93"/>
      <c r="D611" s="106"/>
      <c r="E611" s="93"/>
      <c r="F611" s="93"/>
      <c r="G611" s="106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</row>
    <row r="612" ht="33.0" customHeight="1">
      <c r="A612" s="50"/>
      <c r="B612" s="93"/>
      <c r="C612" s="93"/>
      <c r="D612" s="106"/>
      <c r="E612" s="93"/>
      <c r="F612" s="93"/>
      <c r="G612" s="106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</row>
    <row r="613" ht="33.0" customHeight="1">
      <c r="A613" s="50"/>
      <c r="B613" s="93"/>
      <c r="C613" s="93"/>
      <c r="D613" s="106"/>
      <c r="E613" s="93"/>
      <c r="F613" s="93"/>
      <c r="G613" s="106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</row>
    <row r="614" ht="33.0" customHeight="1">
      <c r="A614" s="50"/>
      <c r="B614" s="93"/>
      <c r="C614" s="93"/>
      <c r="D614" s="106"/>
      <c r="E614" s="93"/>
      <c r="F614" s="93"/>
      <c r="G614" s="106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</row>
    <row r="615" ht="33.0" customHeight="1">
      <c r="A615" s="50"/>
      <c r="B615" s="93"/>
      <c r="C615" s="93"/>
      <c r="D615" s="106"/>
      <c r="E615" s="93"/>
      <c r="F615" s="93"/>
      <c r="G615" s="106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</row>
    <row r="616" ht="33.0" customHeight="1">
      <c r="A616" s="50"/>
      <c r="B616" s="93"/>
      <c r="C616" s="93"/>
      <c r="D616" s="106"/>
      <c r="E616" s="93"/>
      <c r="F616" s="93"/>
      <c r="G616" s="106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</row>
    <row r="617" ht="33.0" customHeight="1">
      <c r="A617" s="50"/>
      <c r="B617" s="93"/>
      <c r="C617" s="93"/>
      <c r="D617" s="106"/>
      <c r="E617" s="93"/>
      <c r="F617" s="93"/>
      <c r="G617" s="106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</row>
    <row r="618" ht="33.0" customHeight="1">
      <c r="A618" s="50"/>
      <c r="B618" s="93"/>
      <c r="C618" s="93"/>
      <c r="D618" s="106"/>
      <c r="E618" s="93"/>
      <c r="F618" s="93"/>
      <c r="G618" s="106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</row>
    <row r="619" ht="33.0" customHeight="1">
      <c r="A619" s="50"/>
      <c r="B619" s="93"/>
      <c r="C619" s="93"/>
      <c r="D619" s="106"/>
      <c r="E619" s="93"/>
      <c r="F619" s="93"/>
      <c r="G619" s="106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</row>
    <row r="620" ht="33.0" customHeight="1">
      <c r="A620" s="50"/>
      <c r="B620" s="93"/>
      <c r="C620" s="93"/>
      <c r="D620" s="106"/>
      <c r="E620" s="93"/>
      <c r="F620" s="93"/>
      <c r="G620" s="106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</row>
    <row r="621" ht="33.0" customHeight="1">
      <c r="A621" s="50"/>
      <c r="B621" s="93"/>
      <c r="C621" s="93"/>
      <c r="D621" s="106"/>
      <c r="E621" s="93"/>
      <c r="F621" s="93"/>
      <c r="G621" s="106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</row>
    <row r="622" ht="33.0" customHeight="1">
      <c r="A622" s="50"/>
      <c r="B622" s="93"/>
      <c r="C622" s="93"/>
      <c r="D622" s="106"/>
      <c r="E622" s="93"/>
      <c r="F622" s="93"/>
      <c r="G622" s="106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</row>
    <row r="623" ht="33.0" customHeight="1">
      <c r="A623" s="50"/>
      <c r="B623" s="93"/>
      <c r="C623" s="93"/>
      <c r="D623" s="106"/>
      <c r="E623" s="93"/>
      <c r="F623" s="93"/>
      <c r="G623" s="106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</row>
    <row r="624" ht="33.0" customHeight="1">
      <c r="A624" s="50"/>
      <c r="B624" s="93"/>
      <c r="C624" s="93"/>
      <c r="D624" s="106"/>
      <c r="E624" s="93"/>
      <c r="F624" s="93"/>
      <c r="G624" s="106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</row>
    <row r="625" ht="33.0" customHeight="1">
      <c r="A625" s="50"/>
      <c r="B625" s="93"/>
      <c r="C625" s="93"/>
      <c r="D625" s="106"/>
      <c r="E625" s="93"/>
      <c r="F625" s="93"/>
      <c r="G625" s="106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</row>
    <row r="626" ht="33.0" customHeight="1">
      <c r="A626" s="50"/>
      <c r="B626" s="93"/>
      <c r="C626" s="93"/>
      <c r="D626" s="106"/>
      <c r="E626" s="93"/>
      <c r="F626" s="93"/>
      <c r="G626" s="106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</row>
    <row r="627" ht="33.0" customHeight="1">
      <c r="A627" s="50"/>
      <c r="B627" s="93"/>
      <c r="C627" s="93"/>
      <c r="D627" s="106"/>
      <c r="E627" s="93"/>
      <c r="F627" s="93"/>
      <c r="G627" s="106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</row>
    <row r="628" ht="33.0" customHeight="1">
      <c r="A628" s="50"/>
      <c r="B628" s="93"/>
      <c r="C628" s="93"/>
      <c r="D628" s="106"/>
      <c r="E628" s="93"/>
      <c r="F628" s="93"/>
      <c r="G628" s="106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</row>
    <row r="629" ht="33.0" customHeight="1">
      <c r="A629" s="50"/>
      <c r="B629" s="93"/>
      <c r="C629" s="93"/>
      <c r="D629" s="106"/>
      <c r="E629" s="93"/>
      <c r="F629" s="93"/>
      <c r="G629" s="106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</row>
    <row r="630" ht="33.0" customHeight="1">
      <c r="A630" s="50"/>
      <c r="B630" s="93"/>
      <c r="C630" s="93"/>
      <c r="D630" s="106"/>
      <c r="E630" s="93"/>
      <c r="F630" s="93"/>
      <c r="G630" s="106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</row>
    <row r="631" ht="33.0" customHeight="1">
      <c r="A631" s="50"/>
      <c r="B631" s="93"/>
      <c r="C631" s="93"/>
      <c r="D631" s="106"/>
      <c r="E631" s="93"/>
      <c r="F631" s="93"/>
      <c r="G631" s="106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</row>
    <row r="632" ht="33.0" customHeight="1">
      <c r="A632" s="50"/>
      <c r="B632" s="93"/>
      <c r="C632" s="93"/>
      <c r="D632" s="106"/>
      <c r="E632" s="93"/>
      <c r="F632" s="93"/>
      <c r="G632" s="106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</row>
    <row r="633" ht="33.0" customHeight="1">
      <c r="A633" s="50"/>
      <c r="B633" s="93"/>
      <c r="C633" s="93"/>
      <c r="D633" s="106"/>
      <c r="E633" s="93"/>
      <c r="F633" s="93"/>
      <c r="G633" s="106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</row>
    <row r="634" ht="33.0" customHeight="1">
      <c r="A634" s="50"/>
      <c r="B634" s="93"/>
      <c r="C634" s="93"/>
      <c r="D634" s="106"/>
      <c r="E634" s="93"/>
      <c r="F634" s="93"/>
      <c r="G634" s="106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</row>
    <row r="635" ht="33.0" customHeight="1">
      <c r="A635" s="50"/>
      <c r="B635" s="93"/>
      <c r="C635" s="93"/>
      <c r="D635" s="106"/>
      <c r="E635" s="93"/>
      <c r="F635" s="93"/>
      <c r="G635" s="106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</row>
    <row r="636" ht="33.0" customHeight="1">
      <c r="A636" s="50"/>
      <c r="B636" s="93"/>
      <c r="C636" s="93"/>
      <c r="D636" s="106"/>
      <c r="E636" s="93"/>
      <c r="F636" s="93"/>
      <c r="G636" s="106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</row>
    <row r="637" ht="33.0" customHeight="1">
      <c r="A637" s="50"/>
      <c r="B637" s="93"/>
      <c r="C637" s="93"/>
      <c r="D637" s="106"/>
      <c r="E637" s="93"/>
      <c r="F637" s="93"/>
      <c r="G637" s="106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</row>
    <row r="638" ht="33.0" customHeight="1">
      <c r="A638" s="50"/>
      <c r="B638" s="93"/>
      <c r="C638" s="93"/>
      <c r="D638" s="106"/>
      <c r="E638" s="93"/>
      <c r="F638" s="93"/>
      <c r="G638" s="106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</row>
    <row r="639" ht="33.0" customHeight="1">
      <c r="A639" s="50"/>
      <c r="B639" s="93"/>
      <c r="C639" s="93"/>
      <c r="D639" s="106"/>
      <c r="E639" s="93"/>
      <c r="F639" s="93"/>
      <c r="G639" s="106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</row>
    <row r="640" ht="33.0" customHeight="1">
      <c r="A640" s="50"/>
      <c r="B640" s="93"/>
      <c r="C640" s="93"/>
      <c r="D640" s="106"/>
      <c r="E640" s="93"/>
      <c r="F640" s="93"/>
      <c r="G640" s="106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</row>
    <row r="641" ht="33.0" customHeight="1">
      <c r="A641" s="50"/>
      <c r="B641" s="93"/>
      <c r="C641" s="93"/>
      <c r="D641" s="106"/>
      <c r="E641" s="93"/>
      <c r="F641" s="93"/>
      <c r="G641" s="106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</row>
    <row r="642" ht="33.0" customHeight="1">
      <c r="A642" s="50"/>
      <c r="B642" s="93"/>
      <c r="C642" s="93"/>
      <c r="D642" s="106"/>
      <c r="E642" s="93"/>
      <c r="F642" s="93"/>
      <c r="G642" s="106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</row>
    <row r="643" ht="33.0" customHeight="1">
      <c r="A643" s="50"/>
      <c r="B643" s="93"/>
      <c r="C643" s="93"/>
      <c r="D643" s="106"/>
      <c r="E643" s="93"/>
      <c r="F643" s="93"/>
      <c r="G643" s="106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</row>
    <row r="644" ht="33.0" customHeight="1">
      <c r="A644" s="50"/>
      <c r="B644" s="93"/>
      <c r="C644" s="93"/>
      <c r="D644" s="106"/>
      <c r="E644" s="93"/>
      <c r="F644" s="93"/>
      <c r="G644" s="106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</row>
    <row r="645" ht="33.0" customHeight="1">
      <c r="A645" s="50"/>
      <c r="B645" s="93"/>
      <c r="C645" s="93"/>
      <c r="D645" s="106"/>
      <c r="E645" s="93"/>
      <c r="F645" s="93"/>
      <c r="G645" s="106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</row>
    <row r="646" ht="33.0" customHeight="1">
      <c r="A646" s="50"/>
      <c r="B646" s="93"/>
      <c r="C646" s="93"/>
      <c r="D646" s="106"/>
      <c r="E646" s="93"/>
      <c r="F646" s="93"/>
      <c r="G646" s="106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</row>
    <row r="647" ht="33.0" customHeight="1">
      <c r="A647" s="50"/>
      <c r="B647" s="93"/>
      <c r="C647" s="93"/>
      <c r="D647" s="106"/>
      <c r="E647" s="93"/>
      <c r="F647" s="93"/>
      <c r="G647" s="106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</row>
    <row r="648" ht="33.0" customHeight="1">
      <c r="A648" s="50"/>
      <c r="B648" s="93"/>
      <c r="C648" s="93"/>
      <c r="D648" s="106"/>
      <c r="E648" s="93"/>
      <c r="F648" s="93"/>
      <c r="G648" s="106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</row>
    <row r="649" ht="33.0" customHeight="1">
      <c r="A649" s="50"/>
      <c r="B649" s="93"/>
      <c r="C649" s="93"/>
      <c r="D649" s="106"/>
      <c r="E649" s="93"/>
      <c r="F649" s="93"/>
      <c r="G649" s="106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</row>
    <row r="650" ht="33.0" customHeight="1">
      <c r="A650" s="50"/>
      <c r="B650" s="93"/>
      <c r="C650" s="93"/>
      <c r="D650" s="106"/>
      <c r="E650" s="93"/>
      <c r="F650" s="93"/>
      <c r="G650" s="106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</row>
    <row r="651" ht="33.0" customHeight="1">
      <c r="A651" s="50"/>
      <c r="B651" s="93"/>
      <c r="C651" s="93"/>
      <c r="D651" s="106"/>
      <c r="E651" s="93"/>
      <c r="F651" s="93"/>
      <c r="G651" s="106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</row>
    <row r="652" ht="33.0" customHeight="1">
      <c r="A652" s="50"/>
      <c r="B652" s="93"/>
      <c r="C652" s="93"/>
      <c r="D652" s="106"/>
      <c r="E652" s="93"/>
      <c r="F652" s="93"/>
      <c r="G652" s="106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</row>
    <row r="653" ht="33.0" customHeight="1">
      <c r="A653" s="50"/>
      <c r="B653" s="93"/>
      <c r="C653" s="93"/>
      <c r="D653" s="106"/>
      <c r="E653" s="93"/>
      <c r="F653" s="93"/>
      <c r="G653" s="106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</row>
    <row r="654" ht="33.0" customHeight="1">
      <c r="A654" s="50"/>
      <c r="B654" s="93"/>
      <c r="C654" s="93"/>
      <c r="D654" s="106"/>
      <c r="E654" s="93"/>
      <c r="F654" s="93"/>
      <c r="G654" s="106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</row>
    <row r="655" ht="33.0" customHeight="1">
      <c r="A655" s="50"/>
      <c r="B655" s="93"/>
      <c r="C655" s="93"/>
      <c r="D655" s="106"/>
      <c r="E655" s="93"/>
      <c r="F655" s="93"/>
      <c r="G655" s="106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</row>
    <row r="656" ht="33.0" customHeight="1">
      <c r="A656" s="50"/>
      <c r="B656" s="93"/>
      <c r="C656" s="93"/>
      <c r="D656" s="106"/>
      <c r="E656" s="93"/>
      <c r="F656" s="93"/>
      <c r="G656" s="106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</row>
    <row r="657" ht="33.0" customHeight="1">
      <c r="A657" s="50"/>
      <c r="B657" s="93"/>
      <c r="C657" s="93"/>
      <c r="D657" s="106"/>
      <c r="E657" s="93"/>
      <c r="F657" s="93"/>
      <c r="G657" s="106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</row>
    <row r="658" ht="33.0" customHeight="1">
      <c r="A658" s="50"/>
      <c r="B658" s="93"/>
      <c r="C658" s="93"/>
      <c r="D658" s="106"/>
      <c r="E658" s="93"/>
      <c r="F658" s="93"/>
      <c r="G658" s="106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</row>
    <row r="659" ht="33.0" customHeight="1">
      <c r="A659" s="50"/>
      <c r="B659" s="93"/>
      <c r="C659" s="93"/>
      <c r="D659" s="106"/>
      <c r="E659" s="93"/>
      <c r="F659" s="93"/>
      <c r="G659" s="106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</row>
    <row r="660" ht="33.0" customHeight="1">
      <c r="A660" s="50"/>
      <c r="B660" s="93"/>
      <c r="C660" s="93"/>
      <c r="D660" s="106"/>
      <c r="E660" s="93"/>
      <c r="F660" s="93"/>
      <c r="G660" s="106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</row>
    <row r="661" ht="33.0" customHeight="1">
      <c r="A661" s="50"/>
      <c r="B661" s="93"/>
      <c r="C661" s="93"/>
      <c r="D661" s="106"/>
      <c r="E661" s="93"/>
      <c r="F661" s="93"/>
      <c r="G661" s="106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</row>
    <row r="662" ht="33.0" customHeight="1">
      <c r="A662" s="50"/>
      <c r="B662" s="93"/>
      <c r="C662" s="93"/>
      <c r="D662" s="106"/>
      <c r="E662" s="93"/>
      <c r="F662" s="93"/>
      <c r="G662" s="106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</row>
    <row r="663" ht="33.0" customHeight="1">
      <c r="A663" s="50"/>
      <c r="B663" s="93"/>
      <c r="C663" s="93"/>
      <c r="D663" s="106"/>
      <c r="E663" s="93"/>
      <c r="F663" s="93"/>
      <c r="G663" s="106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</row>
    <row r="664" ht="33.0" customHeight="1">
      <c r="A664" s="50"/>
      <c r="B664" s="93"/>
      <c r="C664" s="93"/>
      <c r="D664" s="106"/>
      <c r="E664" s="93"/>
      <c r="F664" s="93"/>
      <c r="G664" s="106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</row>
    <row r="665" ht="33.0" customHeight="1">
      <c r="A665" s="50"/>
      <c r="B665" s="93"/>
      <c r="C665" s="93"/>
      <c r="D665" s="106"/>
      <c r="E665" s="93"/>
      <c r="F665" s="93"/>
      <c r="G665" s="106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</row>
    <row r="666" ht="33.0" customHeight="1">
      <c r="A666" s="50"/>
      <c r="B666" s="93"/>
      <c r="C666" s="93"/>
      <c r="D666" s="106"/>
      <c r="E666" s="93"/>
      <c r="F666" s="93"/>
      <c r="G666" s="106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</row>
    <row r="667" ht="33.0" customHeight="1">
      <c r="A667" s="50"/>
      <c r="B667" s="93"/>
      <c r="C667" s="93"/>
      <c r="D667" s="106"/>
      <c r="E667" s="93"/>
      <c r="F667" s="93"/>
      <c r="G667" s="106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</row>
    <row r="668" ht="33.0" customHeight="1">
      <c r="A668" s="50"/>
      <c r="B668" s="93"/>
      <c r="C668" s="93"/>
      <c r="D668" s="106"/>
      <c r="E668" s="93"/>
      <c r="F668" s="93"/>
      <c r="G668" s="106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</row>
    <row r="669" ht="33.0" customHeight="1">
      <c r="A669" s="50"/>
      <c r="B669" s="93"/>
      <c r="C669" s="93"/>
      <c r="D669" s="106"/>
      <c r="E669" s="93"/>
      <c r="F669" s="93"/>
      <c r="G669" s="106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</row>
    <row r="670" ht="33.0" customHeight="1">
      <c r="A670" s="50"/>
      <c r="B670" s="93"/>
      <c r="C670" s="93"/>
      <c r="D670" s="106"/>
      <c r="E670" s="93"/>
      <c r="F670" s="93"/>
      <c r="G670" s="106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</row>
    <row r="671" ht="33.0" customHeight="1">
      <c r="A671" s="50"/>
      <c r="B671" s="93"/>
      <c r="C671" s="93"/>
      <c r="D671" s="106"/>
      <c r="E671" s="93"/>
      <c r="F671" s="93"/>
      <c r="G671" s="106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</row>
    <row r="672" ht="33.0" customHeight="1">
      <c r="A672" s="50"/>
      <c r="B672" s="93"/>
      <c r="C672" s="93"/>
      <c r="D672" s="106"/>
      <c r="E672" s="93"/>
      <c r="F672" s="93"/>
      <c r="G672" s="106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</row>
    <row r="673" ht="33.0" customHeight="1">
      <c r="A673" s="50"/>
      <c r="B673" s="93"/>
      <c r="C673" s="93"/>
      <c r="D673" s="106"/>
      <c r="E673" s="93"/>
      <c r="F673" s="93"/>
      <c r="G673" s="106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</row>
    <row r="674" ht="33.0" customHeight="1">
      <c r="A674" s="50"/>
      <c r="B674" s="93"/>
      <c r="C674" s="93"/>
      <c r="D674" s="106"/>
      <c r="E674" s="93"/>
      <c r="F674" s="93"/>
      <c r="G674" s="106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</row>
    <row r="675" ht="33.0" customHeight="1">
      <c r="A675" s="50"/>
      <c r="B675" s="93"/>
      <c r="C675" s="93"/>
      <c r="D675" s="106"/>
      <c r="E675" s="93"/>
      <c r="F675" s="93"/>
      <c r="G675" s="106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</row>
    <row r="676" ht="33.0" customHeight="1">
      <c r="A676" s="50"/>
      <c r="B676" s="93"/>
      <c r="C676" s="93"/>
      <c r="D676" s="106"/>
      <c r="E676" s="93"/>
      <c r="F676" s="93"/>
      <c r="G676" s="106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</row>
    <row r="677" ht="33.0" customHeight="1">
      <c r="A677" s="50"/>
      <c r="B677" s="93"/>
      <c r="C677" s="93"/>
      <c r="D677" s="106"/>
      <c r="E677" s="93"/>
      <c r="F677" s="93"/>
      <c r="G677" s="106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</row>
    <row r="678" ht="33.0" customHeight="1">
      <c r="A678" s="50"/>
      <c r="B678" s="93"/>
      <c r="C678" s="93"/>
      <c r="D678" s="106"/>
      <c r="E678" s="93"/>
      <c r="F678" s="93"/>
      <c r="G678" s="106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</row>
    <row r="679" ht="33.0" customHeight="1">
      <c r="A679" s="50"/>
      <c r="B679" s="93"/>
      <c r="C679" s="93"/>
      <c r="D679" s="106"/>
      <c r="E679" s="93"/>
      <c r="F679" s="93"/>
      <c r="G679" s="106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</row>
    <row r="680" ht="33.0" customHeight="1">
      <c r="A680" s="50"/>
      <c r="B680" s="93"/>
      <c r="C680" s="93"/>
      <c r="D680" s="106"/>
      <c r="E680" s="93"/>
      <c r="F680" s="93"/>
      <c r="G680" s="106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</row>
    <row r="681" ht="33.0" customHeight="1">
      <c r="A681" s="50"/>
      <c r="B681" s="93"/>
      <c r="C681" s="93"/>
      <c r="D681" s="106"/>
      <c r="E681" s="93"/>
      <c r="F681" s="93"/>
      <c r="G681" s="106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</row>
    <row r="682" ht="33.0" customHeight="1">
      <c r="A682" s="50"/>
      <c r="B682" s="93"/>
      <c r="C682" s="93"/>
      <c r="D682" s="106"/>
      <c r="E682" s="93"/>
      <c r="F682" s="93"/>
      <c r="G682" s="106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</row>
    <row r="683" ht="33.0" customHeight="1">
      <c r="A683" s="50"/>
      <c r="B683" s="93"/>
      <c r="C683" s="93"/>
      <c r="D683" s="106"/>
      <c r="E683" s="93"/>
      <c r="F683" s="93"/>
      <c r="G683" s="106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</row>
    <row r="684" ht="33.0" customHeight="1">
      <c r="A684" s="50"/>
      <c r="B684" s="93"/>
      <c r="C684" s="93"/>
      <c r="D684" s="106"/>
      <c r="E684" s="93"/>
      <c r="F684" s="93"/>
      <c r="G684" s="106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</row>
    <row r="685" ht="33.0" customHeight="1">
      <c r="A685" s="50"/>
      <c r="B685" s="93"/>
      <c r="C685" s="93"/>
      <c r="D685" s="106"/>
      <c r="E685" s="93"/>
      <c r="F685" s="93"/>
      <c r="G685" s="106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</row>
    <row r="686" ht="33.0" customHeight="1">
      <c r="A686" s="50"/>
      <c r="B686" s="93"/>
      <c r="C686" s="93"/>
      <c r="D686" s="106"/>
      <c r="E686" s="93"/>
      <c r="F686" s="93"/>
      <c r="G686" s="106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</row>
    <row r="687" ht="33.0" customHeight="1">
      <c r="A687" s="50"/>
      <c r="B687" s="93"/>
      <c r="C687" s="93"/>
      <c r="D687" s="106"/>
      <c r="E687" s="93"/>
      <c r="F687" s="93"/>
      <c r="G687" s="106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</row>
    <row r="688" ht="33.0" customHeight="1">
      <c r="A688" s="50"/>
      <c r="B688" s="93"/>
      <c r="C688" s="93"/>
      <c r="D688" s="106"/>
      <c r="E688" s="93"/>
      <c r="F688" s="93"/>
      <c r="G688" s="106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</row>
    <row r="689" ht="33.0" customHeight="1">
      <c r="A689" s="50"/>
      <c r="B689" s="93"/>
      <c r="C689" s="93"/>
      <c r="D689" s="106"/>
      <c r="E689" s="93"/>
      <c r="F689" s="93"/>
      <c r="G689" s="106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</row>
    <row r="690" ht="33.0" customHeight="1">
      <c r="A690" s="50"/>
      <c r="B690" s="93"/>
      <c r="C690" s="93"/>
      <c r="D690" s="106"/>
      <c r="E690" s="93"/>
      <c r="F690" s="93"/>
      <c r="G690" s="106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</row>
    <row r="691" ht="33.0" customHeight="1">
      <c r="A691" s="50"/>
      <c r="B691" s="93"/>
      <c r="C691" s="93"/>
      <c r="D691" s="106"/>
      <c r="E691" s="93"/>
      <c r="F691" s="93"/>
      <c r="G691" s="106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</row>
    <row r="692" ht="33.0" customHeight="1">
      <c r="A692" s="50"/>
      <c r="B692" s="93"/>
      <c r="C692" s="93"/>
      <c r="D692" s="106"/>
      <c r="E692" s="93"/>
      <c r="F692" s="93"/>
      <c r="G692" s="106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</row>
    <row r="693" ht="33.0" customHeight="1">
      <c r="A693" s="50"/>
      <c r="B693" s="93"/>
      <c r="C693" s="93"/>
      <c r="D693" s="106"/>
      <c r="E693" s="93"/>
      <c r="F693" s="93"/>
      <c r="G693" s="106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</row>
    <row r="694" ht="33.0" customHeight="1">
      <c r="A694" s="50"/>
      <c r="B694" s="93"/>
      <c r="C694" s="93"/>
      <c r="D694" s="106"/>
      <c r="E694" s="93"/>
      <c r="F694" s="93"/>
      <c r="G694" s="106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</row>
    <row r="695" ht="33.0" customHeight="1">
      <c r="A695" s="50"/>
      <c r="B695" s="93"/>
      <c r="C695" s="93"/>
      <c r="D695" s="106"/>
      <c r="E695" s="93"/>
      <c r="F695" s="93"/>
      <c r="G695" s="106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</row>
    <row r="696" ht="33.0" customHeight="1">
      <c r="A696" s="50"/>
      <c r="B696" s="93"/>
      <c r="C696" s="93"/>
      <c r="D696" s="106"/>
      <c r="E696" s="93"/>
      <c r="F696" s="93"/>
      <c r="G696" s="106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</row>
    <row r="697" ht="33.0" customHeight="1">
      <c r="A697" s="50"/>
      <c r="B697" s="93"/>
      <c r="C697" s="93"/>
      <c r="D697" s="106"/>
      <c r="E697" s="93"/>
      <c r="F697" s="93"/>
      <c r="G697" s="106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</row>
    <row r="698" ht="33.0" customHeight="1">
      <c r="A698" s="50"/>
      <c r="B698" s="93"/>
      <c r="C698" s="93"/>
      <c r="D698" s="106"/>
      <c r="E698" s="93"/>
      <c r="F698" s="93"/>
      <c r="G698" s="106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</row>
    <row r="699" ht="33.0" customHeight="1">
      <c r="A699" s="50"/>
      <c r="B699" s="93"/>
      <c r="C699" s="93"/>
      <c r="D699" s="106"/>
      <c r="E699" s="93"/>
      <c r="F699" s="93"/>
      <c r="G699" s="106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</row>
    <row r="700" ht="33.0" customHeight="1">
      <c r="A700" s="50"/>
      <c r="B700" s="93"/>
      <c r="C700" s="93"/>
      <c r="D700" s="106"/>
      <c r="E700" s="93"/>
      <c r="F700" s="93"/>
      <c r="G700" s="106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</row>
    <row r="701" ht="33.0" customHeight="1">
      <c r="A701" s="50"/>
      <c r="B701" s="93"/>
      <c r="C701" s="93"/>
      <c r="D701" s="106"/>
      <c r="E701" s="93"/>
      <c r="F701" s="93"/>
      <c r="G701" s="106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</row>
    <row r="702" ht="33.0" customHeight="1">
      <c r="A702" s="50"/>
      <c r="B702" s="93"/>
      <c r="C702" s="93"/>
      <c r="D702" s="106"/>
      <c r="E702" s="93"/>
      <c r="F702" s="93"/>
      <c r="G702" s="106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</row>
    <row r="703" ht="33.0" customHeight="1">
      <c r="A703" s="50"/>
      <c r="B703" s="93"/>
      <c r="C703" s="93"/>
      <c r="D703" s="106"/>
      <c r="E703" s="93"/>
      <c r="F703" s="93"/>
      <c r="G703" s="106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</row>
    <row r="704" ht="33.0" customHeight="1">
      <c r="A704" s="50"/>
      <c r="B704" s="93"/>
      <c r="C704" s="93"/>
      <c r="D704" s="106"/>
      <c r="E704" s="93"/>
      <c r="F704" s="93"/>
      <c r="G704" s="106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</row>
    <row r="705" ht="33.0" customHeight="1">
      <c r="A705" s="50"/>
      <c r="B705" s="93"/>
      <c r="C705" s="93"/>
      <c r="D705" s="106"/>
      <c r="E705" s="93"/>
      <c r="F705" s="93"/>
      <c r="G705" s="106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</row>
    <row r="706" ht="33.0" customHeight="1">
      <c r="A706" s="50"/>
      <c r="B706" s="93"/>
      <c r="C706" s="93"/>
      <c r="D706" s="106"/>
      <c r="E706" s="93"/>
      <c r="F706" s="93"/>
      <c r="G706" s="106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</row>
    <row r="707" ht="33.0" customHeight="1">
      <c r="A707" s="50"/>
      <c r="B707" s="93"/>
      <c r="C707" s="93"/>
      <c r="D707" s="106"/>
      <c r="E707" s="93"/>
      <c r="F707" s="93"/>
      <c r="G707" s="106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</row>
    <row r="708" ht="33.0" customHeight="1">
      <c r="A708" s="50"/>
      <c r="B708" s="93"/>
      <c r="C708" s="93"/>
      <c r="D708" s="106"/>
      <c r="E708" s="93"/>
      <c r="F708" s="93"/>
      <c r="G708" s="106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</row>
    <row r="709" ht="33.0" customHeight="1">
      <c r="A709" s="50"/>
      <c r="B709" s="93"/>
      <c r="C709" s="93"/>
      <c r="D709" s="106"/>
      <c r="E709" s="93"/>
      <c r="F709" s="93"/>
      <c r="G709" s="106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</row>
    <row r="710" ht="33.0" customHeight="1">
      <c r="A710" s="50"/>
      <c r="B710" s="93"/>
      <c r="C710" s="93"/>
      <c r="D710" s="106"/>
      <c r="E710" s="93"/>
      <c r="F710" s="93"/>
      <c r="G710" s="106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</row>
    <row r="711" ht="33.0" customHeight="1">
      <c r="A711" s="50"/>
      <c r="B711" s="93"/>
      <c r="C711" s="93"/>
      <c r="D711" s="106"/>
      <c r="E711" s="93"/>
      <c r="F711" s="93"/>
      <c r="G711" s="106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</row>
    <row r="712" ht="33.0" customHeight="1">
      <c r="A712" s="50"/>
      <c r="B712" s="93"/>
      <c r="C712" s="93"/>
      <c r="D712" s="106"/>
      <c r="E712" s="93"/>
      <c r="F712" s="93"/>
      <c r="G712" s="106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</row>
    <row r="713" ht="33.0" customHeight="1">
      <c r="A713" s="50"/>
      <c r="B713" s="93"/>
      <c r="C713" s="93"/>
      <c r="D713" s="106"/>
      <c r="E713" s="93"/>
      <c r="F713" s="93"/>
      <c r="G713" s="106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</row>
    <row r="714" ht="33.0" customHeight="1">
      <c r="A714" s="50"/>
      <c r="B714" s="93"/>
      <c r="C714" s="93"/>
      <c r="D714" s="106"/>
      <c r="E714" s="93"/>
      <c r="F714" s="93"/>
      <c r="G714" s="106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</row>
    <row r="715" ht="33.0" customHeight="1">
      <c r="A715" s="50"/>
      <c r="B715" s="93"/>
      <c r="C715" s="93"/>
      <c r="D715" s="106"/>
      <c r="E715" s="93"/>
      <c r="F715" s="93"/>
      <c r="G715" s="106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</row>
    <row r="716" ht="33.0" customHeight="1">
      <c r="A716" s="50"/>
      <c r="B716" s="93"/>
      <c r="C716" s="93"/>
      <c r="D716" s="106"/>
      <c r="E716" s="93"/>
      <c r="F716" s="93"/>
      <c r="G716" s="106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</row>
    <row r="717" ht="33.0" customHeight="1">
      <c r="A717" s="50"/>
      <c r="B717" s="93"/>
      <c r="C717" s="93"/>
      <c r="D717" s="106"/>
      <c r="E717" s="93"/>
      <c r="F717" s="93"/>
      <c r="G717" s="106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</row>
    <row r="718" ht="33.0" customHeight="1">
      <c r="A718" s="50"/>
      <c r="B718" s="93"/>
      <c r="C718" s="93"/>
      <c r="D718" s="106"/>
      <c r="E718" s="93"/>
      <c r="F718" s="93"/>
      <c r="G718" s="106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</row>
    <row r="719" ht="33.0" customHeight="1">
      <c r="A719" s="50"/>
      <c r="B719" s="93"/>
      <c r="C719" s="93"/>
      <c r="D719" s="106"/>
      <c r="E719" s="93"/>
      <c r="F719" s="93"/>
      <c r="G719" s="106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</row>
    <row r="720" ht="33.0" customHeight="1">
      <c r="A720" s="50"/>
      <c r="B720" s="93"/>
      <c r="C720" s="93"/>
      <c r="D720" s="106"/>
      <c r="E720" s="93"/>
      <c r="F720" s="93"/>
      <c r="G720" s="106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</row>
    <row r="721" ht="33.0" customHeight="1">
      <c r="A721" s="50"/>
      <c r="B721" s="93"/>
      <c r="C721" s="93"/>
      <c r="D721" s="106"/>
      <c r="E721" s="93"/>
      <c r="F721" s="93"/>
      <c r="G721" s="106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</row>
    <row r="722" ht="33.0" customHeight="1">
      <c r="A722" s="50"/>
      <c r="B722" s="93"/>
      <c r="C722" s="93"/>
      <c r="D722" s="106"/>
      <c r="E722" s="93"/>
      <c r="F722" s="93"/>
      <c r="G722" s="106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</row>
    <row r="723" ht="33.0" customHeight="1">
      <c r="A723" s="50"/>
      <c r="B723" s="93"/>
      <c r="C723" s="93"/>
      <c r="D723" s="106"/>
      <c r="E723" s="93"/>
      <c r="F723" s="93"/>
      <c r="G723" s="106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</row>
    <row r="724" ht="33.0" customHeight="1">
      <c r="A724" s="50"/>
      <c r="B724" s="93"/>
      <c r="C724" s="93"/>
      <c r="D724" s="106"/>
      <c r="E724" s="93"/>
      <c r="F724" s="93"/>
      <c r="G724" s="106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</row>
    <row r="725" ht="33.0" customHeight="1">
      <c r="A725" s="50"/>
      <c r="B725" s="93"/>
      <c r="C725" s="93"/>
      <c r="D725" s="106"/>
      <c r="E725" s="93"/>
      <c r="F725" s="93"/>
      <c r="G725" s="106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</row>
    <row r="726" ht="33.0" customHeight="1">
      <c r="A726" s="50"/>
      <c r="B726" s="93"/>
      <c r="C726" s="93"/>
      <c r="D726" s="106"/>
      <c r="E726" s="93"/>
      <c r="F726" s="93"/>
      <c r="G726" s="106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</row>
    <row r="727" ht="33.0" customHeight="1">
      <c r="A727" s="50"/>
      <c r="B727" s="93"/>
      <c r="C727" s="93"/>
      <c r="D727" s="106"/>
      <c r="E727" s="93"/>
      <c r="F727" s="93"/>
      <c r="G727" s="106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</row>
    <row r="728" ht="33.0" customHeight="1">
      <c r="A728" s="50"/>
      <c r="B728" s="93"/>
      <c r="C728" s="93"/>
      <c r="D728" s="106"/>
      <c r="E728" s="93"/>
      <c r="F728" s="93"/>
      <c r="G728" s="106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</row>
    <row r="729" ht="33.0" customHeight="1">
      <c r="A729" s="50"/>
      <c r="B729" s="93"/>
      <c r="C729" s="93"/>
      <c r="D729" s="106"/>
      <c r="E729" s="93"/>
      <c r="F729" s="93"/>
      <c r="G729" s="106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</row>
    <row r="730" ht="33.0" customHeight="1">
      <c r="A730" s="50"/>
      <c r="B730" s="93"/>
      <c r="C730" s="93"/>
      <c r="D730" s="106"/>
      <c r="E730" s="93"/>
      <c r="F730" s="93"/>
      <c r="G730" s="106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</row>
    <row r="731" ht="33.0" customHeight="1">
      <c r="A731" s="50"/>
      <c r="B731" s="93"/>
      <c r="C731" s="93"/>
      <c r="D731" s="106"/>
      <c r="E731" s="93"/>
      <c r="F731" s="93"/>
      <c r="G731" s="106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</row>
    <row r="732" ht="33.0" customHeight="1">
      <c r="A732" s="50"/>
      <c r="B732" s="93"/>
      <c r="C732" s="93"/>
      <c r="D732" s="106"/>
      <c r="E732" s="93"/>
      <c r="F732" s="93"/>
      <c r="G732" s="106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</row>
    <row r="733" ht="33.0" customHeight="1">
      <c r="A733" s="50"/>
      <c r="B733" s="93"/>
      <c r="C733" s="93"/>
      <c r="D733" s="106"/>
      <c r="E733" s="93"/>
      <c r="F733" s="93"/>
      <c r="G733" s="106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</row>
    <row r="734" ht="33.0" customHeight="1">
      <c r="A734" s="50"/>
      <c r="B734" s="93"/>
      <c r="C734" s="93"/>
      <c r="D734" s="106"/>
      <c r="E734" s="93"/>
      <c r="F734" s="93"/>
      <c r="G734" s="106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</row>
    <row r="735" ht="33.0" customHeight="1">
      <c r="A735" s="50"/>
      <c r="B735" s="93"/>
      <c r="C735" s="93"/>
      <c r="D735" s="106"/>
      <c r="E735" s="93"/>
      <c r="F735" s="93"/>
      <c r="G735" s="106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</row>
    <row r="736" ht="33.0" customHeight="1">
      <c r="A736" s="50"/>
      <c r="B736" s="93"/>
      <c r="C736" s="93"/>
      <c r="D736" s="106"/>
      <c r="E736" s="93"/>
      <c r="F736" s="93"/>
      <c r="G736" s="106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</row>
    <row r="737" ht="33.0" customHeight="1">
      <c r="A737" s="50"/>
      <c r="B737" s="93"/>
      <c r="C737" s="93"/>
      <c r="D737" s="106"/>
      <c r="E737" s="93"/>
      <c r="F737" s="93"/>
      <c r="G737" s="106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</row>
    <row r="738" ht="33.0" customHeight="1">
      <c r="A738" s="50"/>
      <c r="B738" s="93"/>
      <c r="C738" s="93"/>
      <c r="D738" s="106"/>
      <c r="E738" s="93"/>
      <c r="F738" s="93"/>
      <c r="G738" s="106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</row>
    <row r="739" ht="33.0" customHeight="1">
      <c r="A739" s="50"/>
      <c r="B739" s="93"/>
      <c r="C739" s="93"/>
      <c r="D739" s="106"/>
      <c r="E739" s="93"/>
      <c r="F739" s="93"/>
      <c r="G739" s="106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</row>
    <row r="740" ht="33.0" customHeight="1">
      <c r="A740" s="50"/>
      <c r="B740" s="93"/>
      <c r="C740" s="93"/>
      <c r="D740" s="106"/>
      <c r="E740" s="93"/>
      <c r="F740" s="93"/>
      <c r="G740" s="106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</row>
    <row r="741" ht="33.0" customHeight="1">
      <c r="A741" s="50"/>
      <c r="B741" s="93"/>
      <c r="C741" s="93"/>
      <c r="D741" s="106"/>
      <c r="E741" s="93"/>
      <c r="F741" s="93"/>
      <c r="G741" s="106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</row>
    <row r="742" ht="33.0" customHeight="1">
      <c r="A742" s="50"/>
      <c r="B742" s="93"/>
      <c r="C742" s="93"/>
      <c r="D742" s="106"/>
      <c r="E742" s="93"/>
      <c r="F742" s="93"/>
      <c r="G742" s="106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</row>
    <row r="743" ht="33.0" customHeight="1">
      <c r="A743" s="50"/>
      <c r="B743" s="93"/>
      <c r="C743" s="93"/>
      <c r="D743" s="106"/>
      <c r="E743" s="93"/>
      <c r="F743" s="93"/>
      <c r="G743" s="106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</row>
    <row r="744" ht="33.0" customHeight="1">
      <c r="A744" s="50"/>
      <c r="B744" s="93"/>
      <c r="C744" s="93"/>
      <c r="D744" s="106"/>
      <c r="E744" s="93"/>
      <c r="F744" s="93"/>
      <c r="G744" s="106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</row>
    <row r="745" ht="33.0" customHeight="1">
      <c r="A745" s="50"/>
      <c r="B745" s="93"/>
      <c r="C745" s="93"/>
      <c r="D745" s="106"/>
      <c r="E745" s="93"/>
      <c r="F745" s="93"/>
      <c r="G745" s="106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</row>
    <row r="746" ht="33.0" customHeight="1">
      <c r="A746" s="50"/>
      <c r="B746" s="93"/>
      <c r="C746" s="93"/>
      <c r="D746" s="106"/>
      <c r="E746" s="93"/>
      <c r="F746" s="93"/>
      <c r="G746" s="106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</row>
    <row r="747" ht="33.0" customHeight="1">
      <c r="A747" s="50"/>
      <c r="B747" s="93"/>
      <c r="C747" s="93"/>
      <c r="D747" s="106"/>
      <c r="E747" s="93"/>
      <c r="F747" s="93"/>
      <c r="G747" s="106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</row>
    <row r="748" ht="33.0" customHeight="1">
      <c r="A748" s="50"/>
      <c r="B748" s="93"/>
      <c r="C748" s="93"/>
      <c r="D748" s="106"/>
      <c r="E748" s="93"/>
      <c r="F748" s="93"/>
      <c r="G748" s="106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</row>
    <row r="749" ht="33.0" customHeight="1">
      <c r="A749" s="50"/>
      <c r="B749" s="93"/>
      <c r="C749" s="93"/>
      <c r="D749" s="106"/>
      <c r="E749" s="93"/>
      <c r="F749" s="93"/>
      <c r="G749" s="106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</row>
    <row r="750" ht="33.0" customHeight="1">
      <c r="A750" s="50"/>
      <c r="B750" s="93"/>
      <c r="C750" s="93"/>
      <c r="D750" s="106"/>
      <c r="E750" s="93"/>
      <c r="F750" s="93"/>
      <c r="G750" s="106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</row>
    <row r="751" ht="33.0" customHeight="1">
      <c r="A751" s="50"/>
      <c r="B751" s="93"/>
      <c r="C751" s="93"/>
      <c r="D751" s="106"/>
      <c r="E751" s="93"/>
      <c r="F751" s="93"/>
      <c r="G751" s="106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</row>
    <row r="752" ht="33.0" customHeight="1">
      <c r="A752" s="50"/>
      <c r="B752" s="93"/>
      <c r="C752" s="93"/>
      <c r="D752" s="106"/>
      <c r="E752" s="93"/>
      <c r="F752" s="93"/>
      <c r="G752" s="106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</row>
    <row r="753" ht="33.0" customHeight="1">
      <c r="A753" s="50"/>
      <c r="B753" s="93"/>
      <c r="C753" s="93"/>
      <c r="D753" s="106"/>
      <c r="E753" s="93"/>
      <c r="F753" s="93"/>
      <c r="G753" s="106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</row>
    <row r="754" ht="33.0" customHeight="1">
      <c r="A754" s="50"/>
      <c r="B754" s="93"/>
      <c r="C754" s="93"/>
      <c r="D754" s="106"/>
      <c r="E754" s="93"/>
      <c r="F754" s="93"/>
      <c r="G754" s="106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</row>
    <row r="755" ht="33.0" customHeight="1">
      <c r="A755" s="50"/>
      <c r="B755" s="93"/>
      <c r="C755" s="93"/>
      <c r="D755" s="106"/>
      <c r="E755" s="93"/>
      <c r="F755" s="93"/>
      <c r="G755" s="106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</row>
    <row r="756" ht="33.0" customHeight="1">
      <c r="A756" s="50"/>
      <c r="B756" s="93"/>
      <c r="C756" s="93"/>
      <c r="D756" s="106"/>
      <c r="E756" s="93"/>
      <c r="F756" s="93"/>
      <c r="G756" s="106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</row>
    <row r="757" ht="33.0" customHeight="1">
      <c r="A757" s="50"/>
      <c r="B757" s="93"/>
      <c r="C757" s="93"/>
      <c r="D757" s="106"/>
      <c r="E757" s="93"/>
      <c r="F757" s="93"/>
      <c r="G757" s="106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</row>
    <row r="758" ht="33.0" customHeight="1">
      <c r="A758" s="50"/>
      <c r="B758" s="93"/>
      <c r="C758" s="93"/>
      <c r="D758" s="106"/>
      <c r="E758" s="93"/>
      <c r="F758" s="93"/>
      <c r="G758" s="106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</row>
    <row r="759" ht="33.0" customHeight="1">
      <c r="A759" s="50"/>
      <c r="B759" s="93"/>
      <c r="C759" s="93"/>
      <c r="D759" s="106"/>
      <c r="E759" s="93"/>
      <c r="F759" s="93"/>
      <c r="G759" s="106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</row>
    <row r="760" ht="33.0" customHeight="1">
      <c r="A760" s="50"/>
      <c r="B760" s="93"/>
      <c r="C760" s="93"/>
      <c r="D760" s="106"/>
      <c r="E760" s="93"/>
      <c r="F760" s="93"/>
      <c r="G760" s="106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</row>
    <row r="761" ht="33.0" customHeight="1">
      <c r="A761" s="50"/>
      <c r="B761" s="93"/>
      <c r="C761" s="93"/>
      <c r="D761" s="106"/>
      <c r="E761" s="93"/>
      <c r="F761" s="93"/>
      <c r="G761" s="106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</row>
    <row r="762" ht="33.0" customHeight="1">
      <c r="A762" s="50"/>
      <c r="B762" s="93"/>
      <c r="C762" s="93"/>
      <c r="D762" s="106"/>
      <c r="E762" s="93"/>
      <c r="F762" s="93"/>
      <c r="G762" s="106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</row>
    <row r="763" ht="33.0" customHeight="1">
      <c r="A763" s="50"/>
      <c r="B763" s="93"/>
      <c r="C763" s="93"/>
      <c r="D763" s="106"/>
      <c r="E763" s="93"/>
      <c r="F763" s="93"/>
      <c r="G763" s="106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</row>
    <row r="764" ht="33.0" customHeight="1">
      <c r="A764" s="50"/>
      <c r="B764" s="93"/>
      <c r="C764" s="93"/>
      <c r="D764" s="106"/>
      <c r="E764" s="93"/>
      <c r="F764" s="93"/>
      <c r="G764" s="106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</row>
    <row r="765" ht="33.0" customHeight="1">
      <c r="A765" s="50"/>
      <c r="B765" s="93"/>
      <c r="C765" s="93"/>
      <c r="D765" s="106"/>
      <c r="E765" s="93"/>
      <c r="F765" s="93"/>
      <c r="G765" s="106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</row>
    <row r="766" ht="33.0" customHeight="1">
      <c r="A766" s="50"/>
      <c r="B766" s="93"/>
      <c r="C766" s="93"/>
      <c r="D766" s="106"/>
      <c r="E766" s="93"/>
      <c r="F766" s="93"/>
      <c r="G766" s="106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</row>
    <row r="767" ht="33.0" customHeight="1">
      <c r="A767" s="50"/>
      <c r="B767" s="93"/>
      <c r="C767" s="93"/>
      <c r="D767" s="106"/>
      <c r="E767" s="93"/>
      <c r="F767" s="93"/>
      <c r="G767" s="106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</row>
    <row r="768" ht="33.0" customHeight="1">
      <c r="A768" s="50"/>
      <c r="B768" s="93"/>
      <c r="C768" s="93"/>
      <c r="D768" s="106"/>
      <c r="E768" s="93"/>
      <c r="F768" s="93"/>
      <c r="G768" s="106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</row>
    <row r="769" ht="33.0" customHeight="1">
      <c r="A769" s="50"/>
      <c r="B769" s="93"/>
      <c r="C769" s="93"/>
      <c r="D769" s="106"/>
      <c r="E769" s="93"/>
      <c r="F769" s="93"/>
      <c r="G769" s="106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</row>
    <row r="770" ht="33.0" customHeight="1">
      <c r="A770" s="50"/>
      <c r="B770" s="93"/>
      <c r="C770" s="93"/>
      <c r="D770" s="106"/>
      <c r="E770" s="93"/>
      <c r="F770" s="93"/>
      <c r="G770" s="106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</row>
    <row r="771" ht="33.0" customHeight="1">
      <c r="A771" s="50"/>
      <c r="B771" s="93"/>
      <c r="C771" s="93"/>
      <c r="D771" s="106"/>
      <c r="E771" s="93"/>
      <c r="F771" s="93"/>
      <c r="G771" s="106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</row>
    <row r="772" ht="33.0" customHeight="1">
      <c r="A772" s="50"/>
      <c r="B772" s="93"/>
      <c r="C772" s="93"/>
      <c r="D772" s="106"/>
      <c r="E772" s="93"/>
      <c r="F772" s="93"/>
      <c r="G772" s="106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</row>
    <row r="773" ht="33.0" customHeight="1">
      <c r="A773" s="50"/>
      <c r="B773" s="93"/>
      <c r="C773" s="93"/>
      <c r="D773" s="106"/>
      <c r="E773" s="93"/>
      <c r="F773" s="93"/>
      <c r="G773" s="106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</row>
    <row r="774" ht="33.0" customHeight="1">
      <c r="A774" s="50"/>
      <c r="B774" s="93"/>
      <c r="C774" s="93"/>
      <c r="D774" s="106"/>
      <c r="E774" s="93"/>
      <c r="F774" s="93"/>
      <c r="G774" s="106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</row>
    <row r="775" ht="33.0" customHeight="1">
      <c r="A775" s="50"/>
      <c r="B775" s="93"/>
      <c r="C775" s="93"/>
      <c r="D775" s="106"/>
      <c r="E775" s="93"/>
      <c r="F775" s="93"/>
      <c r="G775" s="106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</row>
    <row r="776" ht="33.0" customHeight="1">
      <c r="A776" s="50"/>
      <c r="B776" s="93"/>
      <c r="C776" s="93"/>
      <c r="D776" s="106"/>
      <c r="E776" s="93"/>
      <c r="F776" s="93"/>
      <c r="G776" s="106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</row>
    <row r="777" ht="33.0" customHeight="1">
      <c r="A777" s="50"/>
      <c r="B777" s="93"/>
      <c r="C777" s="93"/>
      <c r="D777" s="106"/>
      <c r="E777" s="93"/>
      <c r="F777" s="93"/>
      <c r="G777" s="106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</row>
    <row r="778" ht="33.0" customHeight="1">
      <c r="A778" s="50"/>
      <c r="B778" s="93"/>
      <c r="C778" s="93"/>
      <c r="D778" s="106"/>
      <c r="E778" s="93"/>
      <c r="F778" s="93"/>
      <c r="G778" s="106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</row>
    <row r="779" ht="33.0" customHeight="1">
      <c r="A779" s="50"/>
      <c r="B779" s="93"/>
      <c r="C779" s="93"/>
      <c r="D779" s="106"/>
      <c r="E779" s="93"/>
      <c r="F779" s="93"/>
      <c r="G779" s="106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</row>
    <row r="780" ht="33.0" customHeight="1">
      <c r="A780" s="50"/>
      <c r="B780" s="93"/>
      <c r="C780" s="93"/>
      <c r="D780" s="106"/>
      <c r="E780" s="93"/>
      <c r="F780" s="93"/>
      <c r="G780" s="106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</row>
    <row r="781" ht="33.0" customHeight="1">
      <c r="A781" s="50"/>
      <c r="B781" s="93"/>
      <c r="C781" s="93"/>
      <c r="D781" s="106"/>
      <c r="E781" s="93"/>
      <c r="F781" s="93"/>
      <c r="G781" s="106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</row>
    <row r="782" ht="33.0" customHeight="1">
      <c r="A782" s="50"/>
      <c r="B782" s="93"/>
      <c r="C782" s="93"/>
      <c r="D782" s="106"/>
      <c r="E782" s="93"/>
      <c r="F782" s="93"/>
      <c r="G782" s="106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</row>
    <row r="783" ht="33.0" customHeight="1">
      <c r="A783" s="50"/>
      <c r="B783" s="93"/>
      <c r="C783" s="93"/>
      <c r="D783" s="106"/>
      <c r="E783" s="93"/>
      <c r="F783" s="93"/>
      <c r="G783" s="106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</row>
    <row r="784" ht="33.0" customHeight="1">
      <c r="A784" s="50"/>
      <c r="B784" s="93"/>
      <c r="C784" s="93"/>
      <c r="D784" s="106"/>
      <c r="E784" s="93"/>
      <c r="F784" s="93"/>
      <c r="G784" s="106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</row>
    <row r="785" ht="33.0" customHeight="1">
      <c r="A785" s="50"/>
      <c r="B785" s="93"/>
      <c r="C785" s="93"/>
      <c r="D785" s="106"/>
      <c r="E785" s="93"/>
      <c r="F785" s="93"/>
      <c r="G785" s="106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</row>
    <row r="786" ht="33.0" customHeight="1">
      <c r="A786" s="50"/>
      <c r="B786" s="93"/>
      <c r="C786" s="93"/>
      <c r="D786" s="106"/>
      <c r="E786" s="93"/>
      <c r="F786" s="93"/>
      <c r="G786" s="106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</row>
    <row r="787" ht="33.0" customHeight="1">
      <c r="A787" s="50"/>
      <c r="B787" s="93"/>
      <c r="C787" s="93"/>
      <c r="D787" s="106"/>
      <c r="E787" s="93"/>
      <c r="F787" s="93"/>
      <c r="G787" s="106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</row>
    <row r="788" ht="33.0" customHeight="1">
      <c r="A788" s="50"/>
      <c r="B788" s="93"/>
      <c r="C788" s="93"/>
      <c r="D788" s="106"/>
      <c r="E788" s="93"/>
      <c r="F788" s="93"/>
      <c r="G788" s="106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</row>
    <row r="789" ht="33.0" customHeight="1">
      <c r="A789" s="50"/>
      <c r="B789" s="93"/>
      <c r="C789" s="93"/>
      <c r="D789" s="106"/>
      <c r="E789" s="93"/>
      <c r="F789" s="93"/>
      <c r="G789" s="106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</row>
    <row r="790" ht="33.0" customHeight="1">
      <c r="A790" s="50"/>
      <c r="B790" s="93"/>
      <c r="C790" s="93"/>
      <c r="D790" s="106"/>
      <c r="E790" s="93"/>
      <c r="F790" s="93"/>
      <c r="G790" s="106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</row>
    <row r="791" ht="33.0" customHeight="1">
      <c r="A791" s="50"/>
      <c r="B791" s="93"/>
      <c r="C791" s="93"/>
      <c r="D791" s="106"/>
      <c r="E791" s="93"/>
      <c r="F791" s="93"/>
      <c r="G791" s="106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</row>
    <row r="792" ht="33.0" customHeight="1">
      <c r="A792" s="50"/>
      <c r="B792" s="93"/>
      <c r="C792" s="50"/>
      <c r="D792" s="109"/>
      <c r="E792" s="50"/>
      <c r="F792" s="50"/>
      <c r="G792" s="106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</row>
    <row r="793" ht="33.0" customHeight="1">
      <c r="A793" s="50"/>
      <c r="B793" s="93"/>
      <c r="C793" s="50"/>
      <c r="D793" s="109"/>
      <c r="E793" s="50"/>
      <c r="F793" s="50"/>
      <c r="G793" s="106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</row>
    <row r="794" ht="33.0" customHeight="1">
      <c r="A794" s="50"/>
      <c r="B794" s="93"/>
      <c r="C794" s="50"/>
      <c r="D794" s="109"/>
      <c r="E794" s="50"/>
      <c r="F794" s="50"/>
      <c r="G794" s="106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</row>
    <row r="795" ht="33.0" customHeight="1">
      <c r="A795" s="50"/>
      <c r="B795" s="93"/>
      <c r="C795" s="50"/>
      <c r="D795" s="109"/>
      <c r="E795" s="50"/>
      <c r="F795" s="50"/>
      <c r="G795" s="106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</row>
    <row r="796" ht="33.0" customHeight="1">
      <c r="A796" s="50"/>
      <c r="B796" s="93"/>
      <c r="C796" s="50"/>
      <c r="D796" s="109"/>
      <c r="E796" s="50"/>
      <c r="F796" s="50"/>
      <c r="G796" s="106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</row>
    <row r="797" ht="33.0" customHeight="1">
      <c r="A797" s="50"/>
      <c r="B797" s="93"/>
      <c r="C797" s="50"/>
      <c r="D797" s="109"/>
      <c r="E797" s="50"/>
      <c r="F797" s="50"/>
      <c r="G797" s="106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</row>
    <row r="798" ht="33.0" customHeight="1">
      <c r="A798" s="50"/>
      <c r="B798" s="93"/>
      <c r="C798" s="50"/>
      <c r="D798" s="109"/>
      <c r="E798" s="50"/>
      <c r="F798" s="50"/>
      <c r="G798" s="106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</row>
    <row r="799" ht="33.0" customHeight="1">
      <c r="A799" s="50"/>
      <c r="B799" s="93"/>
      <c r="C799" s="50"/>
      <c r="D799" s="109"/>
      <c r="E799" s="50"/>
      <c r="F799" s="50"/>
      <c r="G799" s="106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</row>
    <row r="800" ht="33.0" customHeight="1">
      <c r="A800" s="50"/>
      <c r="B800" s="93"/>
      <c r="C800" s="50"/>
      <c r="D800" s="109"/>
      <c r="E800" s="50"/>
      <c r="F800" s="50"/>
      <c r="G800" s="106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</row>
    <row r="801" ht="33.0" customHeight="1">
      <c r="A801" s="50"/>
      <c r="B801" s="93"/>
      <c r="C801" s="50"/>
      <c r="D801" s="109"/>
      <c r="E801" s="50"/>
      <c r="F801" s="50"/>
      <c r="G801" s="106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</row>
    <row r="802" ht="33.0" customHeight="1">
      <c r="A802" s="50"/>
      <c r="B802" s="93"/>
      <c r="C802" s="50"/>
      <c r="D802" s="109"/>
      <c r="E802" s="50"/>
      <c r="F802" s="50"/>
      <c r="G802" s="106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</row>
    <row r="803" ht="33.0" customHeight="1">
      <c r="A803" s="50"/>
      <c r="B803" s="93"/>
      <c r="C803" s="50"/>
      <c r="D803" s="109"/>
      <c r="E803" s="50"/>
      <c r="F803" s="50"/>
      <c r="G803" s="106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</row>
    <row r="804" ht="33.0" customHeight="1">
      <c r="A804" s="50"/>
      <c r="B804" s="93"/>
      <c r="C804" s="50"/>
      <c r="D804" s="109"/>
      <c r="E804" s="50"/>
      <c r="F804" s="50"/>
      <c r="G804" s="106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</row>
    <row r="805" ht="33.0" customHeight="1">
      <c r="A805" s="50"/>
      <c r="B805" s="93"/>
      <c r="C805" s="50"/>
      <c r="D805" s="109"/>
      <c r="E805" s="50"/>
      <c r="F805" s="50"/>
      <c r="G805" s="106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</row>
    <row r="806" ht="33.0" customHeight="1">
      <c r="A806" s="50"/>
      <c r="B806" s="93"/>
      <c r="C806" s="50"/>
      <c r="D806" s="109"/>
      <c r="E806" s="50"/>
      <c r="F806" s="50"/>
      <c r="G806" s="106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</row>
    <row r="807" ht="33.0" customHeight="1">
      <c r="A807" s="50"/>
      <c r="B807" s="93"/>
      <c r="C807" s="50"/>
      <c r="D807" s="109"/>
      <c r="E807" s="50"/>
      <c r="F807" s="50"/>
      <c r="G807" s="106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</row>
    <row r="808" ht="33.0" customHeight="1">
      <c r="A808" s="50"/>
      <c r="B808" s="93"/>
      <c r="C808" s="50"/>
      <c r="D808" s="109"/>
      <c r="E808" s="50"/>
      <c r="F808" s="50"/>
      <c r="G808" s="106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</row>
    <row r="809" ht="33.0" customHeight="1">
      <c r="A809" s="50"/>
      <c r="B809" s="93"/>
      <c r="C809" s="50"/>
      <c r="D809" s="109"/>
      <c r="E809" s="50"/>
      <c r="F809" s="50"/>
      <c r="G809" s="106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</row>
    <row r="810" ht="33.0" customHeight="1">
      <c r="A810" s="50"/>
      <c r="B810" s="93"/>
      <c r="C810" s="50"/>
      <c r="D810" s="109"/>
      <c r="E810" s="50"/>
      <c r="F810" s="50"/>
      <c r="G810" s="106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</row>
    <row r="811" ht="33.0" customHeight="1">
      <c r="A811" s="50"/>
      <c r="B811" s="93"/>
      <c r="C811" s="50"/>
      <c r="D811" s="109"/>
      <c r="E811" s="50"/>
      <c r="F811" s="50"/>
      <c r="G811" s="106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</row>
    <row r="812" ht="33.0" customHeight="1">
      <c r="A812" s="50"/>
      <c r="B812" s="93"/>
      <c r="C812" s="50"/>
      <c r="D812" s="109"/>
      <c r="E812" s="50"/>
      <c r="F812" s="50"/>
      <c r="G812" s="106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</row>
    <row r="813" ht="33.0" customHeight="1">
      <c r="A813" s="50"/>
      <c r="B813" s="93"/>
      <c r="C813" s="50"/>
      <c r="D813" s="109"/>
      <c r="E813" s="50"/>
      <c r="F813" s="50"/>
      <c r="G813" s="106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</row>
    <row r="814" ht="33.0" customHeight="1">
      <c r="A814" s="50"/>
      <c r="B814" s="93"/>
      <c r="C814" s="50"/>
      <c r="D814" s="109"/>
      <c r="E814" s="50"/>
      <c r="F814" s="50"/>
      <c r="G814" s="106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</row>
    <row r="815" ht="33.0" customHeight="1">
      <c r="A815" s="50"/>
      <c r="B815" s="93"/>
      <c r="C815" s="50"/>
      <c r="D815" s="109"/>
      <c r="E815" s="50"/>
      <c r="F815" s="50"/>
      <c r="G815" s="106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</row>
    <row r="816" ht="33.0" customHeight="1">
      <c r="A816" s="50"/>
      <c r="B816" s="50"/>
      <c r="C816" s="50"/>
      <c r="D816" s="109"/>
      <c r="E816" s="50"/>
      <c r="F816" s="50"/>
      <c r="G816" s="109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</row>
    <row r="817" ht="33.0" customHeight="1">
      <c r="A817" s="50"/>
      <c r="B817" s="50"/>
      <c r="C817" s="50"/>
      <c r="D817" s="109"/>
      <c r="E817" s="50"/>
      <c r="F817" s="50"/>
      <c r="G817" s="109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</row>
    <row r="818" ht="33.0" customHeight="1">
      <c r="A818" s="50"/>
      <c r="B818" s="50"/>
      <c r="C818" s="50"/>
      <c r="D818" s="109"/>
      <c r="E818" s="50"/>
      <c r="F818" s="50"/>
      <c r="G818" s="109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</row>
    <row r="819" ht="33.0" customHeight="1">
      <c r="A819" s="50"/>
      <c r="B819" s="50"/>
      <c r="C819" s="50"/>
      <c r="D819" s="109"/>
      <c r="E819" s="50"/>
      <c r="F819" s="50"/>
      <c r="G819" s="109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</row>
    <row r="820" ht="33.0" customHeight="1">
      <c r="A820" s="50"/>
      <c r="B820" s="50"/>
      <c r="C820" s="50"/>
      <c r="D820" s="109"/>
      <c r="E820" s="50"/>
      <c r="F820" s="50"/>
      <c r="G820" s="109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</row>
    <row r="821" ht="33.0" customHeight="1">
      <c r="A821" s="50"/>
      <c r="B821" s="50"/>
      <c r="C821" s="50"/>
      <c r="D821" s="109"/>
      <c r="E821" s="50"/>
      <c r="F821" s="50"/>
      <c r="G821" s="109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</row>
    <row r="822" ht="33.0" customHeight="1">
      <c r="A822" s="50"/>
      <c r="B822" s="50"/>
      <c r="C822" s="50"/>
      <c r="D822" s="109"/>
      <c r="E822" s="50"/>
      <c r="F822" s="50"/>
      <c r="G822" s="109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</row>
    <row r="823" ht="33.0" customHeight="1">
      <c r="A823" s="50"/>
      <c r="B823" s="50"/>
      <c r="C823" s="50"/>
      <c r="D823" s="109"/>
      <c r="E823" s="50"/>
      <c r="F823" s="50"/>
      <c r="G823" s="109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</row>
    <row r="824" ht="33.0" customHeight="1">
      <c r="A824" s="50"/>
      <c r="B824" s="50"/>
      <c r="C824" s="50"/>
      <c r="D824" s="109"/>
      <c r="E824" s="50"/>
      <c r="F824" s="50"/>
      <c r="G824" s="109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</row>
    <row r="825" ht="33.0" customHeight="1">
      <c r="A825" s="50"/>
      <c r="B825" s="50"/>
      <c r="C825" s="50"/>
      <c r="D825" s="109"/>
      <c r="E825" s="50"/>
      <c r="F825" s="50"/>
      <c r="G825" s="109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</row>
    <row r="826" ht="33.0" customHeight="1">
      <c r="A826" s="50"/>
      <c r="B826" s="50"/>
      <c r="C826" s="50"/>
      <c r="D826" s="109"/>
      <c r="E826" s="50"/>
      <c r="F826" s="50"/>
      <c r="G826" s="109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</row>
    <row r="827" ht="33.0" customHeight="1">
      <c r="A827" s="50"/>
      <c r="B827" s="50"/>
      <c r="C827" s="50"/>
      <c r="D827" s="109"/>
      <c r="E827" s="50"/>
      <c r="F827" s="50"/>
      <c r="G827" s="109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</row>
    <row r="828" ht="33.0" customHeight="1">
      <c r="A828" s="50"/>
      <c r="B828" s="50"/>
      <c r="C828" s="50"/>
      <c r="D828" s="109"/>
      <c r="E828" s="50"/>
      <c r="F828" s="50"/>
      <c r="G828" s="109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</row>
    <row r="829" ht="33.0" customHeight="1">
      <c r="A829" s="50"/>
      <c r="B829" s="50"/>
      <c r="C829" s="50"/>
      <c r="D829" s="109"/>
      <c r="E829" s="50"/>
      <c r="F829" s="50"/>
      <c r="G829" s="109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</row>
    <row r="830" ht="33.0" customHeight="1">
      <c r="A830" s="50"/>
      <c r="B830" s="50"/>
      <c r="C830" s="50"/>
      <c r="D830" s="109"/>
      <c r="E830" s="50"/>
      <c r="F830" s="50"/>
      <c r="G830" s="109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</row>
    <row r="831" ht="33.0" customHeight="1">
      <c r="A831" s="50"/>
      <c r="B831" s="50"/>
      <c r="C831" s="50"/>
      <c r="D831" s="109"/>
      <c r="E831" s="50"/>
      <c r="F831" s="50"/>
      <c r="G831" s="109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</row>
    <row r="832" ht="33.0" customHeight="1">
      <c r="A832" s="50"/>
      <c r="B832" s="50"/>
      <c r="C832" s="50"/>
      <c r="D832" s="109"/>
      <c r="E832" s="50"/>
      <c r="F832" s="50"/>
      <c r="G832" s="109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</row>
    <row r="833" ht="33.0" customHeight="1">
      <c r="A833" s="50"/>
      <c r="B833" s="50"/>
      <c r="C833" s="50"/>
      <c r="D833" s="109"/>
      <c r="E833" s="50"/>
      <c r="F833" s="50"/>
      <c r="G833" s="109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</row>
    <row r="834" ht="33.0" customHeight="1">
      <c r="A834" s="50"/>
      <c r="B834" s="50"/>
      <c r="C834" s="50"/>
      <c r="D834" s="109"/>
      <c r="E834" s="50"/>
      <c r="F834" s="50"/>
      <c r="G834" s="109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</row>
    <row r="835" ht="33.0" customHeight="1">
      <c r="A835" s="50"/>
      <c r="B835" s="50"/>
      <c r="C835" s="50"/>
      <c r="D835" s="109"/>
      <c r="E835" s="50"/>
      <c r="F835" s="50"/>
      <c r="G835" s="109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</row>
    <row r="836" ht="33.0" customHeight="1">
      <c r="A836" s="50"/>
      <c r="B836" s="50"/>
      <c r="C836" s="50"/>
      <c r="D836" s="109"/>
      <c r="E836" s="50"/>
      <c r="F836" s="50"/>
      <c r="G836" s="109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</row>
    <row r="837" ht="33.0" customHeight="1">
      <c r="A837" s="50"/>
      <c r="B837" s="50"/>
      <c r="C837" s="50"/>
      <c r="D837" s="109"/>
      <c r="E837" s="50"/>
      <c r="F837" s="50"/>
      <c r="G837" s="109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</row>
    <row r="838" ht="33.0" customHeight="1">
      <c r="A838" s="50"/>
      <c r="B838" s="50"/>
      <c r="C838" s="50"/>
      <c r="D838" s="109"/>
      <c r="E838" s="50"/>
      <c r="F838" s="50"/>
      <c r="G838" s="109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</row>
    <row r="839" ht="33.0" customHeight="1">
      <c r="A839" s="50"/>
      <c r="B839" s="50"/>
      <c r="C839" s="50"/>
      <c r="D839" s="109"/>
      <c r="E839" s="50"/>
      <c r="F839" s="50"/>
      <c r="G839" s="109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</row>
    <row r="840" ht="33.0" customHeight="1">
      <c r="A840" s="50"/>
      <c r="B840" s="50"/>
      <c r="C840" s="50"/>
      <c r="D840" s="109"/>
      <c r="E840" s="50"/>
      <c r="F840" s="50"/>
      <c r="G840" s="109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</row>
    <row r="841" ht="33.0" customHeight="1">
      <c r="A841" s="50"/>
      <c r="B841" s="50"/>
      <c r="C841" s="50"/>
      <c r="D841" s="109"/>
      <c r="E841" s="50"/>
      <c r="F841" s="50"/>
      <c r="G841" s="109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</row>
    <row r="842" ht="33.0" customHeight="1">
      <c r="A842" s="50"/>
      <c r="B842" s="50"/>
      <c r="C842" s="50"/>
      <c r="D842" s="109"/>
      <c r="E842" s="50"/>
      <c r="F842" s="50"/>
      <c r="G842" s="109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</row>
    <row r="843" ht="33.0" customHeight="1">
      <c r="A843" s="50"/>
      <c r="B843" s="50"/>
      <c r="C843" s="50"/>
      <c r="D843" s="109"/>
      <c r="E843" s="50"/>
      <c r="F843" s="50"/>
      <c r="G843" s="109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</row>
    <row r="844" ht="33.0" customHeight="1">
      <c r="A844" s="50"/>
      <c r="B844" s="50"/>
      <c r="C844" s="50"/>
      <c r="D844" s="109"/>
      <c r="E844" s="50"/>
      <c r="F844" s="50"/>
      <c r="G844" s="109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</row>
    <row r="845" ht="33.0" customHeight="1">
      <c r="A845" s="50"/>
      <c r="B845" s="50"/>
      <c r="C845" s="50"/>
      <c r="D845" s="109"/>
      <c r="E845" s="50"/>
      <c r="F845" s="50"/>
      <c r="G845" s="109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</row>
    <row r="846" ht="33.0" customHeight="1">
      <c r="A846" s="50"/>
      <c r="B846" s="50"/>
      <c r="C846" s="50"/>
      <c r="D846" s="109"/>
      <c r="E846" s="50"/>
      <c r="F846" s="50"/>
      <c r="G846" s="109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</row>
    <row r="847" ht="33.0" customHeight="1">
      <c r="A847" s="50"/>
      <c r="B847" s="50"/>
      <c r="C847" s="50"/>
      <c r="D847" s="109"/>
      <c r="E847" s="50"/>
      <c r="F847" s="50"/>
      <c r="G847" s="109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</row>
    <row r="848" ht="33.0" customHeight="1">
      <c r="A848" s="50"/>
      <c r="B848" s="50"/>
      <c r="C848" s="50"/>
      <c r="D848" s="109"/>
      <c r="E848" s="50"/>
      <c r="F848" s="50"/>
      <c r="G848" s="109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</row>
    <row r="849" ht="33.0" customHeight="1">
      <c r="A849" s="50"/>
      <c r="B849" s="50"/>
      <c r="C849" s="50"/>
      <c r="D849" s="109"/>
      <c r="E849" s="50"/>
      <c r="F849" s="50"/>
      <c r="G849" s="109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</row>
    <row r="850" ht="33.0" customHeight="1">
      <c r="A850" s="50"/>
      <c r="B850" s="50"/>
      <c r="C850" s="50"/>
      <c r="D850" s="109"/>
      <c r="E850" s="50"/>
      <c r="F850" s="50"/>
      <c r="G850" s="109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</row>
    <row r="851" ht="33.0" customHeight="1">
      <c r="A851" s="50"/>
      <c r="B851" s="50"/>
      <c r="C851" s="50"/>
      <c r="D851" s="109"/>
      <c r="E851" s="50"/>
      <c r="F851" s="50"/>
      <c r="G851" s="109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</row>
    <row r="852" ht="33.0" customHeight="1">
      <c r="A852" s="50"/>
      <c r="B852" s="50"/>
      <c r="C852" s="50"/>
      <c r="D852" s="109"/>
      <c r="E852" s="50"/>
      <c r="F852" s="50"/>
      <c r="G852" s="109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</row>
    <row r="853" ht="33.0" customHeight="1">
      <c r="A853" s="50"/>
      <c r="B853" s="50"/>
      <c r="C853" s="50"/>
      <c r="D853" s="109"/>
      <c r="E853" s="50"/>
      <c r="F853" s="50"/>
      <c r="G853" s="109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</row>
    <row r="854" ht="33.0" customHeight="1">
      <c r="A854" s="50"/>
      <c r="B854" s="50"/>
      <c r="C854" s="50"/>
      <c r="D854" s="109"/>
      <c r="E854" s="50"/>
      <c r="F854" s="50"/>
      <c r="G854" s="109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</row>
    <row r="855" ht="33.0" customHeight="1">
      <c r="A855" s="50"/>
      <c r="B855" s="50"/>
      <c r="C855" s="50"/>
      <c r="D855" s="109"/>
      <c r="E855" s="50"/>
      <c r="F855" s="50"/>
      <c r="G855" s="109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</row>
    <row r="856" ht="33.0" customHeight="1">
      <c r="A856" s="50"/>
      <c r="B856" s="50"/>
      <c r="C856" s="50"/>
      <c r="D856" s="109"/>
      <c r="E856" s="50"/>
      <c r="F856" s="50"/>
      <c r="G856" s="109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</row>
    <row r="857" ht="33.0" customHeight="1">
      <c r="A857" s="50"/>
      <c r="B857" s="50"/>
      <c r="C857" s="50"/>
      <c r="D857" s="109"/>
      <c r="E857" s="50"/>
      <c r="F857" s="50"/>
      <c r="G857" s="109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</row>
    <row r="858" ht="33.0" customHeight="1">
      <c r="A858" s="50"/>
      <c r="B858" s="50"/>
      <c r="C858" s="50"/>
      <c r="D858" s="109"/>
      <c r="E858" s="50"/>
      <c r="F858" s="50"/>
      <c r="G858" s="109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</row>
    <row r="859" ht="33.0" customHeight="1">
      <c r="A859" s="50"/>
      <c r="B859" s="50"/>
      <c r="C859" s="50"/>
      <c r="D859" s="109"/>
      <c r="E859" s="50"/>
      <c r="F859" s="50"/>
      <c r="G859" s="109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</row>
    <row r="860" ht="33.0" customHeight="1">
      <c r="A860" s="50"/>
      <c r="B860" s="50"/>
      <c r="C860" s="50"/>
      <c r="D860" s="109"/>
      <c r="E860" s="50"/>
      <c r="F860" s="50"/>
      <c r="G860" s="109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</row>
    <row r="861" ht="33.0" customHeight="1">
      <c r="A861" s="50"/>
      <c r="B861" s="50"/>
      <c r="C861" s="50"/>
      <c r="D861" s="109"/>
      <c r="E861" s="50"/>
      <c r="F861" s="50"/>
      <c r="G861" s="109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</row>
    <row r="862" ht="33.0" customHeight="1">
      <c r="A862" s="50"/>
      <c r="B862" s="50"/>
      <c r="C862" s="50"/>
      <c r="D862" s="109"/>
      <c r="E862" s="50"/>
      <c r="F862" s="50"/>
      <c r="G862" s="109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</row>
    <row r="863" ht="33.0" customHeight="1">
      <c r="A863" s="50"/>
      <c r="B863" s="50"/>
      <c r="C863" s="50"/>
      <c r="D863" s="109"/>
      <c r="E863" s="50"/>
      <c r="F863" s="50"/>
      <c r="G863" s="109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</row>
    <row r="864" ht="33.0" customHeight="1">
      <c r="A864" s="50"/>
      <c r="B864" s="50"/>
      <c r="C864" s="50"/>
      <c r="D864" s="109"/>
      <c r="E864" s="50"/>
      <c r="F864" s="50"/>
      <c r="G864" s="109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</row>
    <row r="865" ht="33.0" customHeight="1">
      <c r="A865" s="50"/>
      <c r="B865" s="50"/>
      <c r="C865" s="50"/>
      <c r="D865" s="109"/>
      <c r="E865" s="50"/>
      <c r="F865" s="50"/>
      <c r="G865" s="109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</row>
    <row r="866" ht="33.0" customHeight="1">
      <c r="A866" s="50"/>
      <c r="B866" s="50"/>
      <c r="C866" s="50"/>
      <c r="D866" s="109"/>
      <c r="E866" s="50"/>
      <c r="F866" s="50"/>
      <c r="G866" s="109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</row>
    <row r="867" ht="33.0" customHeight="1">
      <c r="A867" s="50"/>
      <c r="B867" s="50"/>
      <c r="C867" s="50"/>
      <c r="D867" s="109"/>
      <c r="E867" s="50"/>
      <c r="F867" s="50"/>
      <c r="G867" s="109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</row>
    <row r="868" ht="33.0" customHeight="1">
      <c r="A868" s="50"/>
      <c r="B868" s="50"/>
      <c r="C868" s="50"/>
      <c r="D868" s="109"/>
      <c r="E868" s="50"/>
      <c r="F868" s="50"/>
      <c r="G868" s="109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</row>
    <row r="869" ht="33.0" customHeight="1">
      <c r="A869" s="50"/>
      <c r="B869" s="50"/>
      <c r="C869" s="50"/>
      <c r="D869" s="109"/>
      <c r="E869" s="50"/>
      <c r="F869" s="50"/>
      <c r="G869" s="109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</row>
    <row r="870" ht="33.0" customHeight="1">
      <c r="A870" s="50"/>
      <c r="B870" s="50"/>
      <c r="C870" s="50"/>
      <c r="D870" s="109"/>
      <c r="E870" s="50"/>
      <c r="F870" s="50"/>
      <c r="G870" s="109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</row>
    <row r="871" ht="33.0" customHeight="1">
      <c r="A871" s="50"/>
      <c r="B871" s="50"/>
      <c r="C871" s="50"/>
      <c r="D871" s="109"/>
      <c r="E871" s="50"/>
      <c r="F871" s="50"/>
      <c r="G871" s="109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</row>
    <row r="872" ht="33.0" customHeight="1">
      <c r="A872" s="50"/>
      <c r="B872" s="50"/>
      <c r="C872" s="50"/>
      <c r="D872" s="109"/>
      <c r="E872" s="50"/>
      <c r="F872" s="50"/>
      <c r="G872" s="109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</row>
    <row r="873" ht="33.0" customHeight="1">
      <c r="A873" s="50"/>
      <c r="B873" s="50"/>
      <c r="C873" s="50"/>
      <c r="D873" s="109"/>
      <c r="E873" s="50"/>
      <c r="F873" s="50"/>
      <c r="G873" s="109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</row>
    <row r="874" ht="33.0" customHeight="1">
      <c r="A874" s="50"/>
      <c r="B874" s="50"/>
      <c r="C874" s="50"/>
      <c r="D874" s="109"/>
      <c r="E874" s="50"/>
      <c r="F874" s="50"/>
      <c r="G874" s="109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</row>
    <row r="875" ht="33.0" customHeight="1">
      <c r="A875" s="50"/>
      <c r="B875" s="50"/>
      <c r="C875" s="50"/>
      <c r="D875" s="109"/>
      <c r="E875" s="50"/>
      <c r="F875" s="50"/>
      <c r="G875" s="109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</row>
    <row r="876" ht="33.0" customHeight="1">
      <c r="A876" s="50"/>
      <c r="B876" s="50"/>
      <c r="C876" s="50"/>
      <c r="D876" s="109"/>
      <c r="E876" s="50"/>
      <c r="F876" s="50"/>
      <c r="G876" s="109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</row>
    <row r="877" ht="33.0" customHeight="1">
      <c r="A877" s="50"/>
      <c r="B877" s="50"/>
      <c r="C877" s="50"/>
      <c r="D877" s="109"/>
      <c r="E877" s="50"/>
      <c r="F877" s="50"/>
      <c r="G877" s="109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</row>
    <row r="878" ht="33.0" customHeight="1">
      <c r="A878" s="50"/>
      <c r="B878" s="50"/>
      <c r="C878" s="50"/>
      <c r="D878" s="109"/>
      <c r="E878" s="50"/>
      <c r="F878" s="50"/>
      <c r="G878" s="109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</row>
    <row r="879" ht="33.0" customHeight="1">
      <c r="A879" s="50"/>
      <c r="B879" s="50"/>
      <c r="C879" s="50"/>
      <c r="D879" s="109"/>
      <c r="E879" s="50"/>
      <c r="F879" s="50"/>
      <c r="G879" s="109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</row>
    <row r="880" ht="33.0" customHeight="1">
      <c r="A880" s="50"/>
      <c r="B880" s="50"/>
      <c r="C880" s="50"/>
      <c r="D880" s="109"/>
      <c r="E880" s="50"/>
      <c r="F880" s="50"/>
      <c r="G880" s="109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</row>
    <row r="881" ht="33.0" customHeight="1">
      <c r="A881" s="50"/>
      <c r="B881" s="50"/>
      <c r="C881" s="50"/>
      <c r="D881" s="109"/>
      <c r="E881" s="50"/>
      <c r="F881" s="50"/>
      <c r="G881" s="109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</row>
    <row r="882" ht="33.0" customHeight="1">
      <c r="A882" s="50"/>
      <c r="B882" s="50"/>
      <c r="C882" s="50"/>
      <c r="D882" s="109"/>
      <c r="E882" s="50"/>
      <c r="F882" s="50"/>
      <c r="G882" s="109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</row>
    <row r="883" ht="33.0" customHeight="1">
      <c r="A883" s="50"/>
      <c r="B883" s="50"/>
      <c r="C883" s="50"/>
      <c r="D883" s="109"/>
      <c r="E883" s="50"/>
      <c r="F883" s="50"/>
      <c r="G883" s="109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</row>
    <row r="884" ht="33.0" customHeight="1">
      <c r="A884" s="50"/>
      <c r="B884" s="50"/>
      <c r="C884" s="50"/>
      <c r="D884" s="109"/>
      <c r="E884" s="50"/>
      <c r="F884" s="50"/>
      <c r="G884" s="109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</row>
    <row r="885" ht="33.0" customHeight="1">
      <c r="A885" s="50"/>
      <c r="B885" s="50"/>
      <c r="C885" s="50"/>
      <c r="D885" s="109"/>
      <c r="E885" s="50"/>
      <c r="F885" s="50"/>
      <c r="G885" s="109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</row>
    <row r="886" ht="33.0" customHeight="1">
      <c r="A886" s="50"/>
      <c r="B886" s="50"/>
      <c r="C886" s="50"/>
      <c r="D886" s="109"/>
      <c r="E886" s="50"/>
      <c r="F886" s="50"/>
      <c r="G886" s="109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</row>
    <row r="887" ht="33.0" customHeight="1">
      <c r="A887" s="50"/>
      <c r="B887" s="50"/>
      <c r="C887" s="50"/>
      <c r="D887" s="109"/>
      <c r="E887" s="50"/>
      <c r="F887" s="50"/>
      <c r="G887" s="109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</row>
    <row r="888" ht="33.0" customHeight="1">
      <c r="A888" s="50"/>
      <c r="B888" s="50"/>
      <c r="C888" s="50"/>
      <c r="D888" s="109"/>
      <c r="E888" s="50"/>
      <c r="F888" s="50"/>
      <c r="G888" s="109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</row>
    <row r="889" ht="33.0" customHeight="1">
      <c r="A889" s="50"/>
      <c r="B889" s="50"/>
      <c r="C889" s="50"/>
      <c r="D889" s="109"/>
      <c r="E889" s="50"/>
      <c r="F889" s="50"/>
      <c r="G889" s="109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</row>
    <row r="890" ht="33.0" customHeight="1">
      <c r="A890" s="50"/>
      <c r="B890" s="50"/>
      <c r="C890" s="50"/>
      <c r="D890" s="109"/>
      <c r="E890" s="50"/>
      <c r="F890" s="50"/>
      <c r="G890" s="109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</row>
    <row r="891" ht="33.0" customHeight="1">
      <c r="A891" s="50"/>
      <c r="B891" s="50"/>
      <c r="C891" s="50"/>
      <c r="D891" s="109"/>
      <c r="E891" s="50"/>
      <c r="F891" s="50"/>
      <c r="G891" s="109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</row>
    <row r="892" ht="33.0" customHeight="1">
      <c r="A892" s="50"/>
      <c r="B892" s="50"/>
      <c r="C892" s="50"/>
      <c r="D892" s="109"/>
      <c r="E892" s="50"/>
      <c r="F892" s="50"/>
      <c r="G892" s="109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</row>
    <row r="893" ht="33.0" customHeight="1">
      <c r="A893" s="50"/>
      <c r="B893" s="50"/>
      <c r="C893" s="50"/>
      <c r="D893" s="109"/>
      <c r="E893" s="50"/>
      <c r="F893" s="50"/>
      <c r="G893" s="109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</row>
    <row r="894" ht="33.0" customHeight="1">
      <c r="A894" s="50"/>
      <c r="B894" s="50"/>
      <c r="C894" s="50"/>
      <c r="D894" s="109"/>
      <c r="E894" s="50"/>
      <c r="F894" s="50"/>
      <c r="G894" s="109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</row>
    <row r="895" ht="33.0" customHeight="1">
      <c r="A895" s="50"/>
      <c r="B895" s="50"/>
      <c r="C895" s="50"/>
      <c r="D895" s="109"/>
      <c r="E895" s="50"/>
      <c r="F895" s="50"/>
      <c r="G895" s="109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</row>
    <row r="896" ht="33.0" customHeight="1">
      <c r="A896" s="50"/>
      <c r="B896" s="50"/>
      <c r="C896" s="50"/>
      <c r="D896" s="109"/>
      <c r="E896" s="50"/>
      <c r="F896" s="50"/>
      <c r="G896" s="109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</row>
    <row r="897" ht="33.0" customHeight="1">
      <c r="A897" s="50"/>
      <c r="B897" s="50"/>
      <c r="C897" s="50"/>
      <c r="D897" s="109"/>
      <c r="E897" s="50"/>
      <c r="F897" s="50"/>
      <c r="G897" s="109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</row>
    <row r="898" ht="33.0" customHeight="1">
      <c r="A898" s="50"/>
      <c r="B898" s="50"/>
      <c r="C898" s="50"/>
      <c r="D898" s="109"/>
      <c r="E898" s="50"/>
      <c r="F898" s="50"/>
      <c r="G898" s="109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</row>
    <row r="899" ht="33.0" customHeight="1">
      <c r="A899" s="50"/>
      <c r="B899" s="50"/>
      <c r="C899" s="50"/>
      <c r="D899" s="109"/>
      <c r="E899" s="50"/>
      <c r="F899" s="50"/>
      <c r="G899" s="109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</row>
    <row r="900" ht="33.0" customHeight="1">
      <c r="A900" s="50"/>
      <c r="B900" s="50"/>
      <c r="C900" s="50"/>
      <c r="D900" s="109"/>
      <c r="E900" s="50"/>
      <c r="F900" s="50"/>
      <c r="G900" s="109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</row>
    <row r="901" ht="33.0" customHeight="1">
      <c r="A901" s="50"/>
      <c r="B901" s="50"/>
      <c r="C901" s="50"/>
      <c r="D901" s="109"/>
      <c r="E901" s="50"/>
      <c r="F901" s="50"/>
      <c r="G901" s="109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</row>
    <row r="902" ht="33.0" customHeight="1">
      <c r="A902" s="50"/>
      <c r="B902" s="50"/>
      <c r="C902" s="50"/>
      <c r="D902" s="109"/>
      <c r="E902" s="50"/>
      <c r="F902" s="50"/>
      <c r="G902" s="109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</row>
    <row r="903" ht="33.0" customHeight="1">
      <c r="A903" s="50"/>
      <c r="B903" s="50"/>
      <c r="C903" s="50"/>
      <c r="D903" s="109"/>
      <c r="E903" s="50"/>
      <c r="F903" s="50"/>
      <c r="G903" s="109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</row>
    <row r="904" ht="33.0" customHeight="1">
      <c r="A904" s="50"/>
      <c r="B904" s="50"/>
      <c r="C904" s="50"/>
      <c r="D904" s="109"/>
      <c r="E904" s="50"/>
      <c r="F904" s="50"/>
      <c r="G904" s="109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</row>
    <row r="905" ht="33.0" customHeight="1">
      <c r="A905" s="50"/>
      <c r="B905" s="50"/>
      <c r="C905" s="50"/>
      <c r="D905" s="109"/>
      <c r="E905" s="50"/>
      <c r="F905" s="50"/>
      <c r="G905" s="109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</row>
    <row r="906" ht="33.0" customHeight="1">
      <c r="A906" s="50"/>
      <c r="B906" s="50"/>
      <c r="C906" s="50"/>
      <c r="D906" s="109"/>
      <c r="E906" s="50"/>
      <c r="F906" s="50"/>
      <c r="G906" s="109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</row>
    <row r="907" ht="33.0" customHeight="1">
      <c r="A907" s="50"/>
      <c r="B907" s="50"/>
      <c r="C907" s="50"/>
      <c r="D907" s="109"/>
      <c r="E907" s="50"/>
      <c r="F907" s="50"/>
      <c r="G907" s="109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</row>
    <row r="908" ht="33.0" customHeight="1">
      <c r="A908" s="50"/>
      <c r="B908" s="50"/>
      <c r="C908" s="50"/>
      <c r="D908" s="109"/>
      <c r="E908" s="50"/>
      <c r="F908" s="50"/>
      <c r="G908" s="109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</row>
    <row r="909" ht="33.0" customHeight="1">
      <c r="A909" s="50"/>
      <c r="B909" s="50"/>
      <c r="C909" s="50"/>
      <c r="D909" s="109"/>
      <c r="E909" s="50"/>
      <c r="F909" s="50"/>
      <c r="G909" s="109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</row>
    <row r="910" ht="33.0" customHeight="1">
      <c r="A910" s="50"/>
      <c r="B910" s="50"/>
      <c r="C910" s="50"/>
      <c r="D910" s="109"/>
      <c r="E910" s="50"/>
      <c r="F910" s="50"/>
      <c r="G910" s="109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</row>
    <row r="911" ht="33.0" customHeight="1">
      <c r="A911" s="50"/>
      <c r="B911" s="50"/>
      <c r="C911" s="50"/>
      <c r="D911" s="109"/>
      <c r="E911" s="50"/>
      <c r="F911" s="50"/>
      <c r="G911" s="109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</row>
    <row r="912" ht="33.0" customHeight="1">
      <c r="A912" s="50"/>
      <c r="B912" s="50"/>
      <c r="C912" s="50"/>
      <c r="D912" s="109"/>
      <c r="E912" s="50"/>
      <c r="F912" s="50"/>
      <c r="G912" s="109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</row>
    <row r="913" ht="33.0" customHeight="1">
      <c r="A913" s="50"/>
      <c r="B913" s="50"/>
      <c r="C913" s="50"/>
      <c r="D913" s="109"/>
      <c r="E913" s="50"/>
      <c r="F913" s="50"/>
      <c r="G913" s="109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</row>
    <row r="914" ht="33.0" customHeight="1">
      <c r="A914" s="50"/>
      <c r="B914" s="50"/>
      <c r="C914" s="50"/>
      <c r="D914" s="109"/>
      <c r="E914" s="50"/>
      <c r="F914" s="50"/>
      <c r="G914" s="109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</row>
    <row r="915" ht="33.0" customHeight="1">
      <c r="A915" s="50"/>
      <c r="B915" s="50"/>
      <c r="C915" s="50"/>
      <c r="D915" s="109"/>
      <c r="E915" s="50"/>
      <c r="F915" s="50"/>
      <c r="G915" s="109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</row>
    <row r="916" ht="33.0" customHeight="1">
      <c r="A916" s="50"/>
      <c r="B916" s="50"/>
      <c r="C916" s="50"/>
      <c r="D916" s="109"/>
      <c r="E916" s="50"/>
      <c r="F916" s="50"/>
      <c r="G916" s="109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</row>
    <row r="917" ht="33.0" customHeight="1">
      <c r="A917" s="50"/>
      <c r="B917" s="50"/>
      <c r="C917" s="50"/>
      <c r="D917" s="109"/>
      <c r="E917" s="50"/>
      <c r="F917" s="50"/>
      <c r="G917" s="109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</row>
    <row r="918" ht="33.0" customHeight="1">
      <c r="A918" s="50"/>
      <c r="B918" s="50"/>
      <c r="C918" s="50"/>
      <c r="D918" s="109"/>
      <c r="E918" s="50"/>
      <c r="F918" s="50"/>
      <c r="G918" s="109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</row>
    <row r="919" ht="33.0" customHeight="1">
      <c r="A919" s="50"/>
      <c r="B919" s="50"/>
      <c r="C919" s="50"/>
      <c r="D919" s="109"/>
      <c r="E919" s="50"/>
      <c r="F919" s="50"/>
      <c r="G919" s="109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</row>
    <row r="920" ht="33.0" customHeight="1">
      <c r="A920" s="50"/>
      <c r="B920" s="50"/>
      <c r="C920" s="50"/>
      <c r="D920" s="109"/>
      <c r="E920" s="50"/>
      <c r="F920" s="50"/>
      <c r="G920" s="109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</row>
    <row r="921" ht="33.0" customHeight="1">
      <c r="A921" s="50"/>
      <c r="B921" s="50"/>
      <c r="C921" s="50"/>
      <c r="D921" s="109"/>
      <c r="E921" s="50"/>
      <c r="F921" s="50"/>
      <c r="G921" s="109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</row>
    <row r="922" ht="33.0" customHeight="1">
      <c r="A922" s="50"/>
      <c r="B922" s="50"/>
      <c r="C922" s="50"/>
      <c r="D922" s="109"/>
      <c r="E922" s="50"/>
      <c r="F922" s="50"/>
      <c r="G922" s="109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</row>
    <row r="923" ht="33.0" customHeight="1">
      <c r="A923" s="50"/>
      <c r="B923" s="50"/>
      <c r="C923" s="50"/>
      <c r="D923" s="109"/>
      <c r="E923" s="50"/>
      <c r="F923" s="50"/>
      <c r="G923" s="109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</row>
    <row r="924" ht="33.0" customHeight="1">
      <c r="A924" s="50"/>
      <c r="B924" s="50"/>
      <c r="C924" s="50"/>
      <c r="D924" s="109"/>
      <c r="E924" s="50"/>
      <c r="F924" s="50"/>
      <c r="G924" s="109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</row>
  </sheetData>
  <autoFilter ref="$A$1:$W$36">
    <sortState ref="A1:W36">
      <sortCondition ref="E1:E36"/>
      <sortCondition ref="H1:H36"/>
    </sortState>
  </autoFilter>
  <customSheetViews>
    <customSheetView guid="{1F3284C1-1720-4A5A-9858-18A0C2CFEDB8}" filter="1" showAutoFilter="1">
      <autoFilter ref="$A$1:$I$924"/>
    </customSheetView>
    <customSheetView guid="{4C231062-5D4D-4DE6-B9D4-2D8A0C5A4DC8}" filter="1" showAutoFilter="1">
      <autoFilter ref="$A$1:$I$924">
        <sortState ref="A1:I924">
          <sortCondition ref="G1:G924"/>
        </sortState>
      </autoFilter>
    </customSheetView>
  </customSheetView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14"/>
    <col customWidth="1" min="2" max="2" width="9.71"/>
    <col customWidth="1" min="3" max="3" width="33.0"/>
    <col customWidth="1" min="4" max="4" width="19.71"/>
    <col customWidth="1" min="5" max="5" width="14.57"/>
    <col customWidth="1" min="6" max="6" width="17.0"/>
    <col customWidth="1" min="7" max="7" width="17.71"/>
    <col customWidth="1" min="8" max="8" width="31.57"/>
    <col customWidth="1" min="9" max="9" width="40.86"/>
    <col customWidth="1" min="10" max="22" width="34.71"/>
  </cols>
  <sheetData>
    <row r="1" ht="22.5" customHeight="1">
      <c r="A1" s="1" t="s">
        <v>0</v>
      </c>
      <c r="B1" s="1" t="s">
        <v>1</v>
      </c>
      <c r="C1" s="1" t="s">
        <v>2</v>
      </c>
      <c r="D1" s="110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ht="54.0" customHeight="1">
      <c r="A2" s="14" t="s">
        <v>17</v>
      </c>
      <c r="B2" s="14" t="s">
        <v>149</v>
      </c>
      <c r="C2" s="14" t="s">
        <v>150</v>
      </c>
      <c r="D2" s="14">
        <v>2.0</v>
      </c>
      <c r="E2" s="111" t="s">
        <v>151</v>
      </c>
      <c r="F2" s="14" t="s">
        <v>152</v>
      </c>
      <c r="G2" s="14">
        <v>2.0</v>
      </c>
      <c r="H2" s="112" t="s">
        <v>153</v>
      </c>
      <c r="I2" s="111" t="s">
        <v>154</v>
      </c>
      <c r="J2" s="12" t="b">
        <v>0</v>
      </c>
      <c r="K2" s="13" t="s">
        <v>155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ht="34.5" customHeight="1">
      <c r="A3" s="113" t="s">
        <v>156</v>
      </c>
      <c r="B3" s="113">
        <v>2026.0</v>
      </c>
      <c r="C3" s="113" t="s">
        <v>157</v>
      </c>
      <c r="D3" s="113">
        <v>2.0</v>
      </c>
      <c r="E3" s="114" t="s">
        <v>151</v>
      </c>
      <c r="F3" s="113" t="s">
        <v>152</v>
      </c>
      <c r="G3" s="113">
        <v>2.0</v>
      </c>
      <c r="H3" s="115"/>
      <c r="I3" s="114" t="s">
        <v>158</v>
      </c>
      <c r="J3" s="12" t="b">
        <v>0</v>
      </c>
      <c r="K3" s="13" t="s">
        <v>155</v>
      </c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</row>
    <row r="4" ht="39.75" customHeight="1">
      <c r="A4" s="27" t="s">
        <v>24</v>
      </c>
      <c r="B4" s="27">
        <v>1026.0</v>
      </c>
      <c r="C4" s="27" t="s">
        <v>159</v>
      </c>
      <c r="D4" s="27">
        <v>1.0</v>
      </c>
      <c r="E4" s="116" t="s">
        <v>151</v>
      </c>
      <c r="F4" s="27" t="s">
        <v>152</v>
      </c>
      <c r="G4" s="27">
        <v>2.0</v>
      </c>
      <c r="H4" s="117" t="s">
        <v>160</v>
      </c>
      <c r="I4" s="116" t="s">
        <v>158</v>
      </c>
      <c r="J4" s="12" t="b">
        <v>0</v>
      </c>
      <c r="K4" s="13" t="s">
        <v>155</v>
      </c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</row>
    <row r="5" ht="80.25" customHeight="1">
      <c r="A5" s="14" t="s">
        <v>17</v>
      </c>
      <c r="B5" s="14">
        <v>2226.0</v>
      </c>
      <c r="C5" s="14" t="s">
        <v>161</v>
      </c>
      <c r="D5" s="14">
        <v>3.0</v>
      </c>
      <c r="E5" s="111" t="s">
        <v>151</v>
      </c>
      <c r="F5" s="14" t="s">
        <v>152</v>
      </c>
      <c r="G5" s="14">
        <v>2.0</v>
      </c>
      <c r="H5" s="112" t="s">
        <v>162</v>
      </c>
      <c r="I5" s="111" t="s">
        <v>163</v>
      </c>
      <c r="J5" s="12" t="b">
        <v>0</v>
      </c>
      <c r="K5" s="13" t="s">
        <v>155</v>
      </c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 ht="22.5" customHeight="1">
      <c r="A6" s="93"/>
      <c r="B6" s="93"/>
      <c r="C6" s="93"/>
      <c r="D6" s="93">
        <f>SUM(D2:D5)</f>
        <v>8</v>
      </c>
      <c r="E6" s="93"/>
      <c r="F6" s="93"/>
      <c r="G6" s="93"/>
      <c r="H6" s="118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</row>
    <row r="7" ht="22.5" customHeight="1">
      <c r="A7" s="93"/>
      <c r="B7" s="93"/>
      <c r="C7" s="93"/>
      <c r="D7" s="93"/>
      <c r="E7" s="93"/>
      <c r="F7" s="93"/>
      <c r="G7" s="93"/>
      <c r="H7" s="118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</row>
    <row r="8" ht="22.5" customHeight="1">
      <c r="A8" s="93"/>
      <c r="B8" s="93"/>
      <c r="C8" s="93"/>
      <c r="D8" s="93"/>
      <c r="E8" s="93"/>
      <c r="F8" s="93"/>
      <c r="G8" s="93"/>
      <c r="H8" s="118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</row>
    <row r="9" ht="22.5" customHeight="1">
      <c r="A9" s="93"/>
      <c r="B9" s="93"/>
      <c r="C9" s="93"/>
      <c r="D9" s="93"/>
      <c r="E9" s="93"/>
      <c r="F9" s="93"/>
      <c r="G9" s="93"/>
      <c r="H9" s="118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</row>
    <row r="10" ht="22.5" customHeight="1">
      <c r="A10" s="93"/>
      <c r="B10" s="93"/>
      <c r="C10" s="93"/>
      <c r="D10" s="93"/>
      <c r="E10" s="93"/>
      <c r="F10" s="93"/>
      <c r="G10" s="93"/>
      <c r="H10" s="118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</row>
    <row r="11" ht="22.5" customHeight="1">
      <c r="A11" s="93"/>
      <c r="B11" s="93"/>
      <c r="C11" s="93"/>
      <c r="D11" s="93"/>
      <c r="E11" s="93"/>
      <c r="F11" s="93"/>
      <c r="G11" s="93"/>
      <c r="H11" s="118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</row>
    <row r="12" ht="22.5" customHeight="1">
      <c r="A12" s="93"/>
      <c r="B12" s="93"/>
      <c r="C12" s="93"/>
      <c r="D12" s="93"/>
      <c r="E12" s="93"/>
      <c r="F12" s="93"/>
      <c r="G12" s="93"/>
      <c r="H12" s="118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</row>
    <row r="13" ht="22.5" customHeight="1">
      <c r="A13" s="93"/>
      <c r="B13" s="93"/>
      <c r="C13" s="93"/>
      <c r="D13" s="93"/>
      <c r="E13" s="93"/>
      <c r="F13" s="93"/>
      <c r="G13" s="93"/>
      <c r="H13" s="118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</row>
    <row r="14" ht="22.5" customHeight="1">
      <c r="A14" s="93"/>
      <c r="B14" s="93"/>
      <c r="C14" s="93"/>
      <c r="D14" s="93"/>
      <c r="E14" s="93"/>
      <c r="F14" s="93"/>
      <c r="G14" s="93"/>
      <c r="H14" s="118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</row>
    <row r="15" ht="22.5" customHeight="1">
      <c r="A15" s="93"/>
      <c r="B15" s="93"/>
      <c r="C15" s="93"/>
      <c r="D15" s="93"/>
      <c r="E15" s="93"/>
      <c r="F15" s="93"/>
      <c r="G15" s="93"/>
      <c r="H15" s="118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</row>
    <row r="16" ht="22.5" customHeight="1">
      <c r="A16" s="93"/>
      <c r="B16" s="93"/>
      <c r="C16" s="93"/>
      <c r="D16" s="93"/>
      <c r="E16" s="93"/>
      <c r="F16" s="93"/>
      <c r="G16" s="93"/>
      <c r="H16" s="118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ht="22.5" customHeight="1">
      <c r="A17" s="93"/>
      <c r="B17" s="93"/>
      <c r="C17" s="93"/>
      <c r="D17" s="93"/>
      <c r="E17" s="93"/>
      <c r="F17" s="93"/>
      <c r="G17" s="93"/>
      <c r="H17" s="118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ht="22.5" customHeight="1">
      <c r="A18" s="93"/>
      <c r="B18" s="93"/>
      <c r="C18" s="93"/>
      <c r="D18" s="93"/>
      <c r="E18" s="93"/>
      <c r="F18" s="93"/>
      <c r="G18" s="93"/>
      <c r="H18" s="118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</row>
    <row r="19" ht="22.5" customHeight="1">
      <c r="A19" s="93"/>
      <c r="B19" s="93"/>
      <c r="C19" s="93"/>
      <c r="D19" s="93"/>
      <c r="E19" s="93"/>
      <c r="F19" s="93"/>
      <c r="G19" s="93"/>
      <c r="H19" s="118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</row>
    <row r="20" ht="22.5" customHeight="1">
      <c r="A20" s="93"/>
      <c r="B20" s="93"/>
      <c r="C20" s="93"/>
      <c r="D20" s="93"/>
      <c r="E20" s="93"/>
      <c r="F20" s="93"/>
      <c r="G20" s="93"/>
      <c r="H20" s="118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ht="22.5" customHeight="1">
      <c r="A21" s="93"/>
      <c r="B21" s="93"/>
      <c r="C21" s="93"/>
      <c r="D21" s="93"/>
      <c r="E21" s="93"/>
      <c r="F21" s="93"/>
      <c r="G21" s="93"/>
      <c r="H21" s="118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ht="22.5" customHeight="1">
      <c r="A22" s="93"/>
      <c r="B22" s="93"/>
      <c r="C22" s="93"/>
      <c r="D22" s="93"/>
      <c r="E22" s="93"/>
      <c r="F22" s="93"/>
      <c r="G22" s="93"/>
      <c r="H22" s="118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ht="22.5" customHeight="1">
      <c r="A23" s="93"/>
      <c r="B23" s="93"/>
      <c r="C23" s="93"/>
      <c r="D23" s="93"/>
      <c r="E23" s="93"/>
      <c r="F23" s="93"/>
      <c r="G23" s="93"/>
      <c r="H23" s="118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ht="22.5" customHeight="1">
      <c r="A24" s="93"/>
      <c r="B24" s="93"/>
      <c r="C24" s="93"/>
      <c r="D24" s="93"/>
      <c r="E24" s="93"/>
      <c r="F24" s="93"/>
      <c r="G24" s="93"/>
      <c r="H24" s="118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ht="22.5" customHeight="1">
      <c r="A25" s="93"/>
      <c r="B25" s="93"/>
      <c r="C25" s="93"/>
      <c r="D25" s="93"/>
      <c r="E25" s="93"/>
      <c r="F25" s="93"/>
      <c r="G25" s="93"/>
      <c r="H25" s="118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ht="22.5" customHeight="1">
      <c r="A26" s="93"/>
      <c r="B26" s="93"/>
      <c r="C26" s="93"/>
      <c r="D26" s="93"/>
      <c r="E26" s="93"/>
      <c r="F26" s="93"/>
      <c r="G26" s="93"/>
      <c r="H26" s="118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ht="22.5" customHeight="1">
      <c r="A27" s="93"/>
      <c r="B27" s="93"/>
      <c r="C27" s="93"/>
      <c r="D27" s="93"/>
      <c r="E27" s="93"/>
      <c r="F27" s="93"/>
      <c r="G27" s="93"/>
      <c r="H27" s="118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ht="22.5" customHeight="1">
      <c r="A28" s="93"/>
      <c r="B28" s="93"/>
      <c r="C28" s="93"/>
      <c r="D28" s="93"/>
      <c r="E28" s="93"/>
      <c r="F28" s="93"/>
      <c r="G28" s="93"/>
      <c r="H28" s="118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ht="22.5" customHeight="1">
      <c r="A29" s="93"/>
      <c r="B29" s="93"/>
      <c r="C29" s="93"/>
      <c r="D29" s="93"/>
      <c r="E29" s="93"/>
      <c r="F29" s="93"/>
      <c r="G29" s="93"/>
      <c r="H29" s="118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  <row r="30" ht="22.5" customHeight="1">
      <c r="A30" s="93"/>
      <c r="B30" s="93"/>
      <c r="C30" s="93"/>
      <c r="D30" s="93"/>
      <c r="E30" s="93"/>
      <c r="F30" s="93"/>
      <c r="G30" s="93"/>
      <c r="H30" s="118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</row>
    <row r="31" ht="22.5" customHeight="1">
      <c r="A31" s="93"/>
      <c r="B31" s="93"/>
      <c r="C31" s="93"/>
      <c r="D31" s="93"/>
      <c r="E31" s="93"/>
      <c r="F31" s="93"/>
      <c r="G31" s="93"/>
      <c r="H31" s="118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</row>
    <row r="32" ht="22.5" customHeight="1">
      <c r="A32" s="93"/>
      <c r="B32" s="93"/>
      <c r="C32" s="93"/>
      <c r="D32" s="93"/>
      <c r="E32" s="93"/>
      <c r="F32" s="93"/>
      <c r="G32" s="93"/>
      <c r="H32" s="118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ht="22.5" customHeight="1">
      <c r="A33" s="93"/>
      <c r="B33" s="93"/>
      <c r="C33" s="93"/>
      <c r="D33" s="93"/>
      <c r="E33" s="93"/>
      <c r="F33" s="93"/>
      <c r="G33" s="93"/>
      <c r="H33" s="118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ht="22.5" customHeight="1">
      <c r="A34" s="93"/>
      <c r="B34" s="93"/>
      <c r="C34" s="93"/>
      <c r="D34" s="93"/>
      <c r="E34" s="93"/>
      <c r="F34" s="93"/>
      <c r="G34" s="93"/>
      <c r="H34" s="118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</row>
    <row r="35" ht="22.5" customHeight="1">
      <c r="A35" s="93"/>
      <c r="B35" s="93"/>
      <c r="C35" s="93"/>
      <c r="D35" s="93"/>
      <c r="E35" s="93"/>
      <c r="F35" s="93"/>
      <c r="G35" s="93"/>
      <c r="H35" s="118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</row>
    <row r="36" ht="22.5" customHeight="1">
      <c r="A36" s="93"/>
      <c r="B36" s="93"/>
      <c r="C36" s="93"/>
      <c r="D36" s="93"/>
      <c r="E36" s="93"/>
      <c r="F36" s="93"/>
      <c r="G36" s="93"/>
      <c r="H36" s="118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22.5" customHeight="1">
      <c r="A37" s="93"/>
      <c r="B37" s="93"/>
      <c r="C37" s="93"/>
      <c r="D37" s="93"/>
      <c r="E37" s="93"/>
      <c r="F37" s="93"/>
      <c r="G37" s="93"/>
      <c r="H37" s="118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</row>
    <row r="38" ht="22.5" customHeight="1">
      <c r="A38" s="93"/>
      <c r="B38" s="93"/>
      <c r="C38" s="93"/>
      <c r="D38" s="93"/>
      <c r="E38" s="93"/>
      <c r="F38" s="93"/>
      <c r="G38" s="93"/>
      <c r="H38" s="118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</row>
    <row r="39" ht="22.5" customHeight="1">
      <c r="A39" s="93"/>
      <c r="B39" s="93"/>
      <c r="C39" s="93"/>
      <c r="D39" s="93"/>
      <c r="E39" s="93"/>
      <c r="F39" s="93"/>
      <c r="G39" s="93"/>
      <c r="H39" s="118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</row>
    <row r="40" ht="22.5" customHeight="1">
      <c r="A40" s="93"/>
      <c r="B40" s="93"/>
      <c r="C40" s="93"/>
      <c r="D40" s="93"/>
      <c r="E40" s="93"/>
      <c r="F40" s="93"/>
      <c r="G40" s="93"/>
      <c r="H40" s="118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ht="22.5" customHeight="1">
      <c r="A41" s="93"/>
      <c r="B41" s="93"/>
      <c r="C41" s="93"/>
      <c r="D41" s="93"/>
      <c r="E41" s="93"/>
      <c r="F41" s="93"/>
      <c r="G41" s="93"/>
      <c r="H41" s="118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ht="22.5" customHeight="1">
      <c r="A42" s="93"/>
      <c r="B42" s="93"/>
      <c r="C42" s="93"/>
      <c r="D42" s="93"/>
      <c r="E42" s="93"/>
      <c r="F42" s="93"/>
      <c r="G42" s="93"/>
      <c r="H42" s="118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ht="22.5" customHeight="1">
      <c r="A43" s="93"/>
      <c r="B43" s="93"/>
      <c r="C43" s="93"/>
      <c r="D43" s="93"/>
      <c r="E43" s="93"/>
      <c r="F43" s="93"/>
      <c r="G43" s="93"/>
      <c r="H43" s="118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</row>
    <row r="44" ht="22.5" customHeight="1">
      <c r="A44" s="93"/>
      <c r="B44" s="93"/>
      <c r="C44" s="93"/>
      <c r="D44" s="93"/>
      <c r="E44" s="93"/>
      <c r="F44" s="93"/>
      <c r="G44" s="93"/>
      <c r="H44" s="118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</row>
    <row r="45" ht="22.5" customHeight="1">
      <c r="A45" s="93"/>
      <c r="B45" s="93"/>
      <c r="C45" s="93"/>
      <c r="D45" s="93"/>
      <c r="E45" s="93"/>
      <c r="F45" s="93"/>
      <c r="G45" s="93"/>
      <c r="H45" s="118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ht="22.5" customHeight="1">
      <c r="A46" s="93"/>
      <c r="B46" s="93"/>
      <c r="C46" s="93"/>
      <c r="D46" s="93"/>
      <c r="E46" s="93"/>
      <c r="F46" s="93"/>
      <c r="G46" s="93"/>
      <c r="H46" s="118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ht="22.5" customHeight="1">
      <c r="A47" s="93"/>
      <c r="B47" s="93"/>
      <c r="C47" s="93"/>
      <c r="D47" s="93"/>
      <c r="E47" s="93"/>
      <c r="F47" s="93"/>
      <c r="G47" s="93"/>
      <c r="H47" s="118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ht="22.5" customHeight="1">
      <c r="A48" s="93"/>
      <c r="B48" s="93"/>
      <c r="C48" s="93"/>
      <c r="D48" s="93"/>
      <c r="E48" s="93"/>
      <c r="F48" s="93"/>
      <c r="G48" s="93"/>
      <c r="H48" s="118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ht="22.5" customHeight="1">
      <c r="A49" s="93"/>
      <c r="B49" s="93"/>
      <c r="C49" s="93"/>
      <c r="D49" s="93"/>
      <c r="E49" s="93"/>
      <c r="F49" s="93"/>
      <c r="G49" s="93"/>
      <c r="H49" s="118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ht="22.5" customHeight="1">
      <c r="A50" s="93"/>
      <c r="B50" s="93"/>
      <c r="C50" s="93"/>
      <c r="D50" s="93"/>
      <c r="E50" s="93"/>
      <c r="F50" s="93"/>
      <c r="G50" s="93"/>
      <c r="H50" s="118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ht="22.5" customHeight="1">
      <c r="A51" s="93"/>
      <c r="B51" s="93"/>
      <c r="C51" s="93"/>
      <c r="D51" s="93"/>
      <c r="E51" s="93"/>
      <c r="F51" s="93"/>
      <c r="G51" s="93"/>
      <c r="H51" s="118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ht="22.5" customHeight="1">
      <c r="A52" s="93"/>
      <c r="B52" s="93"/>
      <c r="C52" s="93"/>
      <c r="D52" s="93"/>
      <c r="E52" s="93"/>
      <c r="F52" s="93"/>
      <c r="G52" s="93"/>
      <c r="H52" s="118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ht="22.5" customHeight="1">
      <c r="A53" s="93"/>
      <c r="B53" s="93"/>
      <c r="C53" s="93"/>
      <c r="D53" s="93"/>
      <c r="E53" s="93"/>
      <c r="F53" s="93"/>
      <c r="G53" s="93"/>
      <c r="H53" s="118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ht="22.5" customHeight="1">
      <c r="A54" s="93"/>
      <c r="B54" s="93"/>
      <c r="C54" s="93"/>
      <c r="D54" s="93"/>
      <c r="E54" s="93"/>
      <c r="F54" s="93"/>
      <c r="G54" s="93"/>
      <c r="H54" s="118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ht="22.5" customHeight="1">
      <c r="A55" s="93"/>
      <c r="B55" s="93"/>
      <c r="C55" s="93"/>
      <c r="D55" s="93"/>
      <c r="E55" s="93"/>
      <c r="F55" s="93"/>
      <c r="G55" s="93"/>
      <c r="H55" s="118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ht="22.5" customHeight="1">
      <c r="A56" s="93"/>
      <c r="B56" s="93"/>
      <c r="C56" s="93"/>
      <c r="D56" s="93"/>
      <c r="E56" s="93"/>
      <c r="F56" s="93"/>
      <c r="G56" s="93"/>
      <c r="H56" s="118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ht="22.5" customHeight="1">
      <c r="A57" s="93"/>
      <c r="B57" s="93"/>
      <c r="C57" s="93"/>
      <c r="D57" s="93"/>
      <c r="E57" s="93"/>
      <c r="F57" s="93"/>
      <c r="G57" s="93"/>
      <c r="H57" s="118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ht="22.5" customHeight="1">
      <c r="A58" s="93"/>
      <c r="B58" s="93"/>
      <c r="C58" s="93"/>
      <c r="D58" s="93"/>
      <c r="E58" s="93"/>
      <c r="F58" s="93"/>
      <c r="G58" s="93"/>
      <c r="H58" s="118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ht="22.5" customHeight="1">
      <c r="A59" s="93"/>
      <c r="B59" s="93"/>
      <c r="C59" s="93"/>
      <c r="D59" s="93"/>
      <c r="E59" s="93"/>
      <c r="F59" s="93"/>
      <c r="G59" s="93"/>
      <c r="H59" s="118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ht="22.5" customHeight="1">
      <c r="A60" s="93"/>
      <c r="B60" s="93"/>
      <c r="C60" s="93"/>
      <c r="D60" s="93"/>
      <c r="E60" s="93"/>
      <c r="F60" s="93"/>
      <c r="G60" s="93"/>
      <c r="H60" s="118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ht="22.5" customHeight="1">
      <c r="A61" s="93"/>
      <c r="B61" s="93"/>
      <c r="C61" s="93"/>
      <c r="D61" s="93"/>
      <c r="E61" s="93"/>
      <c r="F61" s="93"/>
      <c r="G61" s="93"/>
      <c r="H61" s="118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ht="22.5" customHeight="1">
      <c r="A62" s="93"/>
      <c r="B62" s="93"/>
      <c r="C62" s="93"/>
      <c r="D62" s="93"/>
      <c r="E62" s="93"/>
      <c r="F62" s="93"/>
      <c r="G62" s="93"/>
      <c r="H62" s="118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ht="22.5" customHeight="1">
      <c r="A63" s="93"/>
      <c r="B63" s="93"/>
      <c r="C63" s="93"/>
      <c r="D63" s="93"/>
      <c r="E63" s="93"/>
      <c r="F63" s="93"/>
      <c r="G63" s="93"/>
      <c r="H63" s="118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ht="22.5" customHeight="1">
      <c r="A64" s="93"/>
      <c r="B64" s="93"/>
      <c r="C64" s="93"/>
      <c r="D64" s="93"/>
      <c r="E64" s="93"/>
      <c r="F64" s="93"/>
      <c r="G64" s="93"/>
      <c r="H64" s="118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ht="22.5" customHeight="1">
      <c r="A65" s="93"/>
      <c r="B65" s="93"/>
      <c r="C65" s="93"/>
      <c r="D65" s="93"/>
      <c r="E65" s="93"/>
      <c r="F65" s="93"/>
      <c r="G65" s="93"/>
      <c r="H65" s="118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ht="22.5" customHeight="1">
      <c r="A66" s="93"/>
      <c r="B66" s="93"/>
      <c r="C66" s="93"/>
      <c r="D66" s="93"/>
      <c r="E66" s="93"/>
      <c r="F66" s="93"/>
      <c r="G66" s="93"/>
      <c r="H66" s="118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ht="22.5" customHeight="1">
      <c r="A67" s="93"/>
      <c r="B67" s="93"/>
      <c r="C67" s="93"/>
      <c r="D67" s="93"/>
      <c r="E67" s="93"/>
      <c r="F67" s="93"/>
      <c r="G67" s="93"/>
      <c r="H67" s="118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ht="22.5" customHeight="1">
      <c r="A68" s="93"/>
      <c r="B68" s="93"/>
      <c r="C68" s="93"/>
      <c r="D68" s="93"/>
      <c r="E68" s="93"/>
      <c r="F68" s="93"/>
      <c r="G68" s="93"/>
      <c r="H68" s="118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69" ht="22.5" customHeight="1">
      <c r="A69" s="93"/>
      <c r="B69" s="93"/>
      <c r="C69" s="93"/>
      <c r="D69" s="93"/>
      <c r="E69" s="93"/>
      <c r="F69" s="93"/>
      <c r="G69" s="93"/>
      <c r="H69" s="118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</row>
    <row r="70" ht="22.5" customHeight="1">
      <c r="A70" s="93"/>
      <c r="B70" s="93"/>
      <c r="C70" s="93"/>
      <c r="D70" s="93"/>
      <c r="E70" s="93"/>
      <c r="F70" s="93"/>
      <c r="G70" s="93"/>
      <c r="H70" s="118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</row>
    <row r="71" ht="22.5" customHeight="1">
      <c r="A71" s="93"/>
      <c r="B71" s="93"/>
      <c r="C71" s="93"/>
      <c r="D71" s="93"/>
      <c r="E71" s="93"/>
      <c r="F71" s="93"/>
      <c r="G71" s="93"/>
      <c r="H71" s="118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</row>
    <row r="72" ht="22.5" customHeight="1">
      <c r="A72" s="93"/>
      <c r="B72" s="93"/>
      <c r="C72" s="93"/>
      <c r="D72" s="93"/>
      <c r="E72" s="93"/>
      <c r="F72" s="93"/>
      <c r="G72" s="93"/>
      <c r="H72" s="118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</row>
    <row r="73" ht="22.5" customHeight="1">
      <c r="A73" s="93"/>
      <c r="B73" s="93"/>
      <c r="C73" s="93"/>
      <c r="D73" s="93"/>
      <c r="E73" s="93"/>
      <c r="F73" s="93"/>
      <c r="G73" s="93"/>
      <c r="H73" s="118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</row>
    <row r="74" ht="22.5" customHeight="1">
      <c r="A74" s="93"/>
      <c r="B74" s="93"/>
      <c r="C74" s="93"/>
      <c r="D74" s="93"/>
      <c r="E74" s="93"/>
      <c r="F74" s="93"/>
      <c r="G74" s="93"/>
      <c r="H74" s="118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</row>
    <row r="75" ht="22.5" customHeight="1">
      <c r="A75" s="93"/>
      <c r="B75" s="93"/>
      <c r="C75" s="93"/>
      <c r="D75" s="93"/>
      <c r="E75" s="93"/>
      <c r="F75" s="93"/>
      <c r="G75" s="93"/>
      <c r="H75" s="118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ht="22.5" customHeight="1">
      <c r="A76" s="93"/>
      <c r="B76" s="93"/>
      <c r="C76" s="93"/>
      <c r="D76" s="93"/>
      <c r="E76" s="93"/>
      <c r="F76" s="93"/>
      <c r="G76" s="93"/>
      <c r="H76" s="118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</row>
    <row r="77" ht="22.5" customHeight="1">
      <c r="A77" s="93"/>
      <c r="B77" s="93"/>
      <c r="C77" s="93"/>
      <c r="D77" s="93"/>
      <c r="E77" s="93"/>
      <c r="F77" s="93"/>
      <c r="G77" s="93"/>
      <c r="H77" s="118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</row>
    <row r="78" ht="22.5" customHeight="1">
      <c r="A78" s="93"/>
      <c r="B78" s="93"/>
      <c r="C78" s="93"/>
      <c r="D78" s="93"/>
      <c r="E78" s="93"/>
      <c r="F78" s="93"/>
      <c r="G78" s="93"/>
      <c r="H78" s="118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</row>
    <row r="79" ht="22.5" customHeight="1">
      <c r="A79" s="93"/>
      <c r="B79" s="93"/>
      <c r="C79" s="93"/>
      <c r="D79" s="93"/>
      <c r="E79" s="93"/>
      <c r="F79" s="93"/>
      <c r="G79" s="93"/>
      <c r="H79" s="118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</row>
    <row r="80" ht="22.5" customHeight="1">
      <c r="A80" s="93"/>
      <c r="B80" s="93"/>
      <c r="C80" s="93"/>
      <c r="D80" s="93"/>
      <c r="E80" s="93"/>
      <c r="F80" s="93"/>
      <c r="G80" s="93"/>
      <c r="H80" s="118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</row>
    <row r="81" ht="22.5" customHeight="1">
      <c r="A81" s="93"/>
      <c r="B81" s="93"/>
      <c r="C81" s="93"/>
      <c r="D81" s="93"/>
      <c r="E81" s="93"/>
      <c r="F81" s="93"/>
      <c r="G81" s="93"/>
      <c r="H81" s="118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ht="22.5" customHeight="1">
      <c r="A82" s="93"/>
      <c r="B82" s="93"/>
      <c r="C82" s="93"/>
      <c r="D82" s="93"/>
      <c r="E82" s="93"/>
      <c r="F82" s="93"/>
      <c r="G82" s="93"/>
      <c r="H82" s="118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</row>
    <row r="83" ht="22.5" customHeight="1">
      <c r="A83" s="93"/>
      <c r="B83" s="93"/>
      <c r="C83" s="93"/>
      <c r="D83" s="93"/>
      <c r="E83" s="93"/>
      <c r="F83" s="93"/>
      <c r="G83" s="93"/>
      <c r="H83" s="118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</row>
    <row r="84" ht="22.5" customHeight="1">
      <c r="A84" s="93"/>
      <c r="B84" s="93"/>
      <c r="C84" s="93"/>
      <c r="D84" s="93"/>
      <c r="E84" s="93"/>
      <c r="F84" s="93"/>
      <c r="G84" s="93"/>
      <c r="H84" s="118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</row>
    <row r="85" ht="22.5" customHeight="1">
      <c r="A85" s="93"/>
      <c r="B85" s="93"/>
      <c r="C85" s="93"/>
      <c r="D85" s="93"/>
      <c r="E85" s="93"/>
      <c r="F85" s="93"/>
      <c r="G85" s="93"/>
      <c r="H85" s="118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</row>
    <row r="86" ht="22.5" customHeight="1">
      <c r="A86" s="93"/>
      <c r="B86" s="93"/>
      <c r="C86" s="93"/>
      <c r="D86" s="93"/>
      <c r="E86" s="93"/>
      <c r="F86" s="93"/>
      <c r="G86" s="93"/>
      <c r="H86" s="118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</row>
    <row r="87" ht="22.5" customHeight="1">
      <c r="A87" s="93"/>
      <c r="B87" s="93"/>
      <c r="C87" s="93"/>
      <c r="D87" s="93"/>
      <c r="E87" s="93"/>
      <c r="F87" s="93"/>
      <c r="G87" s="93"/>
      <c r="H87" s="118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</row>
    <row r="88" ht="22.5" customHeight="1">
      <c r="A88" s="93"/>
      <c r="B88" s="93"/>
      <c r="C88" s="93"/>
      <c r="D88" s="93"/>
      <c r="E88" s="93"/>
      <c r="F88" s="93"/>
      <c r="G88" s="93"/>
      <c r="H88" s="118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ht="22.5" customHeight="1">
      <c r="A89" s="93"/>
      <c r="B89" s="93"/>
      <c r="C89" s="93"/>
      <c r="D89" s="93"/>
      <c r="E89" s="93"/>
      <c r="F89" s="93"/>
      <c r="G89" s="93"/>
      <c r="H89" s="118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</row>
    <row r="90" ht="22.5" customHeight="1">
      <c r="A90" s="93"/>
      <c r="B90" s="93"/>
      <c r="C90" s="93"/>
      <c r="D90" s="93"/>
      <c r="E90" s="93"/>
      <c r="F90" s="93"/>
      <c r="G90" s="93"/>
      <c r="H90" s="118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</row>
    <row r="91" ht="22.5" customHeight="1">
      <c r="A91" s="93"/>
      <c r="B91" s="93"/>
      <c r="C91" s="93"/>
      <c r="D91" s="93"/>
      <c r="E91" s="93"/>
      <c r="F91" s="93"/>
      <c r="G91" s="93"/>
      <c r="H91" s="118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</row>
    <row r="92" ht="22.5" customHeight="1">
      <c r="A92" s="93"/>
      <c r="B92" s="93"/>
      <c r="C92" s="93"/>
      <c r="D92" s="93"/>
      <c r="E92" s="93"/>
      <c r="F92" s="93"/>
      <c r="G92" s="93"/>
      <c r="H92" s="118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</row>
    <row r="93" ht="22.5" customHeight="1">
      <c r="A93" s="93"/>
      <c r="B93" s="93"/>
      <c r="C93" s="93"/>
      <c r="D93" s="93"/>
      <c r="E93" s="93"/>
      <c r="F93" s="93"/>
      <c r="G93" s="93"/>
      <c r="H93" s="118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</row>
    <row r="94" ht="22.5" customHeight="1">
      <c r="A94" s="93"/>
      <c r="B94" s="93"/>
      <c r="C94" s="93"/>
      <c r="D94" s="93"/>
      <c r="E94" s="93"/>
      <c r="F94" s="93"/>
      <c r="G94" s="93"/>
      <c r="H94" s="118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</row>
    <row r="95" ht="22.5" customHeight="1">
      <c r="A95" s="93"/>
      <c r="B95" s="93"/>
      <c r="C95" s="93"/>
      <c r="D95" s="93"/>
      <c r="E95" s="93"/>
      <c r="F95" s="93"/>
      <c r="G95" s="93"/>
      <c r="H95" s="118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</row>
    <row r="96" ht="22.5" customHeight="1">
      <c r="A96" s="93"/>
      <c r="B96" s="93"/>
      <c r="C96" s="93"/>
      <c r="D96" s="93"/>
      <c r="E96" s="93"/>
      <c r="F96" s="93"/>
      <c r="G96" s="93"/>
      <c r="H96" s="118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</row>
    <row r="97" ht="22.5" customHeight="1">
      <c r="A97" s="93"/>
      <c r="B97" s="93"/>
      <c r="C97" s="93"/>
      <c r="D97" s="93"/>
      <c r="E97" s="93"/>
      <c r="F97" s="93"/>
      <c r="G97" s="93"/>
      <c r="H97" s="118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</row>
    <row r="98" ht="22.5" customHeight="1">
      <c r="A98" s="93"/>
      <c r="B98" s="93"/>
      <c r="C98" s="93"/>
      <c r="D98" s="93"/>
      <c r="E98" s="93"/>
      <c r="F98" s="93"/>
      <c r="G98" s="93"/>
      <c r="H98" s="118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</row>
    <row r="99" ht="22.5" customHeight="1">
      <c r="A99" s="93"/>
      <c r="B99" s="93"/>
      <c r="C99" s="93"/>
      <c r="D99" s="93"/>
      <c r="E99" s="93"/>
      <c r="F99" s="93"/>
      <c r="G99" s="93"/>
      <c r="H99" s="118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</row>
    <row r="100" ht="22.5" customHeight="1">
      <c r="A100" s="93"/>
      <c r="B100" s="93"/>
      <c r="C100" s="93"/>
      <c r="D100" s="93"/>
      <c r="E100" s="93"/>
      <c r="F100" s="93"/>
      <c r="G100" s="93"/>
      <c r="H100" s="118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</row>
    <row r="101" ht="22.5" customHeight="1">
      <c r="A101" s="93"/>
      <c r="B101" s="93"/>
      <c r="C101" s="93"/>
      <c r="D101" s="93"/>
      <c r="E101" s="93"/>
      <c r="F101" s="93"/>
      <c r="G101" s="93"/>
      <c r="H101" s="118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</row>
    <row r="102" ht="22.5" customHeight="1">
      <c r="A102" s="93"/>
      <c r="B102" s="93"/>
      <c r="C102" s="93"/>
      <c r="D102" s="93"/>
      <c r="E102" s="93"/>
      <c r="F102" s="93"/>
      <c r="G102" s="93"/>
      <c r="H102" s="118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</row>
    <row r="103" ht="22.5" customHeight="1">
      <c r="A103" s="93"/>
      <c r="B103" s="93"/>
      <c r="C103" s="93"/>
      <c r="D103" s="93"/>
      <c r="E103" s="93"/>
      <c r="F103" s="93"/>
      <c r="G103" s="93"/>
      <c r="H103" s="118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</row>
    <row r="104" ht="22.5" customHeight="1">
      <c r="A104" s="93"/>
      <c r="B104" s="93"/>
      <c r="C104" s="93"/>
      <c r="D104" s="93"/>
      <c r="E104" s="93"/>
      <c r="F104" s="93"/>
      <c r="G104" s="93"/>
      <c r="H104" s="118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</row>
    <row r="105" ht="22.5" customHeight="1">
      <c r="A105" s="93"/>
      <c r="B105" s="93"/>
      <c r="C105" s="93"/>
      <c r="D105" s="93"/>
      <c r="E105" s="93"/>
      <c r="F105" s="93"/>
      <c r="G105" s="93"/>
      <c r="H105" s="118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</row>
    <row r="106" ht="22.5" customHeight="1">
      <c r="A106" s="93"/>
      <c r="B106" s="93"/>
      <c r="C106" s="93"/>
      <c r="D106" s="93"/>
      <c r="E106" s="93"/>
      <c r="F106" s="93"/>
      <c r="G106" s="93"/>
      <c r="H106" s="118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</row>
    <row r="107" ht="22.5" customHeight="1">
      <c r="A107" s="93"/>
      <c r="B107" s="93"/>
      <c r="C107" s="93"/>
      <c r="D107" s="93"/>
      <c r="E107" s="93"/>
      <c r="F107" s="93"/>
      <c r="G107" s="93"/>
      <c r="H107" s="118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</row>
    <row r="108" ht="22.5" customHeight="1">
      <c r="A108" s="93"/>
      <c r="B108" s="93"/>
      <c r="C108" s="93"/>
      <c r="D108" s="93"/>
      <c r="E108" s="93"/>
      <c r="F108" s="93"/>
      <c r="G108" s="93"/>
      <c r="H108" s="118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</row>
    <row r="109" ht="22.5" customHeight="1">
      <c r="A109" s="93"/>
      <c r="B109" s="93"/>
      <c r="C109" s="93"/>
      <c r="D109" s="93"/>
      <c r="E109" s="93"/>
      <c r="F109" s="93"/>
      <c r="G109" s="93"/>
      <c r="H109" s="118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</row>
    <row r="110" ht="22.5" customHeight="1">
      <c r="A110" s="93"/>
      <c r="B110" s="93"/>
      <c r="C110" s="93"/>
      <c r="D110" s="93"/>
      <c r="E110" s="93"/>
      <c r="F110" s="93"/>
      <c r="G110" s="93"/>
      <c r="H110" s="118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</row>
    <row r="111" ht="22.5" customHeight="1">
      <c r="A111" s="93"/>
      <c r="B111" s="93"/>
      <c r="C111" s="93"/>
      <c r="D111" s="93"/>
      <c r="E111" s="93"/>
      <c r="F111" s="93"/>
      <c r="G111" s="93"/>
      <c r="H111" s="118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</row>
    <row r="112" ht="22.5" customHeight="1">
      <c r="A112" s="93"/>
      <c r="B112" s="93"/>
      <c r="C112" s="93"/>
      <c r="D112" s="93"/>
      <c r="E112" s="93"/>
      <c r="F112" s="93"/>
      <c r="G112" s="93"/>
      <c r="H112" s="118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</row>
    <row r="113" ht="22.5" customHeight="1">
      <c r="A113" s="93"/>
      <c r="B113" s="93"/>
      <c r="C113" s="93"/>
      <c r="D113" s="93"/>
      <c r="E113" s="93"/>
      <c r="F113" s="93"/>
      <c r="G113" s="93"/>
      <c r="H113" s="118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</row>
    <row r="114" ht="22.5" customHeight="1">
      <c r="A114" s="93"/>
      <c r="B114" s="93"/>
      <c r="C114" s="93"/>
      <c r="D114" s="93"/>
      <c r="E114" s="93"/>
      <c r="F114" s="93"/>
      <c r="G114" s="93"/>
      <c r="H114" s="118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</row>
    <row r="115" ht="22.5" customHeight="1">
      <c r="A115" s="93"/>
      <c r="B115" s="93"/>
      <c r="C115" s="93"/>
      <c r="D115" s="93"/>
      <c r="E115" s="93"/>
      <c r="F115" s="93"/>
      <c r="G115" s="93"/>
      <c r="H115" s="118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</row>
    <row r="116" ht="22.5" customHeight="1">
      <c r="A116" s="93"/>
      <c r="B116" s="93"/>
      <c r="C116" s="93"/>
      <c r="D116" s="93"/>
      <c r="E116" s="93"/>
      <c r="F116" s="93"/>
      <c r="G116" s="93"/>
      <c r="H116" s="118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</row>
    <row r="117" ht="22.5" customHeight="1">
      <c r="A117" s="93"/>
      <c r="B117" s="93"/>
      <c r="C117" s="93"/>
      <c r="D117" s="93"/>
      <c r="E117" s="93"/>
      <c r="F117" s="93"/>
      <c r="G117" s="93"/>
      <c r="H117" s="118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</row>
    <row r="118" ht="22.5" customHeight="1">
      <c r="A118" s="93"/>
      <c r="B118" s="93"/>
      <c r="C118" s="93"/>
      <c r="D118" s="93"/>
      <c r="E118" s="93"/>
      <c r="F118" s="93"/>
      <c r="G118" s="93"/>
      <c r="H118" s="118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</row>
    <row r="119" ht="22.5" customHeight="1">
      <c r="A119" s="93"/>
      <c r="B119" s="93"/>
      <c r="C119" s="93"/>
      <c r="D119" s="93"/>
      <c r="E119" s="93"/>
      <c r="F119" s="93"/>
      <c r="G119" s="93"/>
      <c r="H119" s="118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</row>
    <row r="120" ht="22.5" customHeight="1">
      <c r="A120" s="93"/>
      <c r="B120" s="93"/>
      <c r="C120" s="93"/>
      <c r="D120" s="93"/>
      <c r="E120" s="93"/>
      <c r="F120" s="93"/>
      <c r="G120" s="93"/>
      <c r="H120" s="118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</row>
    <row r="121" ht="22.5" customHeight="1">
      <c r="A121" s="93"/>
      <c r="B121" s="93"/>
      <c r="C121" s="93"/>
      <c r="D121" s="93"/>
      <c r="E121" s="93"/>
      <c r="F121" s="93"/>
      <c r="G121" s="93"/>
      <c r="H121" s="118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ht="22.5" customHeight="1">
      <c r="A122" s="93"/>
      <c r="B122" s="93"/>
      <c r="C122" s="93"/>
      <c r="D122" s="93"/>
      <c r="E122" s="93"/>
      <c r="F122" s="93"/>
      <c r="G122" s="93"/>
      <c r="H122" s="118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</row>
    <row r="123" ht="22.5" customHeight="1">
      <c r="A123" s="93"/>
      <c r="B123" s="93"/>
      <c r="C123" s="93"/>
      <c r="D123" s="93"/>
      <c r="E123" s="93"/>
      <c r="F123" s="93"/>
      <c r="G123" s="93"/>
      <c r="H123" s="118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</row>
    <row r="124" ht="22.5" customHeight="1">
      <c r="A124" s="93"/>
      <c r="B124" s="93"/>
      <c r="C124" s="93"/>
      <c r="D124" s="93"/>
      <c r="E124" s="93"/>
      <c r="F124" s="93"/>
      <c r="G124" s="93"/>
      <c r="H124" s="118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</row>
    <row r="125" ht="22.5" customHeight="1">
      <c r="A125" s="93"/>
      <c r="B125" s="93"/>
      <c r="C125" s="93"/>
      <c r="D125" s="93"/>
      <c r="E125" s="93"/>
      <c r="F125" s="93"/>
      <c r="G125" s="93"/>
      <c r="H125" s="118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</row>
    <row r="126" ht="22.5" customHeight="1">
      <c r="A126" s="93"/>
      <c r="B126" s="93"/>
      <c r="C126" s="93"/>
      <c r="D126" s="93"/>
      <c r="E126" s="93"/>
      <c r="F126" s="93"/>
      <c r="G126" s="93"/>
      <c r="H126" s="118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</row>
    <row r="127" ht="22.5" customHeight="1">
      <c r="A127" s="93"/>
      <c r="B127" s="93"/>
      <c r="C127" s="93"/>
      <c r="D127" s="93"/>
      <c r="E127" s="93"/>
      <c r="F127" s="93"/>
      <c r="G127" s="93"/>
      <c r="H127" s="118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</row>
    <row r="128" ht="22.5" customHeight="1">
      <c r="A128" s="93"/>
      <c r="B128" s="93"/>
      <c r="C128" s="93"/>
      <c r="D128" s="93"/>
      <c r="E128" s="93"/>
      <c r="F128" s="93"/>
      <c r="G128" s="93"/>
      <c r="H128" s="118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</row>
    <row r="129" ht="22.5" customHeight="1">
      <c r="A129" s="93"/>
      <c r="B129" s="93"/>
      <c r="C129" s="93"/>
      <c r="D129" s="93"/>
      <c r="E129" s="93"/>
      <c r="F129" s="93"/>
      <c r="G129" s="93"/>
      <c r="H129" s="118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ht="22.5" customHeight="1">
      <c r="A130" s="93"/>
      <c r="B130" s="93"/>
      <c r="C130" s="93"/>
      <c r="D130" s="93"/>
      <c r="E130" s="93"/>
      <c r="F130" s="93"/>
      <c r="G130" s="93"/>
      <c r="H130" s="118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</row>
    <row r="131" ht="22.5" customHeight="1">
      <c r="A131" s="93"/>
      <c r="B131" s="93"/>
      <c r="C131" s="93"/>
      <c r="D131" s="93"/>
      <c r="E131" s="93"/>
      <c r="F131" s="93"/>
      <c r="G131" s="93"/>
      <c r="H131" s="118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</row>
    <row r="132" ht="22.5" customHeight="1">
      <c r="A132" s="93"/>
      <c r="B132" s="93"/>
      <c r="C132" s="93"/>
      <c r="D132" s="93"/>
      <c r="E132" s="93"/>
      <c r="F132" s="93"/>
      <c r="G132" s="93"/>
      <c r="H132" s="118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</row>
    <row r="133" ht="22.5" customHeight="1">
      <c r="A133" s="93"/>
      <c r="B133" s="93"/>
      <c r="C133" s="93"/>
      <c r="D133" s="93"/>
      <c r="E133" s="93"/>
      <c r="F133" s="93"/>
      <c r="G133" s="93"/>
      <c r="H133" s="118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</row>
    <row r="134" ht="22.5" customHeight="1">
      <c r="A134" s="93"/>
      <c r="B134" s="93"/>
      <c r="C134" s="93"/>
      <c r="D134" s="93"/>
      <c r="E134" s="93"/>
      <c r="F134" s="93"/>
      <c r="G134" s="93"/>
      <c r="H134" s="118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</row>
    <row r="135" ht="22.5" customHeight="1">
      <c r="A135" s="93"/>
      <c r="B135" s="93"/>
      <c r="C135" s="93"/>
      <c r="D135" s="93"/>
      <c r="E135" s="93"/>
      <c r="F135" s="93"/>
      <c r="G135" s="93"/>
      <c r="H135" s="118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</row>
    <row r="136" ht="22.5" customHeight="1">
      <c r="A136" s="93"/>
      <c r="B136" s="93"/>
      <c r="C136" s="93"/>
      <c r="D136" s="93"/>
      <c r="E136" s="93"/>
      <c r="F136" s="93"/>
      <c r="G136" s="93"/>
      <c r="H136" s="118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</row>
    <row r="137" ht="22.5" customHeight="1">
      <c r="A137" s="93"/>
      <c r="B137" s="93"/>
      <c r="C137" s="93"/>
      <c r="D137" s="93"/>
      <c r="E137" s="93"/>
      <c r="F137" s="93"/>
      <c r="G137" s="93"/>
      <c r="H137" s="118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</row>
    <row r="138" ht="22.5" customHeight="1">
      <c r="A138" s="93"/>
      <c r="B138" s="93"/>
      <c r="C138" s="93"/>
      <c r="D138" s="93"/>
      <c r="E138" s="93"/>
      <c r="F138" s="93"/>
      <c r="G138" s="93"/>
      <c r="H138" s="118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</row>
    <row r="139" ht="22.5" customHeight="1">
      <c r="A139" s="93"/>
      <c r="B139" s="93"/>
      <c r="C139" s="93"/>
      <c r="D139" s="93"/>
      <c r="E139" s="93"/>
      <c r="F139" s="93"/>
      <c r="G139" s="93"/>
      <c r="H139" s="118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</row>
    <row r="140" ht="22.5" customHeight="1">
      <c r="A140" s="93"/>
      <c r="B140" s="93"/>
      <c r="C140" s="93"/>
      <c r="D140" s="93"/>
      <c r="E140" s="93"/>
      <c r="F140" s="93"/>
      <c r="G140" s="93"/>
      <c r="H140" s="118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</row>
    <row r="141" ht="22.5" customHeight="1">
      <c r="A141" s="93"/>
      <c r="B141" s="93"/>
      <c r="C141" s="93"/>
      <c r="D141" s="93"/>
      <c r="E141" s="93"/>
      <c r="F141" s="93"/>
      <c r="G141" s="93"/>
      <c r="H141" s="118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</row>
    <row r="142" ht="22.5" customHeight="1">
      <c r="A142" s="93"/>
      <c r="B142" s="93"/>
      <c r="C142" s="93"/>
      <c r="D142" s="93"/>
      <c r="E142" s="93"/>
      <c r="F142" s="93"/>
      <c r="G142" s="93"/>
      <c r="H142" s="118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</row>
    <row r="143" ht="22.5" customHeight="1">
      <c r="A143" s="93"/>
      <c r="B143" s="93"/>
      <c r="C143" s="93"/>
      <c r="D143" s="93"/>
      <c r="E143" s="93"/>
      <c r="F143" s="93"/>
      <c r="G143" s="93"/>
      <c r="H143" s="118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</row>
    <row r="144" ht="22.5" customHeight="1">
      <c r="A144" s="93"/>
      <c r="B144" s="93"/>
      <c r="C144" s="93"/>
      <c r="D144" s="93"/>
      <c r="E144" s="93"/>
      <c r="F144" s="93"/>
      <c r="G144" s="93"/>
      <c r="H144" s="118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</row>
    <row r="145" ht="22.5" customHeight="1">
      <c r="A145" s="93"/>
      <c r="B145" s="93"/>
      <c r="C145" s="93"/>
      <c r="D145" s="93"/>
      <c r="E145" s="93"/>
      <c r="F145" s="93"/>
      <c r="G145" s="93"/>
      <c r="H145" s="118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</row>
    <row r="146" ht="22.5" customHeight="1">
      <c r="A146" s="93"/>
      <c r="B146" s="93"/>
      <c r="C146" s="93"/>
      <c r="D146" s="93"/>
      <c r="E146" s="93"/>
      <c r="F146" s="93"/>
      <c r="G146" s="93"/>
      <c r="H146" s="118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</row>
    <row r="147" ht="22.5" customHeight="1">
      <c r="A147" s="93"/>
      <c r="B147" s="93"/>
      <c r="C147" s="93"/>
      <c r="D147" s="93"/>
      <c r="E147" s="93"/>
      <c r="F147" s="93"/>
      <c r="G147" s="93"/>
      <c r="H147" s="118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</row>
    <row r="148" ht="22.5" customHeight="1">
      <c r="A148" s="93"/>
      <c r="B148" s="93"/>
      <c r="C148" s="93"/>
      <c r="D148" s="93"/>
      <c r="E148" s="93"/>
      <c r="F148" s="93"/>
      <c r="G148" s="93"/>
      <c r="H148" s="118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</row>
    <row r="149" ht="22.5" customHeight="1">
      <c r="A149" s="93"/>
      <c r="B149" s="93"/>
      <c r="C149" s="93"/>
      <c r="D149" s="93"/>
      <c r="E149" s="93"/>
      <c r="F149" s="93"/>
      <c r="G149" s="93"/>
      <c r="H149" s="118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</row>
    <row r="150" ht="22.5" customHeight="1">
      <c r="A150" s="93"/>
      <c r="B150" s="93"/>
      <c r="C150" s="93"/>
      <c r="D150" s="93"/>
      <c r="E150" s="93"/>
      <c r="F150" s="93"/>
      <c r="G150" s="93"/>
      <c r="H150" s="118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</row>
    <row r="151" ht="22.5" customHeight="1">
      <c r="A151" s="93"/>
      <c r="B151" s="93"/>
      <c r="C151" s="93"/>
      <c r="D151" s="93"/>
      <c r="E151" s="93"/>
      <c r="F151" s="93"/>
      <c r="G151" s="93"/>
      <c r="H151" s="118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</row>
    <row r="152" ht="22.5" customHeight="1">
      <c r="A152" s="93"/>
      <c r="B152" s="93"/>
      <c r="C152" s="93"/>
      <c r="D152" s="93"/>
      <c r="E152" s="93"/>
      <c r="F152" s="93"/>
      <c r="G152" s="93"/>
      <c r="H152" s="118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</row>
    <row r="153" ht="22.5" customHeight="1">
      <c r="A153" s="93"/>
      <c r="B153" s="93"/>
      <c r="C153" s="93"/>
      <c r="D153" s="93"/>
      <c r="E153" s="93"/>
      <c r="F153" s="93"/>
      <c r="G153" s="93"/>
      <c r="H153" s="118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</row>
    <row r="154" ht="22.5" customHeight="1">
      <c r="A154" s="93"/>
      <c r="B154" s="93"/>
      <c r="C154" s="93"/>
      <c r="D154" s="93"/>
      <c r="E154" s="93"/>
      <c r="F154" s="93"/>
      <c r="G154" s="93"/>
      <c r="H154" s="118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</row>
    <row r="155" ht="22.5" customHeight="1">
      <c r="A155" s="93"/>
      <c r="B155" s="93"/>
      <c r="C155" s="93"/>
      <c r="D155" s="93"/>
      <c r="E155" s="93"/>
      <c r="F155" s="93"/>
      <c r="G155" s="93"/>
      <c r="H155" s="118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</row>
    <row r="156" ht="22.5" customHeight="1">
      <c r="A156" s="93"/>
      <c r="B156" s="93"/>
      <c r="C156" s="93"/>
      <c r="D156" s="93"/>
      <c r="E156" s="93"/>
      <c r="F156" s="93"/>
      <c r="G156" s="93"/>
      <c r="H156" s="118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ht="22.5" customHeight="1">
      <c r="A157" s="93"/>
      <c r="B157" s="93"/>
      <c r="C157" s="93"/>
      <c r="D157" s="93"/>
      <c r="E157" s="93"/>
      <c r="F157" s="93"/>
      <c r="G157" s="93"/>
      <c r="H157" s="118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</row>
    <row r="158" ht="22.5" customHeight="1">
      <c r="A158" s="93"/>
      <c r="B158" s="93"/>
      <c r="C158" s="93"/>
      <c r="D158" s="93"/>
      <c r="E158" s="93"/>
      <c r="F158" s="93"/>
      <c r="G158" s="93"/>
      <c r="H158" s="118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</row>
    <row r="159" ht="22.5" customHeight="1">
      <c r="A159" s="93"/>
      <c r="B159" s="93"/>
      <c r="C159" s="93"/>
      <c r="D159" s="93"/>
      <c r="E159" s="93"/>
      <c r="F159" s="93"/>
      <c r="G159" s="93"/>
      <c r="H159" s="118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</row>
    <row r="160" ht="22.5" customHeight="1">
      <c r="A160" s="93"/>
      <c r="B160" s="93"/>
      <c r="C160" s="93"/>
      <c r="D160" s="93"/>
      <c r="E160" s="93"/>
      <c r="F160" s="93"/>
      <c r="G160" s="93"/>
      <c r="H160" s="118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</row>
    <row r="161" ht="22.5" customHeight="1">
      <c r="A161" s="93"/>
      <c r="B161" s="93"/>
      <c r="C161" s="93"/>
      <c r="D161" s="93"/>
      <c r="E161" s="93"/>
      <c r="F161" s="93"/>
      <c r="G161" s="93"/>
      <c r="H161" s="118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</row>
    <row r="162" ht="22.5" customHeight="1">
      <c r="A162" s="93"/>
      <c r="B162" s="93"/>
      <c r="C162" s="93"/>
      <c r="D162" s="93"/>
      <c r="E162" s="93"/>
      <c r="F162" s="93"/>
      <c r="G162" s="93"/>
      <c r="H162" s="118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</row>
    <row r="163" ht="22.5" customHeight="1">
      <c r="A163" s="93"/>
      <c r="B163" s="93"/>
      <c r="C163" s="93"/>
      <c r="D163" s="93"/>
      <c r="E163" s="93"/>
      <c r="F163" s="93"/>
      <c r="G163" s="93"/>
      <c r="H163" s="118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</row>
    <row r="164" ht="22.5" customHeight="1">
      <c r="A164" s="93"/>
      <c r="B164" s="93"/>
      <c r="C164" s="93"/>
      <c r="D164" s="93"/>
      <c r="E164" s="93"/>
      <c r="F164" s="93"/>
      <c r="G164" s="93"/>
      <c r="H164" s="118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</row>
    <row r="165" ht="22.5" customHeight="1">
      <c r="A165" s="93"/>
      <c r="B165" s="93"/>
      <c r="C165" s="93"/>
      <c r="D165" s="93"/>
      <c r="E165" s="93"/>
      <c r="F165" s="93"/>
      <c r="G165" s="93"/>
      <c r="H165" s="118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</row>
    <row r="166" ht="22.5" customHeight="1">
      <c r="A166" s="93"/>
      <c r="B166" s="93"/>
      <c r="C166" s="93"/>
      <c r="D166" s="93"/>
      <c r="E166" s="93"/>
      <c r="F166" s="93"/>
      <c r="G166" s="93"/>
      <c r="H166" s="118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</row>
    <row r="167" ht="22.5" customHeight="1">
      <c r="A167" s="93"/>
      <c r="B167" s="93"/>
      <c r="C167" s="93"/>
      <c r="D167" s="93"/>
      <c r="E167" s="93"/>
      <c r="F167" s="93"/>
      <c r="G167" s="93"/>
      <c r="H167" s="118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</row>
    <row r="168" ht="22.5" customHeight="1">
      <c r="A168" s="93"/>
      <c r="B168" s="93"/>
      <c r="C168" s="93"/>
      <c r="D168" s="93"/>
      <c r="E168" s="93"/>
      <c r="F168" s="93"/>
      <c r="G168" s="93"/>
      <c r="H168" s="118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</row>
    <row r="169" ht="22.5" customHeight="1">
      <c r="A169" s="93"/>
      <c r="B169" s="93"/>
      <c r="C169" s="93"/>
      <c r="D169" s="93"/>
      <c r="E169" s="93"/>
      <c r="F169" s="93"/>
      <c r="G169" s="93"/>
      <c r="H169" s="118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</row>
    <row r="170" ht="22.5" customHeight="1">
      <c r="A170" s="93"/>
      <c r="B170" s="93"/>
      <c r="C170" s="93"/>
      <c r="D170" s="93"/>
      <c r="E170" s="93"/>
      <c r="F170" s="93"/>
      <c r="G170" s="93"/>
      <c r="H170" s="118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</row>
    <row r="171" ht="22.5" customHeight="1">
      <c r="A171" s="93"/>
      <c r="B171" s="93"/>
      <c r="C171" s="93"/>
      <c r="D171" s="93"/>
      <c r="E171" s="93"/>
      <c r="F171" s="93"/>
      <c r="G171" s="93"/>
      <c r="H171" s="118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</row>
    <row r="172" ht="22.5" customHeight="1">
      <c r="A172" s="93"/>
      <c r="B172" s="93"/>
      <c r="C172" s="93"/>
      <c r="D172" s="93"/>
      <c r="E172" s="93"/>
      <c r="F172" s="93"/>
      <c r="G172" s="93"/>
      <c r="H172" s="118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</row>
    <row r="173" ht="22.5" customHeight="1">
      <c r="A173" s="93"/>
      <c r="B173" s="93"/>
      <c r="C173" s="93"/>
      <c r="D173" s="93"/>
      <c r="E173" s="93"/>
      <c r="F173" s="93"/>
      <c r="G173" s="93"/>
      <c r="H173" s="118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</row>
    <row r="174" ht="22.5" customHeight="1">
      <c r="A174" s="93"/>
      <c r="B174" s="93"/>
      <c r="C174" s="93"/>
      <c r="D174" s="93"/>
      <c r="E174" s="93"/>
      <c r="F174" s="93"/>
      <c r="G174" s="93"/>
      <c r="H174" s="118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</row>
    <row r="175" ht="22.5" customHeight="1">
      <c r="A175" s="93"/>
      <c r="B175" s="93"/>
      <c r="C175" s="93"/>
      <c r="D175" s="93"/>
      <c r="E175" s="93"/>
      <c r="F175" s="93"/>
      <c r="G175" s="93"/>
      <c r="H175" s="118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</row>
    <row r="176" ht="22.5" customHeight="1">
      <c r="A176" s="93"/>
      <c r="B176" s="93"/>
      <c r="C176" s="93"/>
      <c r="D176" s="93"/>
      <c r="E176" s="93"/>
      <c r="F176" s="93"/>
      <c r="G176" s="93"/>
      <c r="H176" s="118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</row>
    <row r="177" ht="22.5" customHeight="1">
      <c r="A177" s="93"/>
      <c r="B177" s="93"/>
      <c r="C177" s="93"/>
      <c r="D177" s="93"/>
      <c r="E177" s="93"/>
      <c r="F177" s="93"/>
      <c r="G177" s="93"/>
      <c r="H177" s="118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</row>
    <row r="178" ht="22.5" customHeight="1">
      <c r="A178" s="93"/>
      <c r="B178" s="93"/>
      <c r="C178" s="93"/>
      <c r="D178" s="93"/>
      <c r="E178" s="93"/>
      <c r="F178" s="93"/>
      <c r="G178" s="93"/>
      <c r="H178" s="118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</row>
    <row r="179" ht="22.5" customHeight="1">
      <c r="A179" s="93"/>
      <c r="B179" s="93"/>
      <c r="C179" s="93"/>
      <c r="D179" s="93"/>
      <c r="E179" s="93"/>
      <c r="F179" s="93"/>
      <c r="G179" s="93"/>
      <c r="H179" s="118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</row>
    <row r="180" ht="22.5" customHeight="1">
      <c r="A180" s="93"/>
      <c r="B180" s="93"/>
      <c r="C180" s="93"/>
      <c r="D180" s="93"/>
      <c r="E180" s="93"/>
      <c r="F180" s="93"/>
      <c r="G180" s="93"/>
      <c r="H180" s="118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</row>
    <row r="181" ht="22.5" customHeight="1">
      <c r="A181" s="93"/>
      <c r="B181" s="93"/>
      <c r="C181" s="93"/>
      <c r="D181" s="93"/>
      <c r="E181" s="93"/>
      <c r="F181" s="93"/>
      <c r="G181" s="93"/>
      <c r="H181" s="118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</row>
    <row r="182" ht="22.5" customHeight="1">
      <c r="A182" s="93"/>
      <c r="B182" s="93"/>
      <c r="C182" s="93"/>
      <c r="D182" s="93"/>
      <c r="E182" s="93"/>
      <c r="F182" s="93"/>
      <c r="G182" s="93"/>
      <c r="H182" s="118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</row>
    <row r="183" ht="22.5" customHeight="1">
      <c r="A183" s="93"/>
      <c r="B183" s="93"/>
      <c r="C183" s="93"/>
      <c r="D183" s="93"/>
      <c r="E183" s="93"/>
      <c r="F183" s="93"/>
      <c r="G183" s="93"/>
      <c r="H183" s="118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</row>
    <row r="184" ht="22.5" customHeight="1">
      <c r="A184" s="93"/>
      <c r="B184" s="93"/>
      <c r="C184" s="93"/>
      <c r="D184" s="93"/>
      <c r="E184" s="93"/>
      <c r="F184" s="93"/>
      <c r="G184" s="93"/>
      <c r="H184" s="118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</row>
    <row r="185" ht="22.5" customHeight="1">
      <c r="A185" s="93"/>
      <c r="B185" s="93"/>
      <c r="C185" s="93"/>
      <c r="D185" s="93"/>
      <c r="E185" s="93"/>
      <c r="F185" s="93"/>
      <c r="G185" s="93"/>
      <c r="H185" s="118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</row>
    <row r="186" ht="22.5" customHeight="1">
      <c r="A186" s="93"/>
      <c r="B186" s="93"/>
      <c r="C186" s="93"/>
      <c r="D186" s="93"/>
      <c r="E186" s="93"/>
      <c r="F186" s="93"/>
      <c r="G186" s="93"/>
      <c r="H186" s="118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</row>
    <row r="187" ht="22.5" customHeight="1">
      <c r="A187" s="93"/>
      <c r="B187" s="93"/>
      <c r="C187" s="93"/>
      <c r="D187" s="93"/>
      <c r="E187" s="93"/>
      <c r="F187" s="93"/>
      <c r="G187" s="93"/>
      <c r="H187" s="118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</row>
    <row r="188" ht="22.5" customHeight="1">
      <c r="A188" s="93"/>
      <c r="B188" s="93"/>
      <c r="C188" s="93"/>
      <c r="D188" s="93"/>
      <c r="E188" s="93"/>
      <c r="F188" s="93"/>
      <c r="G188" s="93"/>
      <c r="H188" s="118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</row>
    <row r="189" ht="22.5" customHeight="1">
      <c r="A189" s="93"/>
      <c r="B189" s="93"/>
      <c r="C189" s="93"/>
      <c r="D189" s="93"/>
      <c r="E189" s="93"/>
      <c r="F189" s="93"/>
      <c r="G189" s="93"/>
      <c r="H189" s="118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</row>
    <row r="190" ht="22.5" customHeight="1">
      <c r="A190" s="93"/>
      <c r="B190" s="93"/>
      <c r="C190" s="93"/>
      <c r="D190" s="93"/>
      <c r="E190" s="93"/>
      <c r="F190" s="93"/>
      <c r="G190" s="93"/>
      <c r="H190" s="118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</row>
    <row r="191" ht="22.5" customHeight="1">
      <c r="A191" s="93"/>
      <c r="B191" s="93"/>
      <c r="C191" s="93"/>
      <c r="D191" s="93"/>
      <c r="E191" s="93"/>
      <c r="F191" s="93"/>
      <c r="G191" s="93"/>
      <c r="H191" s="118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</row>
    <row r="192" ht="22.5" customHeight="1">
      <c r="A192" s="93"/>
      <c r="B192" s="93"/>
      <c r="C192" s="93"/>
      <c r="D192" s="93"/>
      <c r="E192" s="93"/>
      <c r="F192" s="93"/>
      <c r="G192" s="93"/>
      <c r="H192" s="118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</row>
    <row r="193" ht="22.5" customHeight="1">
      <c r="A193" s="93"/>
      <c r="B193" s="93"/>
      <c r="C193" s="93"/>
      <c r="D193" s="93"/>
      <c r="E193" s="93"/>
      <c r="F193" s="93"/>
      <c r="G193" s="93"/>
      <c r="H193" s="118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</row>
    <row r="194" ht="22.5" customHeight="1">
      <c r="A194" s="93"/>
      <c r="B194" s="93"/>
      <c r="C194" s="93"/>
      <c r="D194" s="93"/>
      <c r="E194" s="93"/>
      <c r="F194" s="93"/>
      <c r="G194" s="93"/>
      <c r="H194" s="118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</row>
    <row r="195" ht="22.5" customHeight="1">
      <c r="A195" s="93"/>
      <c r="B195" s="93"/>
      <c r="C195" s="93"/>
      <c r="D195" s="93"/>
      <c r="E195" s="93"/>
      <c r="F195" s="93"/>
      <c r="G195" s="93"/>
      <c r="H195" s="118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</row>
    <row r="196" ht="22.5" customHeight="1">
      <c r="A196" s="93"/>
      <c r="B196" s="93"/>
      <c r="C196" s="93"/>
      <c r="D196" s="93"/>
      <c r="E196" s="93"/>
      <c r="F196" s="93"/>
      <c r="G196" s="93"/>
      <c r="H196" s="118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</row>
    <row r="197" ht="22.5" customHeight="1">
      <c r="A197" s="93"/>
      <c r="B197" s="93"/>
      <c r="C197" s="93"/>
      <c r="D197" s="93"/>
      <c r="E197" s="93"/>
      <c r="F197" s="93"/>
      <c r="G197" s="93"/>
      <c r="H197" s="118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</row>
    <row r="198" ht="22.5" customHeight="1">
      <c r="A198" s="93"/>
      <c r="B198" s="93"/>
      <c r="C198" s="93"/>
      <c r="D198" s="93"/>
      <c r="E198" s="93"/>
      <c r="F198" s="93"/>
      <c r="G198" s="93"/>
      <c r="H198" s="118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</row>
    <row r="199" ht="22.5" customHeight="1">
      <c r="A199" s="93"/>
      <c r="B199" s="93"/>
      <c r="C199" s="93"/>
      <c r="D199" s="93"/>
      <c r="E199" s="93"/>
      <c r="F199" s="93"/>
      <c r="G199" s="93"/>
      <c r="H199" s="118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</row>
    <row r="200" ht="22.5" customHeight="1">
      <c r="A200" s="93"/>
      <c r="B200" s="93"/>
      <c r="C200" s="93"/>
      <c r="D200" s="93"/>
      <c r="E200" s="93"/>
      <c r="F200" s="93"/>
      <c r="G200" s="93"/>
      <c r="H200" s="118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ht="22.5" customHeight="1">
      <c r="A201" s="93"/>
      <c r="B201" s="93"/>
      <c r="C201" s="93"/>
      <c r="D201" s="93"/>
      <c r="E201" s="93"/>
      <c r="F201" s="93"/>
      <c r="G201" s="93"/>
      <c r="H201" s="118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</row>
    <row r="202" ht="22.5" customHeight="1">
      <c r="A202" s="93"/>
      <c r="B202" s="93"/>
      <c r="C202" s="93"/>
      <c r="D202" s="93"/>
      <c r="E202" s="93"/>
      <c r="F202" s="93"/>
      <c r="G202" s="93"/>
      <c r="H202" s="118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</row>
    <row r="203" ht="22.5" customHeight="1">
      <c r="A203" s="93"/>
      <c r="B203" s="93"/>
      <c r="C203" s="93"/>
      <c r="D203" s="93"/>
      <c r="E203" s="93"/>
      <c r="F203" s="93"/>
      <c r="G203" s="93"/>
      <c r="H203" s="118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</row>
    <row r="204" ht="22.5" customHeight="1">
      <c r="A204" s="93"/>
      <c r="B204" s="93"/>
      <c r="C204" s="93"/>
      <c r="D204" s="93"/>
      <c r="E204" s="93"/>
      <c r="F204" s="93"/>
      <c r="G204" s="93"/>
      <c r="H204" s="118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</row>
    <row r="205" ht="22.5" customHeight="1">
      <c r="A205" s="93"/>
      <c r="B205" s="93"/>
      <c r="C205" s="93"/>
      <c r="D205" s="93"/>
      <c r="E205" s="93"/>
      <c r="F205" s="93"/>
      <c r="G205" s="93"/>
      <c r="H205" s="118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</row>
    <row r="206" ht="22.5" customHeight="1">
      <c r="A206" s="93"/>
      <c r="B206" s="93"/>
      <c r="C206" s="93"/>
      <c r="D206" s="93"/>
      <c r="E206" s="93"/>
      <c r="F206" s="93"/>
      <c r="G206" s="93"/>
      <c r="H206" s="118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</row>
    <row r="207" ht="22.5" customHeight="1">
      <c r="A207" s="93"/>
      <c r="B207" s="93"/>
      <c r="C207" s="93"/>
      <c r="D207" s="93"/>
      <c r="E207" s="93"/>
      <c r="F207" s="93"/>
      <c r="G207" s="93"/>
      <c r="H207" s="118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</row>
    <row r="208" ht="22.5" customHeight="1">
      <c r="A208" s="93"/>
      <c r="B208" s="93"/>
      <c r="C208" s="93"/>
      <c r="D208" s="93"/>
      <c r="E208" s="93"/>
      <c r="F208" s="93"/>
      <c r="G208" s="93"/>
      <c r="H208" s="118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</row>
    <row r="209" ht="22.5" customHeight="1">
      <c r="A209" s="93"/>
      <c r="B209" s="93"/>
      <c r="C209" s="93"/>
      <c r="D209" s="93"/>
      <c r="E209" s="93"/>
      <c r="F209" s="93"/>
      <c r="G209" s="93"/>
      <c r="H209" s="118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</row>
    <row r="210" ht="22.5" customHeight="1">
      <c r="A210" s="93"/>
      <c r="B210" s="93"/>
      <c r="C210" s="93"/>
      <c r="D210" s="93"/>
      <c r="E210" s="93"/>
      <c r="F210" s="93"/>
      <c r="G210" s="93"/>
      <c r="H210" s="118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</row>
    <row r="211" ht="22.5" customHeight="1">
      <c r="A211" s="93"/>
      <c r="B211" s="93"/>
      <c r="C211" s="93"/>
      <c r="D211" s="93"/>
      <c r="E211" s="93"/>
      <c r="F211" s="93"/>
      <c r="G211" s="93"/>
      <c r="H211" s="118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</row>
    <row r="212" ht="22.5" customHeight="1">
      <c r="A212" s="93"/>
      <c r="B212" s="93"/>
      <c r="C212" s="93"/>
      <c r="D212" s="93"/>
      <c r="E212" s="93"/>
      <c r="F212" s="93"/>
      <c r="G212" s="93"/>
      <c r="H212" s="118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</row>
    <row r="213" ht="22.5" customHeight="1">
      <c r="A213" s="93"/>
      <c r="B213" s="93"/>
      <c r="C213" s="93"/>
      <c r="D213" s="93"/>
      <c r="E213" s="93"/>
      <c r="F213" s="93"/>
      <c r="G213" s="93"/>
      <c r="H213" s="118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</row>
    <row r="214" ht="22.5" customHeight="1">
      <c r="A214" s="93"/>
      <c r="B214" s="93"/>
      <c r="C214" s="93"/>
      <c r="D214" s="93"/>
      <c r="E214" s="93"/>
      <c r="F214" s="93"/>
      <c r="G214" s="93"/>
      <c r="H214" s="118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</row>
    <row r="215" ht="22.5" customHeight="1">
      <c r="A215" s="93"/>
      <c r="B215" s="93"/>
      <c r="C215" s="93"/>
      <c r="D215" s="93"/>
      <c r="E215" s="93"/>
      <c r="F215" s="93"/>
      <c r="G215" s="93"/>
      <c r="H215" s="118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</row>
    <row r="216" ht="22.5" customHeight="1">
      <c r="A216" s="93"/>
      <c r="B216" s="93"/>
      <c r="C216" s="93"/>
      <c r="D216" s="93"/>
      <c r="E216" s="93"/>
      <c r="F216" s="93"/>
      <c r="G216" s="93"/>
      <c r="H216" s="118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</row>
    <row r="217" ht="22.5" customHeight="1">
      <c r="A217" s="93"/>
      <c r="B217" s="93"/>
      <c r="C217" s="93"/>
      <c r="D217" s="93"/>
      <c r="E217" s="93"/>
      <c r="F217" s="93"/>
      <c r="G217" s="93"/>
      <c r="H217" s="118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</row>
    <row r="218" ht="22.5" customHeight="1">
      <c r="A218" s="93"/>
      <c r="B218" s="93"/>
      <c r="C218" s="93"/>
      <c r="D218" s="93"/>
      <c r="E218" s="93"/>
      <c r="F218" s="93"/>
      <c r="G218" s="93"/>
      <c r="H218" s="118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</row>
    <row r="219" ht="22.5" customHeight="1">
      <c r="A219" s="93"/>
      <c r="B219" s="93"/>
      <c r="C219" s="93"/>
      <c r="D219" s="93"/>
      <c r="E219" s="93"/>
      <c r="F219" s="93"/>
      <c r="G219" s="93"/>
      <c r="H219" s="118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</row>
    <row r="220" ht="22.5" customHeight="1">
      <c r="A220" s="93"/>
      <c r="B220" s="93"/>
      <c r="C220" s="93"/>
      <c r="D220" s="93"/>
      <c r="E220" s="93"/>
      <c r="F220" s="93"/>
      <c r="G220" s="93"/>
      <c r="H220" s="118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</row>
    <row r="221" ht="22.5" customHeight="1">
      <c r="A221" s="93"/>
      <c r="B221" s="93"/>
      <c r="C221" s="93"/>
      <c r="D221" s="93"/>
      <c r="E221" s="93"/>
      <c r="F221" s="93"/>
      <c r="G221" s="93"/>
      <c r="H221" s="118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</row>
    <row r="222" ht="22.5" customHeight="1">
      <c r="A222" s="93"/>
      <c r="B222" s="93"/>
      <c r="C222" s="93"/>
      <c r="D222" s="93"/>
      <c r="E222" s="93"/>
      <c r="F222" s="93"/>
      <c r="G222" s="93"/>
      <c r="H222" s="118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</row>
    <row r="223" ht="22.5" customHeight="1">
      <c r="A223" s="93"/>
      <c r="B223" s="93"/>
      <c r="C223" s="93"/>
      <c r="D223" s="93"/>
      <c r="E223" s="93"/>
      <c r="F223" s="93"/>
      <c r="G223" s="93"/>
      <c r="H223" s="118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</row>
    <row r="224" ht="22.5" customHeight="1">
      <c r="A224" s="93"/>
      <c r="B224" s="93"/>
      <c r="C224" s="93"/>
      <c r="D224" s="93"/>
      <c r="E224" s="93"/>
      <c r="F224" s="93"/>
      <c r="G224" s="93"/>
      <c r="H224" s="118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</row>
    <row r="225" ht="22.5" customHeight="1">
      <c r="A225" s="93"/>
      <c r="B225" s="93"/>
      <c r="C225" s="93"/>
      <c r="D225" s="93"/>
      <c r="E225" s="93"/>
      <c r="F225" s="93"/>
      <c r="G225" s="93"/>
      <c r="H225" s="118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</row>
    <row r="226" ht="22.5" customHeight="1">
      <c r="A226" s="93"/>
      <c r="B226" s="93"/>
      <c r="C226" s="93"/>
      <c r="D226" s="93"/>
      <c r="E226" s="93"/>
      <c r="F226" s="93"/>
      <c r="G226" s="93"/>
      <c r="H226" s="118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</row>
    <row r="227" ht="22.5" customHeight="1">
      <c r="A227" s="93"/>
      <c r="B227" s="93"/>
      <c r="C227" s="93"/>
      <c r="D227" s="93"/>
      <c r="E227" s="93"/>
      <c r="F227" s="93"/>
      <c r="G227" s="93"/>
      <c r="H227" s="118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</row>
    <row r="228" ht="22.5" customHeight="1">
      <c r="A228" s="93"/>
      <c r="B228" s="93"/>
      <c r="C228" s="93"/>
      <c r="D228" s="93"/>
      <c r="E228" s="93"/>
      <c r="F228" s="93"/>
      <c r="G228" s="93"/>
      <c r="H228" s="118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</row>
    <row r="229" ht="22.5" customHeight="1">
      <c r="A229" s="93"/>
      <c r="B229" s="93"/>
      <c r="C229" s="93"/>
      <c r="D229" s="93"/>
      <c r="E229" s="93"/>
      <c r="F229" s="93"/>
      <c r="G229" s="93"/>
      <c r="H229" s="118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</row>
    <row r="230" ht="22.5" customHeight="1">
      <c r="A230" s="93"/>
      <c r="B230" s="93"/>
      <c r="C230" s="93"/>
      <c r="D230" s="93"/>
      <c r="E230" s="93"/>
      <c r="F230" s="93"/>
      <c r="G230" s="93"/>
      <c r="H230" s="118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</row>
    <row r="231" ht="22.5" customHeight="1">
      <c r="A231" s="93"/>
      <c r="B231" s="93"/>
      <c r="C231" s="93"/>
      <c r="D231" s="93"/>
      <c r="E231" s="93"/>
      <c r="F231" s="93"/>
      <c r="G231" s="93"/>
      <c r="H231" s="118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</row>
    <row r="232" ht="22.5" customHeight="1">
      <c r="A232" s="93"/>
      <c r="B232" s="93"/>
      <c r="C232" s="93"/>
      <c r="D232" s="93"/>
      <c r="E232" s="93"/>
      <c r="F232" s="93"/>
      <c r="G232" s="93"/>
      <c r="H232" s="118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</row>
    <row r="233" ht="22.5" customHeight="1">
      <c r="A233" s="93"/>
      <c r="B233" s="93"/>
      <c r="C233" s="93"/>
      <c r="D233" s="93"/>
      <c r="E233" s="93"/>
      <c r="F233" s="93"/>
      <c r="G233" s="93"/>
      <c r="H233" s="118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</row>
    <row r="234" ht="22.5" customHeight="1">
      <c r="A234" s="93"/>
      <c r="B234" s="93"/>
      <c r="C234" s="93"/>
      <c r="D234" s="93"/>
      <c r="E234" s="93"/>
      <c r="F234" s="93"/>
      <c r="G234" s="93"/>
      <c r="H234" s="118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</row>
    <row r="235" ht="22.5" customHeight="1">
      <c r="A235" s="93"/>
      <c r="B235" s="93"/>
      <c r="C235" s="93"/>
      <c r="D235" s="93"/>
      <c r="E235" s="93"/>
      <c r="F235" s="93"/>
      <c r="G235" s="93"/>
      <c r="H235" s="118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</row>
    <row r="236" ht="22.5" customHeight="1">
      <c r="A236" s="93"/>
      <c r="B236" s="93"/>
      <c r="C236" s="93"/>
      <c r="D236" s="93"/>
      <c r="E236" s="93"/>
      <c r="F236" s="93"/>
      <c r="G236" s="93"/>
      <c r="H236" s="118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</row>
    <row r="237" ht="22.5" customHeight="1">
      <c r="A237" s="93"/>
      <c r="B237" s="93"/>
      <c r="C237" s="93"/>
      <c r="D237" s="93"/>
      <c r="E237" s="93"/>
      <c r="F237" s="93"/>
      <c r="G237" s="93"/>
      <c r="H237" s="118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</row>
    <row r="238" ht="22.5" customHeight="1">
      <c r="A238" s="93"/>
      <c r="B238" s="93"/>
      <c r="C238" s="93"/>
      <c r="D238" s="93"/>
      <c r="E238" s="93"/>
      <c r="F238" s="93"/>
      <c r="G238" s="93"/>
      <c r="H238" s="118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</row>
    <row r="239" ht="22.5" customHeight="1">
      <c r="A239" s="93"/>
      <c r="B239" s="93"/>
      <c r="C239" s="93"/>
      <c r="D239" s="93"/>
      <c r="E239" s="93"/>
      <c r="F239" s="93"/>
      <c r="G239" s="93"/>
      <c r="H239" s="118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</row>
    <row r="240" ht="22.5" customHeight="1">
      <c r="A240" s="93"/>
      <c r="B240" s="93"/>
      <c r="C240" s="93"/>
      <c r="D240" s="93"/>
      <c r="E240" s="93"/>
      <c r="F240" s="93"/>
      <c r="G240" s="93"/>
      <c r="H240" s="118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</row>
    <row r="241" ht="22.5" customHeight="1">
      <c r="A241" s="93"/>
      <c r="B241" s="93"/>
      <c r="C241" s="93"/>
      <c r="D241" s="93"/>
      <c r="E241" s="93"/>
      <c r="F241" s="93"/>
      <c r="G241" s="93"/>
      <c r="H241" s="118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</row>
    <row r="242" ht="22.5" customHeight="1">
      <c r="A242" s="93"/>
      <c r="B242" s="93"/>
      <c r="C242" s="93"/>
      <c r="D242" s="93"/>
      <c r="E242" s="93"/>
      <c r="F242" s="93"/>
      <c r="G242" s="93"/>
      <c r="H242" s="118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</row>
    <row r="243" ht="22.5" customHeight="1">
      <c r="A243" s="93"/>
      <c r="B243" s="93"/>
      <c r="C243" s="93"/>
      <c r="D243" s="93"/>
      <c r="E243" s="93"/>
      <c r="F243" s="93"/>
      <c r="G243" s="93"/>
      <c r="H243" s="118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</row>
    <row r="244" ht="22.5" customHeight="1">
      <c r="A244" s="93"/>
      <c r="B244" s="93"/>
      <c r="C244" s="93"/>
      <c r="D244" s="93"/>
      <c r="E244" s="93"/>
      <c r="F244" s="93"/>
      <c r="G244" s="93"/>
      <c r="H244" s="118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</row>
    <row r="245" ht="22.5" customHeight="1">
      <c r="A245" s="93"/>
      <c r="B245" s="93"/>
      <c r="C245" s="93"/>
      <c r="D245" s="93"/>
      <c r="E245" s="93"/>
      <c r="F245" s="93"/>
      <c r="G245" s="93"/>
      <c r="H245" s="118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</row>
    <row r="246" ht="22.5" customHeight="1">
      <c r="A246" s="93"/>
      <c r="B246" s="93"/>
      <c r="C246" s="93"/>
      <c r="D246" s="93"/>
      <c r="E246" s="93"/>
      <c r="F246" s="93"/>
      <c r="G246" s="93"/>
      <c r="H246" s="118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</row>
    <row r="247" ht="22.5" customHeight="1">
      <c r="A247" s="93"/>
      <c r="B247" s="93"/>
      <c r="C247" s="93"/>
      <c r="D247" s="93"/>
      <c r="E247" s="93"/>
      <c r="F247" s="93"/>
      <c r="G247" s="93"/>
      <c r="H247" s="118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</row>
    <row r="248" ht="22.5" customHeight="1">
      <c r="A248" s="93"/>
      <c r="B248" s="93"/>
      <c r="C248" s="93"/>
      <c r="D248" s="93"/>
      <c r="E248" s="93"/>
      <c r="F248" s="93"/>
      <c r="G248" s="93"/>
      <c r="H248" s="118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</row>
    <row r="249" ht="22.5" customHeight="1">
      <c r="A249" s="93"/>
      <c r="B249" s="93"/>
      <c r="C249" s="93"/>
      <c r="D249" s="93"/>
      <c r="E249" s="93"/>
      <c r="F249" s="93"/>
      <c r="G249" s="93"/>
      <c r="H249" s="118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</row>
    <row r="250" ht="22.5" customHeight="1">
      <c r="A250" s="93"/>
      <c r="B250" s="93"/>
      <c r="C250" s="93"/>
      <c r="D250" s="93"/>
      <c r="E250" s="93"/>
      <c r="F250" s="93"/>
      <c r="G250" s="93"/>
      <c r="H250" s="118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</row>
    <row r="251" ht="22.5" customHeight="1">
      <c r="A251" s="93"/>
      <c r="B251" s="93"/>
      <c r="C251" s="93"/>
      <c r="D251" s="93"/>
      <c r="E251" s="93"/>
      <c r="F251" s="93"/>
      <c r="G251" s="93"/>
      <c r="H251" s="118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</row>
    <row r="252" ht="22.5" customHeight="1">
      <c r="A252" s="93"/>
      <c r="B252" s="93"/>
      <c r="C252" s="93"/>
      <c r="D252" s="93"/>
      <c r="E252" s="93"/>
      <c r="F252" s="93"/>
      <c r="G252" s="93"/>
      <c r="H252" s="118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</row>
    <row r="253" ht="22.5" customHeight="1">
      <c r="A253" s="93"/>
      <c r="B253" s="93"/>
      <c r="C253" s="93"/>
      <c r="D253" s="93"/>
      <c r="E253" s="93"/>
      <c r="F253" s="93"/>
      <c r="G253" s="93"/>
      <c r="H253" s="118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</row>
    <row r="254" ht="22.5" customHeight="1">
      <c r="A254" s="93"/>
      <c r="B254" s="93"/>
      <c r="C254" s="93"/>
      <c r="D254" s="93"/>
      <c r="E254" s="93"/>
      <c r="F254" s="93"/>
      <c r="G254" s="93"/>
      <c r="H254" s="118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</row>
    <row r="255" ht="22.5" customHeight="1">
      <c r="A255" s="93"/>
      <c r="B255" s="93"/>
      <c r="C255" s="93"/>
      <c r="D255" s="93"/>
      <c r="E255" s="93"/>
      <c r="F255" s="93"/>
      <c r="G255" s="93"/>
      <c r="H255" s="118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</row>
    <row r="256" ht="22.5" customHeight="1">
      <c r="A256" s="93"/>
      <c r="B256" s="93"/>
      <c r="C256" s="93"/>
      <c r="D256" s="93"/>
      <c r="E256" s="93"/>
      <c r="F256" s="93"/>
      <c r="G256" s="93"/>
      <c r="H256" s="118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</row>
    <row r="257" ht="22.5" customHeight="1">
      <c r="A257" s="93"/>
      <c r="B257" s="93"/>
      <c r="C257" s="93"/>
      <c r="D257" s="93"/>
      <c r="E257" s="93"/>
      <c r="F257" s="93"/>
      <c r="G257" s="93"/>
      <c r="H257" s="118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</row>
    <row r="258" ht="22.5" customHeight="1">
      <c r="A258" s="93"/>
      <c r="B258" s="93"/>
      <c r="C258" s="93"/>
      <c r="D258" s="93"/>
      <c r="E258" s="93"/>
      <c r="F258" s="93"/>
      <c r="G258" s="93"/>
      <c r="H258" s="118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</row>
    <row r="259" ht="22.5" customHeight="1">
      <c r="A259" s="93"/>
      <c r="B259" s="93"/>
      <c r="C259" s="93"/>
      <c r="D259" s="93"/>
      <c r="E259" s="93"/>
      <c r="F259" s="93"/>
      <c r="G259" s="93"/>
      <c r="H259" s="118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</row>
    <row r="260" ht="22.5" customHeight="1">
      <c r="A260" s="93"/>
      <c r="B260" s="93"/>
      <c r="C260" s="93"/>
      <c r="D260" s="93"/>
      <c r="E260" s="93"/>
      <c r="F260" s="93"/>
      <c r="G260" s="93"/>
      <c r="H260" s="118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</row>
    <row r="261" ht="22.5" customHeight="1">
      <c r="A261" s="93"/>
      <c r="B261" s="93"/>
      <c r="C261" s="93"/>
      <c r="D261" s="93"/>
      <c r="E261" s="93"/>
      <c r="F261" s="93"/>
      <c r="G261" s="93"/>
      <c r="H261" s="118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</row>
    <row r="262" ht="22.5" customHeight="1">
      <c r="A262" s="93"/>
      <c r="B262" s="93"/>
      <c r="C262" s="93"/>
      <c r="D262" s="93"/>
      <c r="E262" s="93"/>
      <c r="F262" s="93"/>
      <c r="G262" s="93"/>
      <c r="H262" s="118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</row>
    <row r="263" ht="22.5" customHeight="1">
      <c r="A263" s="93"/>
      <c r="B263" s="93"/>
      <c r="C263" s="93"/>
      <c r="D263" s="93"/>
      <c r="E263" s="93"/>
      <c r="F263" s="93"/>
      <c r="G263" s="93"/>
      <c r="H263" s="118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</row>
    <row r="264" ht="22.5" customHeight="1">
      <c r="A264" s="93"/>
      <c r="B264" s="93"/>
      <c r="C264" s="93"/>
      <c r="D264" s="93"/>
      <c r="E264" s="93"/>
      <c r="F264" s="93"/>
      <c r="G264" s="93"/>
      <c r="H264" s="118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</row>
    <row r="265" ht="22.5" customHeight="1">
      <c r="A265" s="93"/>
      <c r="B265" s="93"/>
      <c r="C265" s="93"/>
      <c r="D265" s="93"/>
      <c r="E265" s="93"/>
      <c r="F265" s="93"/>
      <c r="G265" s="93"/>
      <c r="H265" s="118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</row>
    <row r="266" ht="22.5" customHeight="1">
      <c r="A266" s="93"/>
      <c r="B266" s="93"/>
      <c r="C266" s="93"/>
      <c r="D266" s="93"/>
      <c r="E266" s="93"/>
      <c r="F266" s="93"/>
      <c r="G266" s="93"/>
      <c r="H266" s="118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</row>
    <row r="267" ht="22.5" customHeight="1">
      <c r="A267" s="93"/>
      <c r="B267" s="93"/>
      <c r="C267" s="93"/>
      <c r="D267" s="93"/>
      <c r="E267" s="93"/>
      <c r="F267" s="93"/>
      <c r="G267" s="93"/>
      <c r="H267" s="118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</row>
    <row r="268" ht="22.5" customHeight="1">
      <c r="A268" s="93"/>
      <c r="B268" s="93"/>
      <c r="C268" s="93"/>
      <c r="D268" s="93"/>
      <c r="E268" s="93"/>
      <c r="F268" s="93"/>
      <c r="G268" s="93"/>
      <c r="H268" s="118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ht="22.5" customHeight="1">
      <c r="A269" s="93"/>
      <c r="B269" s="93"/>
      <c r="C269" s="93"/>
      <c r="D269" s="93"/>
      <c r="E269" s="93"/>
      <c r="F269" s="93"/>
      <c r="G269" s="93"/>
      <c r="H269" s="118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</row>
    <row r="270" ht="22.5" customHeight="1">
      <c r="A270" s="93"/>
      <c r="B270" s="93"/>
      <c r="C270" s="93"/>
      <c r="D270" s="93"/>
      <c r="E270" s="93"/>
      <c r="F270" s="93"/>
      <c r="G270" s="93"/>
      <c r="H270" s="118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</row>
    <row r="271" ht="22.5" customHeight="1">
      <c r="A271" s="93"/>
      <c r="B271" s="93"/>
      <c r="C271" s="93"/>
      <c r="D271" s="93"/>
      <c r="E271" s="93"/>
      <c r="F271" s="93"/>
      <c r="G271" s="93"/>
      <c r="H271" s="118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</row>
    <row r="272" ht="22.5" customHeight="1">
      <c r="A272" s="93"/>
      <c r="B272" s="93"/>
      <c r="C272" s="93"/>
      <c r="D272" s="93"/>
      <c r="E272" s="93"/>
      <c r="F272" s="93"/>
      <c r="G272" s="93"/>
      <c r="H272" s="118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</row>
    <row r="273" ht="22.5" customHeight="1">
      <c r="A273" s="93"/>
      <c r="B273" s="93"/>
      <c r="C273" s="93"/>
      <c r="D273" s="93"/>
      <c r="E273" s="93"/>
      <c r="F273" s="93"/>
      <c r="G273" s="93"/>
      <c r="H273" s="118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</row>
    <row r="274" ht="22.5" customHeight="1">
      <c r="A274" s="93"/>
      <c r="B274" s="93"/>
      <c r="C274" s="93"/>
      <c r="D274" s="93"/>
      <c r="E274" s="93"/>
      <c r="F274" s="93"/>
      <c r="G274" s="93"/>
      <c r="H274" s="118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</row>
    <row r="275" ht="22.5" customHeight="1">
      <c r="A275" s="93"/>
      <c r="B275" s="93"/>
      <c r="C275" s="93"/>
      <c r="D275" s="93"/>
      <c r="E275" s="93"/>
      <c r="F275" s="93"/>
      <c r="G275" s="93"/>
      <c r="H275" s="118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</row>
    <row r="276" ht="22.5" customHeight="1">
      <c r="A276" s="93"/>
      <c r="B276" s="93"/>
      <c r="C276" s="93"/>
      <c r="D276" s="93"/>
      <c r="E276" s="93"/>
      <c r="F276" s="93"/>
      <c r="G276" s="93"/>
      <c r="H276" s="118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</row>
    <row r="277" ht="22.5" customHeight="1">
      <c r="A277" s="93"/>
      <c r="B277" s="93"/>
      <c r="C277" s="93"/>
      <c r="D277" s="93"/>
      <c r="E277" s="93"/>
      <c r="F277" s="93"/>
      <c r="G277" s="93"/>
      <c r="H277" s="118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</row>
    <row r="278" ht="22.5" customHeight="1">
      <c r="A278" s="93"/>
      <c r="B278" s="93"/>
      <c r="C278" s="93"/>
      <c r="D278" s="93"/>
      <c r="E278" s="93"/>
      <c r="F278" s="93"/>
      <c r="G278" s="93"/>
      <c r="H278" s="118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</row>
    <row r="279" ht="22.5" customHeight="1">
      <c r="A279" s="93"/>
      <c r="B279" s="93"/>
      <c r="C279" s="93"/>
      <c r="D279" s="93"/>
      <c r="E279" s="93"/>
      <c r="F279" s="93"/>
      <c r="G279" s="93"/>
      <c r="H279" s="118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</row>
    <row r="280" ht="22.5" customHeight="1">
      <c r="A280" s="93"/>
      <c r="B280" s="93"/>
      <c r="C280" s="93"/>
      <c r="D280" s="93"/>
      <c r="E280" s="93"/>
      <c r="F280" s="93"/>
      <c r="G280" s="93"/>
      <c r="H280" s="118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</row>
    <row r="281" ht="22.5" customHeight="1">
      <c r="A281" s="93"/>
      <c r="B281" s="93"/>
      <c r="C281" s="93"/>
      <c r="D281" s="93"/>
      <c r="E281" s="93"/>
      <c r="F281" s="93"/>
      <c r="G281" s="93"/>
      <c r="H281" s="118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</row>
    <row r="282" ht="22.5" customHeight="1">
      <c r="A282" s="93"/>
      <c r="B282" s="93"/>
      <c r="C282" s="93"/>
      <c r="D282" s="93"/>
      <c r="E282" s="93"/>
      <c r="F282" s="93"/>
      <c r="G282" s="93"/>
      <c r="H282" s="118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</row>
    <row r="283" ht="22.5" customHeight="1">
      <c r="A283" s="93"/>
      <c r="B283" s="93"/>
      <c r="C283" s="93"/>
      <c r="D283" s="93"/>
      <c r="E283" s="93"/>
      <c r="F283" s="93"/>
      <c r="G283" s="93"/>
      <c r="H283" s="118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</row>
    <row r="284" ht="22.5" customHeight="1">
      <c r="A284" s="93"/>
      <c r="B284" s="93"/>
      <c r="C284" s="93"/>
      <c r="D284" s="93"/>
      <c r="E284" s="93"/>
      <c r="F284" s="93"/>
      <c r="G284" s="93"/>
      <c r="H284" s="118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</row>
    <row r="285" ht="22.5" customHeight="1">
      <c r="A285" s="93"/>
      <c r="B285" s="93"/>
      <c r="C285" s="93"/>
      <c r="D285" s="93"/>
      <c r="E285" s="93"/>
      <c r="F285" s="93"/>
      <c r="G285" s="93"/>
      <c r="H285" s="118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</row>
    <row r="286" ht="22.5" customHeight="1">
      <c r="A286" s="93"/>
      <c r="B286" s="93"/>
      <c r="C286" s="93"/>
      <c r="D286" s="93"/>
      <c r="E286" s="93"/>
      <c r="F286" s="93"/>
      <c r="G286" s="93"/>
      <c r="H286" s="118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</row>
    <row r="287" ht="22.5" customHeight="1">
      <c r="A287" s="93"/>
      <c r="B287" s="93"/>
      <c r="C287" s="93"/>
      <c r="D287" s="93"/>
      <c r="E287" s="93"/>
      <c r="F287" s="93"/>
      <c r="G287" s="93"/>
      <c r="H287" s="118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</row>
    <row r="288" ht="22.5" customHeight="1">
      <c r="A288" s="93"/>
      <c r="B288" s="93"/>
      <c r="C288" s="93"/>
      <c r="D288" s="93"/>
      <c r="E288" s="93"/>
      <c r="F288" s="93"/>
      <c r="G288" s="93"/>
      <c r="H288" s="118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</row>
    <row r="289" ht="22.5" customHeight="1">
      <c r="A289" s="93"/>
      <c r="B289" s="93"/>
      <c r="C289" s="93"/>
      <c r="D289" s="93"/>
      <c r="E289" s="93"/>
      <c r="F289" s="93"/>
      <c r="G289" s="93"/>
      <c r="H289" s="118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</row>
    <row r="290" ht="22.5" customHeight="1">
      <c r="A290" s="93"/>
      <c r="B290" s="93"/>
      <c r="C290" s="93"/>
      <c r="D290" s="93"/>
      <c r="E290" s="93"/>
      <c r="F290" s="93"/>
      <c r="G290" s="93"/>
      <c r="H290" s="118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</row>
    <row r="291" ht="22.5" customHeight="1">
      <c r="A291" s="93"/>
      <c r="B291" s="93"/>
      <c r="C291" s="93"/>
      <c r="D291" s="93"/>
      <c r="E291" s="93"/>
      <c r="F291" s="93"/>
      <c r="G291" s="93"/>
      <c r="H291" s="118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</row>
    <row r="292" ht="22.5" customHeight="1">
      <c r="A292" s="93"/>
      <c r="B292" s="93"/>
      <c r="C292" s="93"/>
      <c r="D292" s="93"/>
      <c r="E292" s="93"/>
      <c r="F292" s="93"/>
      <c r="G292" s="93"/>
      <c r="H292" s="118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</row>
    <row r="293" ht="22.5" customHeight="1">
      <c r="A293" s="93"/>
      <c r="B293" s="93"/>
      <c r="C293" s="93"/>
      <c r="D293" s="93"/>
      <c r="E293" s="93"/>
      <c r="F293" s="93"/>
      <c r="G293" s="93"/>
      <c r="H293" s="118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</row>
    <row r="294" ht="22.5" customHeight="1">
      <c r="A294" s="93"/>
      <c r="B294" s="93"/>
      <c r="C294" s="93"/>
      <c r="D294" s="93"/>
      <c r="E294" s="93"/>
      <c r="F294" s="93"/>
      <c r="G294" s="93"/>
      <c r="H294" s="118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</row>
    <row r="295" ht="22.5" customHeight="1">
      <c r="A295" s="93"/>
      <c r="B295" s="93"/>
      <c r="C295" s="93"/>
      <c r="D295" s="93"/>
      <c r="E295" s="93"/>
      <c r="F295" s="93"/>
      <c r="G295" s="93"/>
      <c r="H295" s="118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</row>
    <row r="296" ht="22.5" customHeight="1">
      <c r="A296" s="93"/>
      <c r="B296" s="93"/>
      <c r="C296" s="93"/>
      <c r="D296" s="93"/>
      <c r="E296" s="93"/>
      <c r="F296" s="93"/>
      <c r="G296" s="93"/>
      <c r="H296" s="118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</row>
    <row r="297" ht="22.5" customHeight="1">
      <c r="A297" s="93"/>
      <c r="B297" s="93"/>
      <c r="C297" s="93"/>
      <c r="D297" s="93"/>
      <c r="E297" s="93"/>
      <c r="F297" s="93"/>
      <c r="G297" s="93"/>
      <c r="H297" s="118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</row>
    <row r="298" ht="22.5" customHeight="1">
      <c r="A298" s="93"/>
      <c r="B298" s="93"/>
      <c r="C298" s="93"/>
      <c r="D298" s="93"/>
      <c r="E298" s="93"/>
      <c r="F298" s="93"/>
      <c r="G298" s="93"/>
      <c r="H298" s="118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</row>
    <row r="299" ht="22.5" customHeight="1">
      <c r="A299" s="93"/>
      <c r="B299" s="93"/>
      <c r="C299" s="93"/>
      <c r="D299" s="93"/>
      <c r="E299" s="93"/>
      <c r="F299" s="93"/>
      <c r="G299" s="93"/>
      <c r="H299" s="118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</row>
    <row r="300" ht="22.5" customHeight="1">
      <c r="A300" s="93"/>
      <c r="B300" s="93"/>
      <c r="C300" s="93"/>
      <c r="D300" s="93"/>
      <c r="E300" s="93"/>
      <c r="F300" s="93"/>
      <c r="G300" s="93"/>
      <c r="H300" s="118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</row>
    <row r="301" ht="22.5" customHeight="1">
      <c r="A301" s="93"/>
      <c r="B301" s="93"/>
      <c r="C301" s="93"/>
      <c r="D301" s="93"/>
      <c r="E301" s="93"/>
      <c r="F301" s="93"/>
      <c r="G301" s="93"/>
      <c r="H301" s="118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</row>
    <row r="302" ht="22.5" customHeight="1">
      <c r="A302" s="93"/>
      <c r="B302" s="93"/>
      <c r="C302" s="93"/>
      <c r="D302" s="93"/>
      <c r="E302" s="93"/>
      <c r="F302" s="93"/>
      <c r="G302" s="93"/>
      <c r="H302" s="118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</row>
    <row r="303" ht="22.5" customHeight="1">
      <c r="A303" s="93"/>
      <c r="B303" s="93"/>
      <c r="C303" s="93"/>
      <c r="D303" s="93"/>
      <c r="E303" s="93"/>
      <c r="F303" s="93"/>
      <c r="G303" s="93"/>
      <c r="H303" s="118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</row>
    <row r="304" ht="22.5" customHeight="1">
      <c r="A304" s="93"/>
      <c r="B304" s="93"/>
      <c r="C304" s="93"/>
      <c r="D304" s="93"/>
      <c r="E304" s="93"/>
      <c r="F304" s="93"/>
      <c r="G304" s="93"/>
      <c r="H304" s="118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</row>
    <row r="305" ht="22.5" customHeight="1">
      <c r="A305" s="93"/>
      <c r="B305" s="93"/>
      <c r="C305" s="93"/>
      <c r="D305" s="93"/>
      <c r="E305" s="93"/>
      <c r="F305" s="93"/>
      <c r="G305" s="93"/>
      <c r="H305" s="118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</row>
    <row r="306" ht="22.5" customHeight="1">
      <c r="A306" s="93"/>
      <c r="B306" s="93"/>
      <c r="C306" s="93"/>
      <c r="D306" s="93"/>
      <c r="E306" s="93"/>
      <c r="F306" s="93"/>
      <c r="G306" s="93"/>
      <c r="H306" s="118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</row>
    <row r="307" ht="22.5" customHeight="1">
      <c r="A307" s="93"/>
      <c r="B307" s="93"/>
      <c r="C307" s="93"/>
      <c r="D307" s="93"/>
      <c r="E307" s="93"/>
      <c r="F307" s="93"/>
      <c r="G307" s="93"/>
      <c r="H307" s="118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</row>
    <row r="308" ht="22.5" customHeight="1">
      <c r="A308" s="93"/>
      <c r="B308" s="93"/>
      <c r="C308" s="93"/>
      <c r="D308" s="93"/>
      <c r="E308" s="93"/>
      <c r="F308" s="93"/>
      <c r="G308" s="93"/>
      <c r="H308" s="118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</row>
    <row r="309" ht="22.5" customHeight="1">
      <c r="A309" s="93"/>
      <c r="B309" s="93"/>
      <c r="C309" s="93"/>
      <c r="D309" s="93"/>
      <c r="E309" s="93"/>
      <c r="F309" s="93"/>
      <c r="G309" s="93"/>
      <c r="H309" s="118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</row>
    <row r="310" ht="22.5" customHeight="1">
      <c r="A310" s="93"/>
      <c r="B310" s="93"/>
      <c r="C310" s="93"/>
      <c r="D310" s="93"/>
      <c r="E310" s="93"/>
      <c r="F310" s="93"/>
      <c r="G310" s="93"/>
      <c r="H310" s="118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</row>
    <row r="311" ht="22.5" customHeight="1">
      <c r="A311" s="93"/>
      <c r="B311" s="93"/>
      <c r="C311" s="93"/>
      <c r="D311" s="93"/>
      <c r="E311" s="93"/>
      <c r="F311" s="93"/>
      <c r="G311" s="93"/>
      <c r="H311" s="118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</row>
    <row r="312" ht="22.5" customHeight="1">
      <c r="A312" s="93"/>
      <c r="B312" s="93"/>
      <c r="C312" s="93"/>
      <c r="D312" s="93"/>
      <c r="E312" s="93"/>
      <c r="F312" s="93"/>
      <c r="G312" s="93"/>
      <c r="H312" s="118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</row>
    <row r="313" ht="22.5" customHeight="1">
      <c r="A313" s="93"/>
      <c r="B313" s="93"/>
      <c r="C313" s="93"/>
      <c r="D313" s="93"/>
      <c r="E313" s="93"/>
      <c r="F313" s="93"/>
      <c r="G313" s="93"/>
      <c r="H313" s="118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</row>
    <row r="314" ht="22.5" customHeight="1">
      <c r="A314" s="93"/>
      <c r="B314" s="93"/>
      <c r="C314" s="93"/>
      <c r="D314" s="93"/>
      <c r="E314" s="93"/>
      <c r="F314" s="93"/>
      <c r="G314" s="93"/>
      <c r="H314" s="118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</row>
    <row r="315" ht="22.5" customHeight="1">
      <c r="A315" s="93"/>
      <c r="B315" s="93"/>
      <c r="C315" s="93"/>
      <c r="D315" s="93"/>
      <c r="E315" s="93"/>
      <c r="F315" s="93"/>
      <c r="G315" s="93"/>
      <c r="H315" s="118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</row>
    <row r="316" ht="22.5" customHeight="1">
      <c r="A316" s="93"/>
      <c r="B316" s="93"/>
      <c r="C316" s="93"/>
      <c r="D316" s="93"/>
      <c r="E316" s="93"/>
      <c r="F316" s="93"/>
      <c r="G316" s="93"/>
      <c r="H316" s="118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</row>
    <row r="317" ht="22.5" customHeight="1">
      <c r="A317" s="93"/>
      <c r="B317" s="93"/>
      <c r="C317" s="93"/>
      <c r="D317" s="93"/>
      <c r="E317" s="93"/>
      <c r="F317" s="93"/>
      <c r="G317" s="93"/>
      <c r="H317" s="118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</row>
    <row r="318" ht="22.5" customHeight="1">
      <c r="A318" s="93"/>
      <c r="B318" s="93"/>
      <c r="C318" s="93"/>
      <c r="D318" s="93"/>
      <c r="E318" s="93"/>
      <c r="F318" s="93"/>
      <c r="G318" s="93"/>
      <c r="H318" s="118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</row>
    <row r="319" ht="22.5" customHeight="1">
      <c r="A319" s="93"/>
      <c r="B319" s="93"/>
      <c r="C319" s="93"/>
      <c r="D319" s="93"/>
      <c r="E319" s="93"/>
      <c r="F319" s="93"/>
      <c r="G319" s="93"/>
      <c r="H319" s="118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</row>
    <row r="320" ht="22.5" customHeight="1">
      <c r="A320" s="93"/>
      <c r="B320" s="93"/>
      <c r="C320" s="93"/>
      <c r="D320" s="93"/>
      <c r="E320" s="93"/>
      <c r="F320" s="93"/>
      <c r="G320" s="93"/>
      <c r="H320" s="118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</row>
    <row r="321" ht="22.5" customHeight="1">
      <c r="A321" s="93"/>
      <c r="B321" s="93"/>
      <c r="C321" s="93"/>
      <c r="D321" s="93"/>
      <c r="E321" s="93"/>
      <c r="F321" s="93"/>
      <c r="G321" s="93"/>
      <c r="H321" s="118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</row>
    <row r="322" ht="22.5" customHeight="1">
      <c r="A322" s="93"/>
      <c r="B322" s="93"/>
      <c r="C322" s="93"/>
      <c r="D322" s="93"/>
      <c r="E322" s="93"/>
      <c r="F322" s="93"/>
      <c r="G322" s="93"/>
      <c r="H322" s="118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</row>
    <row r="323" ht="22.5" customHeight="1">
      <c r="A323" s="93"/>
      <c r="B323" s="93"/>
      <c r="C323" s="93"/>
      <c r="D323" s="93"/>
      <c r="E323" s="93"/>
      <c r="F323" s="93"/>
      <c r="G323" s="93"/>
      <c r="H323" s="118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</row>
    <row r="324" ht="22.5" customHeight="1">
      <c r="A324" s="93"/>
      <c r="B324" s="93"/>
      <c r="C324" s="93"/>
      <c r="D324" s="93"/>
      <c r="E324" s="93"/>
      <c r="F324" s="93"/>
      <c r="G324" s="93"/>
      <c r="H324" s="118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</row>
    <row r="325" ht="22.5" customHeight="1">
      <c r="A325" s="93"/>
      <c r="B325" s="93"/>
      <c r="C325" s="93"/>
      <c r="D325" s="93"/>
      <c r="E325" s="93"/>
      <c r="F325" s="93"/>
      <c r="G325" s="93"/>
      <c r="H325" s="118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</row>
    <row r="326" ht="22.5" customHeight="1">
      <c r="A326" s="93"/>
      <c r="B326" s="93"/>
      <c r="C326" s="93"/>
      <c r="D326" s="93"/>
      <c r="E326" s="93"/>
      <c r="F326" s="93"/>
      <c r="G326" s="93"/>
      <c r="H326" s="118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ht="22.5" customHeight="1">
      <c r="A327" s="93"/>
      <c r="B327" s="93"/>
      <c r="C327" s="93"/>
      <c r="D327" s="93"/>
      <c r="E327" s="93"/>
      <c r="F327" s="93"/>
      <c r="G327" s="93"/>
      <c r="H327" s="118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</row>
    <row r="328" ht="22.5" customHeight="1">
      <c r="A328" s="93"/>
      <c r="B328" s="93"/>
      <c r="C328" s="93"/>
      <c r="D328" s="93"/>
      <c r="E328" s="93"/>
      <c r="F328" s="93"/>
      <c r="G328" s="93"/>
      <c r="H328" s="118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</row>
    <row r="329" ht="22.5" customHeight="1">
      <c r="A329" s="93"/>
      <c r="B329" s="93"/>
      <c r="C329" s="93"/>
      <c r="D329" s="93"/>
      <c r="E329" s="93"/>
      <c r="F329" s="93"/>
      <c r="G329" s="93"/>
      <c r="H329" s="118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</row>
    <row r="330" ht="22.5" customHeight="1">
      <c r="A330" s="93"/>
      <c r="B330" s="93"/>
      <c r="C330" s="93"/>
      <c r="D330" s="93"/>
      <c r="E330" s="93"/>
      <c r="F330" s="93"/>
      <c r="G330" s="93"/>
      <c r="H330" s="118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</row>
    <row r="331" ht="22.5" customHeight="1">
      <c r="A331" s="93"/>
      <c r="B331" s="93"/>
      <c r="C331" s="93"/>
      <c r="D331" s="93"/>
      <c r="E331" s="93"/>
      <c r="F331" s="93"/>
      <c r="G331" s="93"/>
      <c r="H331" s="118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</row>
    <row r="332" ht="22.5" customHeight="1">
      <c r="A332" s="93"/>
      <c r="B332" s="93"/>
      <c r="C332" s="93"/>
      <c r="D332" s="93"/>
      <c r="E332" s="93"/>
      <c r="F332" s="93"/>
      <c r="G332" s="93"/>
      <c r="H332" s="118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</row>
    <row r="333" ht="22.5" customHeight="1">
      <c r="A333" s="93"/>
      <c r="B333" s="93"/>
      <c r="C333" s="93"/>
      <c r="D333" s="93"/>
      <c r="E333" s="93"/>
      <c r="F333" s="93"/>
      <c r="G333" s="93"/>
      <c r="H333" s="118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</row>
    <row r="334" ht="22.5" customHeight="1">
      <c r="A334" s="93"/>
      <c r="B334" s="93"/>
      <c r="C334" s="93"/>
      <c r="D334" s="93"/>
      <c r="E334" s="93"/>
      <c r="F334" s="93"/>
      <c r="G334" s="93"/>
      <c r="H334" s="118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</row>
    <row r="335" ht="22.5" customHeight="1">
      <c r="A335" s="93"/>
      <c r="B335" s="93"/>
      <c r="C335" s="93"/>
      <c r="D335" s="93"/>
      <c r="E335" s="93"/>
      <c r="F335" s="93"/>
      <c r="G335" s="93"/>
      <c r="H335" s="118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</row>
    <row r="336" ht="22.5" customHeight="1">
      <c r="A336" s="93"/>
      <c r="B336" s="93"/>
      <c r="C336" s="93"/>
      <c r="D336" s="93"/>
      <c r="E336" s="93"/>
      <c r="F336" s="93"/>
      <c r="G336" s="93"/>
      <c r="H336" s="118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</row>
    <row r="337" ht="22.5" customHeight="1">
      <c r="A337" s="93"/>
      <c r="B337" s="93"/>
      <c r="C337" s="93"/>
      <c r="D337" s="93"/>
      <c r="E337" s="93"/>
      <c r="F337" s="93"/>
      <c r="G337" s="93"/>
      <c r="H337" s="118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</row>
    <row r="338" ht="22.5" customHeight="1">
      <c r="A338" s="93"/>
      <c r="B338" s="93"/>
      <c r="C338" s="93"/>
      <c r="D338" s="93"/>
      <c r="E338" s="93"/>
      <c r="F338" s="93"/>
      <c r="G338" s="93"/>
      <c r="H338" s="118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</row>
    <row r="339" ht="22.5" customHeight="1">
      <c r="A339" s="93"/>
      <c r="B339" s="93"/>
      <c r="C339" s="93"/>
      <c r="D339" s="93"/>
      <c r="E339" s="93"/>
      <c r="F339" s="93"/>
      <c r="G339" s="93"/>
      <c r="H339" s="118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</row>
    <row r="340" ht="22.5" customHeight="1">
      <c r="A340" s="93"/>
      <c r="B340" s="93"/>
      <c r="C340" s="93"/>
      <c r="D340" s="93"/>
      <c r="E340" s="93"/>
      <c r="F340" s="93"/>
      <c r="G340" s="93"/>
      <c r="H340" s="118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</row>
    <row r="341" ht="22.5" customHeight="1">
      <c r="A341" s="93"/>
      <c r="B341" s="93"/>
      <c r="C341" s="93"/>
      <c r="D341" s="93"/>
      <c r="E341" s="93"/>
      <c r="F341" s="93"/>
      <c r="G341" s="93"/>
      <c r="H341" s="118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</row>
    <row r="342" ht="22.5" customHeight="1">
      <c r="A342" s="93"/>
      <c r="B342" s="93"/>
      <c r="C342" s="93"/>
      <c r="D342" s="93"/>
      <c r="E342" s="93"/>
      <c r="F342" s="93"/>
      <c r="G342" s="93"/>
      <c r="H342" s="118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</row>
    <row r="343" ht="22.5" customHeight="1">
      <c r="A343" s="93"/>
      <c r="B343" s="93"/>
      <c r="C343" s="93"/>
      <c r="D343" s="93"/>
      <c r="E343" s="93"/>
      <c r="F343" s="93"/>
      <c r="G343" s="93"/>
      <c r="H343" s="118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</row>
    <row r="344" ht="22.5" customHeight="1">
      <c r="A344" s="93"/>
      <c r="B344" s="93"/>
      <c r="C344" s="93"/>
      <c r="D344" s="93"/>
      <c r="E344" s="93"/>
      <c r="F344" s="93"/>
      <c r="G344" s="93"/>
      <c r="H344" s="118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</row>
    <row r="345" ht="22.5" customHeight="1">
      <c r="A345" s="93"/>
      <c r="B345" s="93"/>
      <c r="C345" s="93"/>
      <c r="D345" s="93"/>
      <c r="E345" s="93"/>
      <c r="F345" s="93"/>
      <c r="G345" s="93"/>
      <c r="H345" s="118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</row>
    <row r="346" ht="22.5" customHeight="1">
      <c r="A346" s="93"/>
      <c r="B346" s="93"/>
      <c r="C346" s="93"/>
      <c r="D346" s="93"/>
      <c r="E346" s="93"/>
      <c r="F346" s="93"/>
      <c r="G346" s="93"/>
      <c r="H346" s="118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</row>
    <row r="347" ht="22.5" customHeight="1">
      <c r="A347" s="93"/>
      <c r="B347" s="93"/>
      <c r="C347" s="93"/>
      <c r="D347" s="93"/>
      <c r="E347" s="93"/>
      <c r="F347" s="93"/>
      <c r="G347" s="93"/>
      <c r="H347" s="118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</row>
    <row r="348" ht="22.5" customHeight="1">
      <c r="A348" s="93"/>
      <c r="B348" s="93"/>
      <c r="C348" s="93"/>
      <c r="D348" s="93"/>
      <c r="E348" s="93"/>
      <c r="F348" s="93"/>
      <c r="G348" s="93"/>
      <c r="H348" s="118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</row>
    <row r="349" ht="22.5" customHeight="1">
      <c r="A349" s="93"/>
      <c r="B349" s="93"/>
      <c r="C349" s="93"/>
      <c r="D349" s="93"/>
      <c r="E349" s="93"/>
      <c r="F349" s="93"/>
      <c r="G349" s="93"/>
      <c r="H349" s="118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</row>
    <row r="350" ht="22.5" customHeight="1">
      <c r="A350" s="93"/>
      <c r="B350" s="93"/>
      <c r="C350" s="93"/>
      <c r="D350" s="93"/>
      <c r="E350" s="93"/>
      <c r="F350" s="93"/>
      <c r="G350" s="93"/>
      <c r="H350" s="118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</row>
    <row r="351" ht="22.5" customHeight="1">
      <c r="A351" s="93"/>
      <c r="B351" s="93"/>
      <c r="C351" s="93"/>
      <c r="D351" s="93"/>
      <c r="E351" s="93"/>
      <c r="F351" s="93"/>
      <c r="G351" s="93"/>
      <c r="H351" s="118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</row>
    <row r="352" ht="22.5" customHeight="1">
      <c r="A352" s="93"/>
      <c r="B352" s="93"/>
      <c r="C352" s="93"/>
      <c r="D352" s="93"/>
      <c r="E352" s="93"/>
      <c r="F352" s="93"/>
      <c r="G352" s="93"/>
      <c r="H352" s="118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</row>
    <row r="353" ht="22.5" customHeight="1">
      <c r="A353" s="93"/>
      <c r="B353" s="93"/>
      <c r="C353" s="93"/>
      <c r="D353" s="93"/>
      <c r="E353" s="93"/>
      <c r="F353" s="93"/>
      <c r="G353" s="93"/>
      <c r="H353" s="118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</row>
    <row r="354" ht="22.5" customHeight="1">
      <c r="A354" s="93"/>
      <c r="B354" s="93"/>
      <c r="C354" s="93"/>
      <c r="D354" s="93"/>
      <c r="E354" s="93"/>
      <c r="F354" s="93"/>
      <c r="G354" s="93"/>
      <c r="H354" s="118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ht="22.5" customHeight="1">
      <c r="A355" s="93"/>
      <c r="B355" s="93"/>
      <c r="C355" s="93"/>
      <c r="D355" s="93"/>
      <c r="E355" s="93"/>
      <c r="F355" s="93"/>
      <c r="G355" s="93"/>
      <c r="H355" s="118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</row>
    <row r="356" ht="22.5" customHeight="1">
      <c r="A356" s="93"/>
      <c r="B356" s="93"/>
      <c r="C356" s="93"/>
      <c r="D356" s="93"/>
      <c r="E356" s="93"/>
      <c r="F356" s="93"/>
      <c r="G356" s="93"/>
      <c r="H356" s="118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</row>
    <row r="357" ht="22.5" customHeight="1">
      <c r="A357" s="93"/>
      <c r="B357" s="93"/>
      <c r="C357" s="93"/>
      <c r="D357" s="93"/>
      <c r="E357" s="93"/>
      <c r="F357" s="93"/>
      <c r="G357" s="93"/>
      <c r="H357" s="118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</row>
    <row r="358" ht="22.5" customHeight="1">
      <c r="A358" s="93"/>
      <c r="B358" s="93"/>
      <c r="C358" s="93"/>
      <c r="D358" s="93"/>
      <c r="E358" s="93"/>
      <c r="F358" s="93"/>
      <c r="G358" s="93"/>
      <c r="H358" s="118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</row>
    <row r="359" ht="22.5" customHeight="1">
      <c r="A359" s="93"/>
      <c r="B359" s="93"/>
      <c r="C359" s="93"/>
      <c r="D359" s="93"/>
      <c r="E359" s="93"/>
      <c r="F359" s="93"/>
      <c r="G359" s="93"/>
      <c r="H359" s="118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</row>
    <row r="360" ht="22.5" customHeight="1">
      <c r="A360" s="93"/>
      <c r="B360" s="93"/>
      <c r="C360" s="93"/>
      <c r="D360" s="93"/>
      <c r="E360" s="93"/>
      <c r="F360" s="93"/>
      <c r="G360" s="93"/>
      <c r="H360" s="118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</row>
    <row r="361" ht="22.5" customHeight="1">
      <c r="A361" s="93"/>
      <c r="B361" s="93"/>
      <c r="C361" s="93"/>
      <c r="D361" s="93"/>
      <c r="E361" s="93"/>
      <c r="F361" s="93"/>
      <c r="G361" s="93"/>
      <c r="H361" s="118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</row>
    <row r="362" ht="22.5" customHeight="1">
      <c r="A362" s="93"/>
      <c r="B362" s="93"/>
      <c r="C362" s="93"/>
      <c r="D362" s="93"/>
      <c r="E362" s="93"/>
      <c r="F362" s="93"/>
      <c r="G362" s="93"/>
      <c r="H362" s="118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</row>
    <row r="363" ht="22.5" customHeight="1">
      <c r="A363" s="93"/>
      <c r="B363" s="93"/>
      <c r="C363" s="93"/>
      <c r="D363" s="93"/>
      <c r="E363" s="93"/>
      <c r="F363" s="93"/>
      <c r="G363" s="93"/>
      <c r="H363" s="118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</row>
    <row r="364" ht="22.5" customHeight="1">
      <c r="A364" s="93"/>
      <c r="B364" s="93"/>
      <c r="C364" s="93"/>
      <c r="D364" s="93"/>
      <c r="E364" s="93"/>
      <c r="F364" s="93"/>
      <c r="G364" s="93"/>
      <c r="H364" s="118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</row>
    <row r="365" ht="22.5" customHeight="1">
      <c r="A365" s="93"/>
      <c r="B365" s="93"/>
      <c r="C365" s="93"/>
      <c r="D365" s="93"/>
      <c r="E365" s="93"/>
      <c r="F365" s="93"/>
      <c r="G365" s="93"/>
      <c r="H365" s="118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</row>
    <row r="366" ht="22.5" customHeight="1">
      <c r="A366" s="93"/>
      <c r="B366" s="93"/>
      <c r="C366" s="93"/>
      <c r="D366" s="93"/>
      <c r="E366" s="93"/>
      <c r="F366" s="93"/>
      <c r="G366" s="93"/>
      <c r="H366" s="118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</row>
    <row r="367" ht="22.5" customHeight="1">
      <c r="A367" s="93"/>
      <c r="B367" s="93"/>
      <c r="C367" s="93"/>
      <c r="D367" s="93"/>
      <c r="E367" s="93"/>
      <c r="F367" s="93"/>
      <c r="G367" s="93"/>
      <c r="H367" s="118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</row>
    <row r="368" ht="22.5" customHeight="1">
      <c r="A368" s="93"/>
      <c r="B368" s="93"/>
      <c r="C368" s="93"/>
      <c r="D368" s="93"/>
      <c r="E368" s="93"/>
      <c r="F368" s="93"/>
      <c r="G368" s="93"/>
      <c r="H368" s="118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</row>
    <row r="369" ht="22.5" customHeight="1">
      <c r="A369" s="93"/>
      <c r="B369" s="93"/>
      <c r="C369" s="93"/>
      <c r="D369" s="93"/>
      <c r="E369" s="93"/>
      <c r="F369" s="93"/>
      <c r="G369" s="93"/>
      <c r="H369" s="118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</row>
    <row r="370" ht="22.5" customHeight="1">
      <c r="A370" s="93"/>
      <c r="B370" s="93"/>
      <c r="C370" s="93"/>
      <c r="D370" s="93"/>
      <c r="E370" s="93"/>
      <c r="F370" s="93"/>
      <c r="G370" s="93"/>
      <c r="H370" s="118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</row>
    <row r="371" ht="22.5" customHeight="1">
      <c r="A371" s="93"/>
      <c r="B371" s="93"/>
      <c r="C371" s="93"/>
      <c r="D371" s="93"/>
      <c r="E371" s="93"/>
      <c r="F371" s="93"/>
      <c r="G371" s="93"/>
      <c r="H371" s="118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</row>
    <row r="372" ht="22.5" customHeight="1">
      <c r="A372" s="93"/>
      <c r="B372" s="93"/>
      <c r="C372" s="93"/>
      <c r="D372" s="93"/>
      <c r="E372" s="93"/>
      <c r="F372" s="93"/>
      <c r="G372" s="93"/>
      <c r="H372" s="118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</row>
    <row r="373" ht="22.5" customHeight="1">
      <c r="A373" s="93"/>
      <c r="B373" s="93"/>
      <c r="C373" s="93"/>
      <c r="D373" s="93"/>
      <c r="E373" s="93"/>
      <c r="F373" s="93"/>
      <c r="G373" s="93"/>
      <c r="H373" s="118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</row>
    <row r="374" ht="22.5" customHeight="1">
      <c r="A374" s="93"/>
      <c r="B374" s="93"/>
      <c r="C374" s="93"/>
      <c r="D374" s="93"/>
      <c r="E374" s="93"/>
      <c r="F374" s="93"/>
      <c r="G374" s="93"/>
      <c r="H374" s="118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</row>
    <row r="375" ht="22.5" customHeight="1">
      <c r="A375" s="93"/>
      <c r="B375" s="93"/>
      <c r="C375" s="93"/>
      <c r="D375" s="93"/>
      <c r="E375" s="93"/>
      <c r="F375" s="93"/>
      <c r="G375" s="93"/>
      <c r="H375" s="118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</row>
    <row r="376" ht="22.5" customHeight="1">
      <c r="A376" s="93"/>
      <c r="B376" s="93"/>
      <c r="C376" s="93"/>
      <c r="D376" s="93"/>
      <c r="E376" s="93"/>
      <c r="F376" s="93"/>
      <c r="G376" s="93"/>
      <c r="H376" s="118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</row>
    <row r="377" ht="22.5" customHeight="1">
      <c r="A377" s="93"/>
      <c r="B377" s="93"/>
      <c r="C377" s="93"/>
      <c r="D377" s="93"/>
      <c r="E377" s="93"/>
      <c r="F377" s="93"/>
      <c r="G377" s="93"/>
      <c r="H377" s="118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</row>
    <row r="378" ht="22.5" customHeight="1">
      <c r="A378" s="93"/>
      <c r="B378" s="93"/>
      <c r="C378" s="93"/>
      <c r="D378" s="93"/>
      <c r="E378" s="93"/>
      <c r="F378" s="93"/>
      <c r="G378" s="93"/>
      <c r="H378" s="118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</row>
    <row r="379" ht="22.5" customHeight="1">
      <c r="A379" s="93"/>
      <c r="B379" s="93"/>
      <c r="C379" s="93"/>
      <c r="D379" s="93"/>
      <c r="E379" s="93"/>
      <c r="F379" s="93"/>
      <c r="G379" s="93"/>
      <c r="H379" s="118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</row>
    <row r="380" ht="22.5" customHeight="1">
      <c r="A380" s="93"/>
      <c r="B380" s="93"/>
      <c r="C380" s="93"/>
      <c r="D380" s="93"/>
      <c r="E380" s="93"/>
      <c r="F380" s="93"/>
      <c r="G380" s="93"/>
      <c r="H380" s="118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</row>
    <row r="381" ht="22.5" customHeight="1">
      <c r="A381" s="93"/>
      <c r="B381" s="93"/>
      <c r="C381" s="93"/>
      <c r="D381" s="93"/>
      <c r="E381" s="93"/>
      <c r="F381" s="93"/>
      <c r="G381" s="93"/>
      <c r="H381" s="118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</row>
    <row r="382" ht="22.5" customHeight="1">
      <c r="A382" s="93"/>
      <c r="B382" s="93"/>
      <c r="C382" s="93"/>
      <c r="D382" s="93"/>
      <c r="E382" s="93"/>
      <c r="F382" s="93"/>
      <c r="G382" s="93"/>
      <c r="H382" s="118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</row>
    <row r="383" ht="22.5" customHeight="1">
      <c r="A383" s="93"/>
      <c r="B383" s="93"/>
      <c r="C383" s="93"/>
      <c r="D383" s="93"/>
      <c r="E383" s="93"/>
      <c r="F383" s="93"/>
      <c r="G383" s="93"/>
      <c r="H383" s="118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</row>
    <row r="384" ht="22.5" customHeight="1">
      <c r="A384" s="93"/>
      <c r="B384" s="93"/>
      <c r="C384" s="93"/>
      <c r="D384" s="93"/>
      <c r="E384" s="93"/>
      <c r="F384" s="93"/>
      <c r="G384" s="93"/>
      <c r="H384" s="118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</row>
    <row r="385" ht="22.5" customHeight="1">
      <c r="A385" s="93"/>
      <c r="B385" s="93"/>
      <c r="C385" s="93"/>
      <c r="D385" s="93"/>
      <c r="E385" s="93"/>
      <c r="F385" s="93"/>
      <c r="G385" s="93"/>
      <c r="H385" s="118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</row>
    <row r="386" ht="22.5" customHeight="1">
      <c r="A386" s="93"/>
      <c r="B386" s="93"/>
      <c r="C386" s="93"/>
      <c r="D386" s="93"/>
      <c r="E386" s="93"/>
      <c r="F386" s="93"/>
      <c r="G386" s="93"/>
      <c r="H386" s="118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</row>
    <row r="387" ht="22.5" customHeight="1">
      <c r="A387" s="93"/>
      <c r="B387" s="93"/>
      <c r="C387" s="93"/>
      <c r="D387" s="93"/>
      <c r="E387" s="93"/>
      <c r="F387" s="93"/>
      <c r="G387" s="93"/>
      <c r="H387" s="118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</row>
    <row r="388" ht="22.5" customHeight="1">
      <c r="A388" s="93"/>
      <c r="B388" s="93"/>
      <c r="C388" s="93"/>
      <c r="D388" s="93"/>
      <c r="E388" s="93"/>
      <c r="F388" s="93"/>
      <c r="G388" s="93"/>
      <c r="H388" s="118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</row>
    <row r="389" ht="22.5" customHeight="1">
      <c r="A389" s="93"/>
      <c r="B389" s="93"/>
      <c r="C389" s="93"/>
      <c r="D389" s="93"/>
      <c r="E389" s="93"/>
      <c r="F389" s="93"/>
      <c r="G389" s="93"/>
      <c r="H389" s="118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</row>
    <row r="390" ht="22.5" customHeight="1">
      <c r="A390" s="93"/>
      <c r="B390" s="93"/>
      <c r="C390" s="93"/>
      <c r="D390" s="93"/>
      <c r="E390" s="93"/>
      <c r="F390" s="93"/>
      <c r="G390" s="93"/>
      <c r="H390" s="118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</row>
    <row r="391" ht="22.5" customHeight="1">
      <c r="A391" s="93"/>
      <c r="B391" s="93"/>
      <c r="C391" s="93"/>
      <c r="D391" s="93"/>
      <c r="E391" s="93"/>
      <c r="F391" s="93"/>
      <c r="G391" s="93"/>
      <c r="H391" s="118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</row>
    <row r="392" ht="22.5" customHeight="1">
      <c r="A392" s="93"/>
      <c r="B392" s="93"/>
      <c r="C392" s="93"/>
      <c r="D392" s="93"/>
      <c r="E392" s="93"/>
      <c r="F392" s="93"/>
      <c r="G392" s="93"/>
      <c r="H392" s="118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</row>
    <row r="393" ht="22.5" customHeight="1">
      <c r="A393" s="93"/>
      <c r="B393" s="93"/>
      <c r="C393" s="93"/>
      <c r="D393" s="93"/>
      <c r="E393" s="93"/>
      <c r="F393" s="93"/>
      <c r="G393" s="93"/>
      <c r="H393" s="118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</row>
    <row r="394" ht="22.5" customHeight="1">
      <c r="A394" s="93"/>
      <c r="B394" s="93"/>
      <c r="C394" s="93"/>
      <c r="D394" s="93"/>
      <c r="E394" s="93"/>
      <c r="F394" s="93"/>
      <c r="G394" s="93"/>
      <c r="H394" s="118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</row>
    <row r="395" ht="22.5" customHeight="1">
      <c r="A395" s="93"/>
      <c r="B395" s="93"/>
      <c r="C395" s="93"/>
      <c r="D395" s="93"/>
      <c r="E395" s="93"/>
      <c r="F395" s="93"/>
      <c r="G395" s="93"/>
      <c r="H395" s="118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</row>
    <row r="396" ht="22.5" customHeight="1">
      <c r="A396" s="93"/>
      <c r="B396" s="93"/>
      <c r="C396" s="93"/>
      <c r="D396" s="93"/>
      <c r="E396" s="93"/>
      <c r="F396" s="93"/>
      <c r="G396" s="93"/>
      <c r="H396" s="118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</row>
    <row r="397" ht="22.5" customHeight="1">
      <c r="A397" s="93"/>
      <c r="B397" s="93"/>
      <c r="C397" s="93"/>
      <c r="D397" s="93"/>
      <c r="E397" s="93"/>
      <c r="F397" s="93"/>
      <c r="G397" s="93"/>
      <c r="H397" s="118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</row>
    <row r="398" ht="22.5" customHeight="1">
      <c r="A398" s="93"/>
      <c r="B398" s="93"/>
      <c r="C398" s="93"/>
      <c r="D398" s="93"/>
      <c r="E398" s="93"/>
      <c r="F398" s="93"/>
      <c r="G398" s="93"/>
      <c r="H398" s="118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</row>
    <row r="399" ht="22.5" customHeight="1">
      <c r="A399" s="93"/>
      <c r="B399" s="93"/>
      <c r="C399" s="93"/>
      <c r="D399" s="93"/>
      <c r="E399" s="93"/>
      <c r="F399" s="93"/>
      <c r="G399" s="93"/>
      <c r="H399" s="118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</row>
    <row r="400" ht="22.5" customHeight="1">
      <c r="A400" s="93"/>
      <c r="B400" s="93"/>
      <c r="C400" s="93"/>
      <c r="D400" s="93"/>
      <c r="E400" s="93"/>
      <c r="F400" s="93"/>
      <c r="G400" s="93"/>
      <c r="H400" s="118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</row>
    <row r="401" ht="22.5" customHeight="1">
      <c r="A401" s="93"/>
      <c r="B401" s="93"/>
      <c r="C401" s="93"/>
      <c r="D401" s="93"/>
      <c r="E401" s="93"/>
      <c r="F401" s="93"/>
      <c r="G401" s="93"/>
      <c r="H401" s="118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</row>
    <row r="402" ht="22.5" customHeight="1">
      <c r="A402" s="93"/>
      <c r="B402" s="93"/>
      <c r="C402" s="93"/>
      <c r="D402" s="93"/>
      <c r="E402" s="93"/>
      <c r="F402" s="93"/>
      <c r="G402" s="93"/>
      <c r="H402" s="118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</row>
    <row r="403" ht="22.5" customHeight="1">
      <c r="A403" s="93"/>
      <c r="B403" s="93"/>
      <c r="C403" s="93"/>
      <c r="D403" s="93"/>
      <c r="E403" s="93"/>
      <c r="F403" s="93"/>
      <c r="G403" s="93"/>
      <c r="H403" s="118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</row>
    <row r="404" ht="22.5" customHeight="1">
      <c r="A404" s="93"/>
      <c r="B404" s="93"/>
      <c r="C404" s="93"/>
      <c r="D404" s="93"/>
      <c r="E404" s="93"/>
      <c r="F404" s="93"/>
      <c r="G404" s="93"/>
      <c r="H404" s="118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</row>
    <row r="405" ht="22.5" customHeight="1">
      <c r="A405" s="93"/>
      <c r="B405" s="93"/>
      <c r="C405" s="93"/>
      <c r="D405" s="93"/>
      <c r="E405" s="93"/>
      <c r="F405" s="93"/>
      <c r="G405" s="93"/>
      <c r="H405" s="118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</row>
    <row r="406" ht="22.5" customHeight="1">
      <c r="A406" s="93"/>
      <c r="B406" s="93"/>
      <c r="C406" s="93"/>
      <c r="D406" s="93"/>
      <c r="E406" s="93"/>
      <c r="F406" s="93"/>
      <c r="G406" s="93"/>
      <c r="H406" s="118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</row>
    <row r="407" ht="22.5" customHeight="1">
      <c r="A407" s="93"/>
      <c r="B407" s="93"/>
      <c r="C407" s="93"/>
      <c r="D407" s="93"/>
      <c r="E407" s="93"/>
      <c r="F407" s="93"/>
      <c r="G407" s="93"/>
      <c r="H407" s="118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</row>
    <row r="408" ht="22.5" customHeight="1">
      <c r="A408" s="93"/>
      <c r="B408" s="93"/>
      <c r="C408" s="93"/>
      <c r="D408" s="93"/>
      <c r="E408" s="93"/>
      <c r="F408" s="93"/>
      <c r="G408" s="93"/>
      <c r="H408" s="118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</row>
    <row r="409" ht="22.5" customHeight="1">
      <c r="A409" s="93"/>
      <c r="B409" s="93"/>
      <c r="C409" s="93"/>
      <c r="D409" s="93"/>
      <c r="E409" s="93"/>
      <c r="F409" s="93"/>
      <c r="G409" s="93"/>
      <c r="H409" s="118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</row>
    <row r="410" ht="22.5" customHeight="1">
      <c r="A410" s="93"/>
      <c r="B410" s="93"/>
      <c r="C410" s="93"/>
      <c r="D410" s="93"/>
      <c r="E410" s="93"/>
      <c r="F410" s="93"/>
      <c r="G410" s="93"/>
      <c r="H410" s="118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</row>
    <row r="411" ht="22.5" customHeight="1">
      <c r="A411" s="93"/>
      <c r="B411" s="93"/>
      <c r="C411" s="93"/>
      <c r="D411" s="93"/>
      <c r="E411" s="93"/>
      <c r="F411" s="93"/>
      <c r="G411" s="93"/>
      <c r="H411" s="118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</row>
    <row r="412" ht="22.5" customHeight="1">
      <c r="A412" s="93"/>
      <c r="B412" s="93"/>
      <c r="C412" s="93"/>
      <c r="D412" s="93"/>
      <c r="E412" s="93"/>
      <c r="F412" s="93"/>
      <c r="G412" s="93"/>
      <c r="H412" s="118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</row>
    <row r="413" ht="22.5" customHeight="1">
      <c r="A413" s="93"/>
      <c r="B413" s="93"/>
      <c r="C413" s="93"/>
      <c r="D413" s="93"/>
      <c r="E413" s="93"/>
      <c r="F413" s="93"/>
      <c r="G413" s="93"/>
      <c r="H413" s="118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</row>
    <row r="414" ht="22.5" customHeight="1">
      <c r="A414" s="93"/>
      <c r="B414" s="93"/>
      <c r="C414" s="93"/>
      <c r="D414" s="93"/>
      <c r="E414" s="93"/>
      <c r="F414" s="93"/>
      <c r="G414" s="93"/>
      <c r="H414" s="118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</row>
    <row r="415" ht="22.5" customHeight="1">
      <c r="A415" s="93"/>
      <c r="B415" s="93"/>
      <c r="C415" s="93"/>
      <c r="D415" s="93"/>
      <c r="E415" s="93"/>
      <c r="F415" s="93"/>
      <c r="G415" s="93"/>
      <c r="H415" s="118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</row>
    <row r="416" ht="22.5" customHeight="1">
      <c r="A416" s="93"/>
      <c r="B416" s="93"/>
      <c r="C416" s="93"/>
      <c r="D416" s="93"/>
      <c r="E416" s="93"/>
      <c r="F416" s="93"/>
      <c r="G416" s="93"/>
      <c r="H416" s="118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</row>
    <row r="417" ht="22.5" customHeight="1">
      <c r="A417" s="93"/>
      <c r="B417" s="93"/>
      <c r="C417" s="93"/>
      <c r="D417" s="93"/>
      <c r="E417" s="93"/>
      <c r="F417" s="93"/>
      <c r="G417" s="93"/>
      <c r="H417" s="118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</row>
    <row r="418" ht="22.5" customHeight="1">
      <c r="A418" s="93"/>
      <c r="B418" s="93"/>
      <c r="C418" s="93"/>
      <c r="D418" s="93"/>
      <c r="E418" s="93"/>
      <c r="F418" s="93"/>
      <c r="G418" s="93"/>
      <c r="H418" s="118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</row>
    <row r="419" ht="22.5" customHeight="1">
      <c r="A419" s="93"/>
      <c r="B419" s="93"/>
      <c r="C419" s="93"/>
      <c r="D419" s="93"/>
      <c r="E419" s="93"/>
      <c r="F419" s="93"/>
      <c r="G419" s="93"/>
      <c r="H419" s="118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</row>
    <row r="420" ht="22.5" customHeight="1">
      <c r="A420" s="93"/>
      <c r="B420" s="93"/>
      <c r="C420" s="93"/>
      <c r="D420" s="93"/>
      <c r="E420" s="93"/>
      <c r="F420" s="93"/>
      <c r="G420" s="93"/>
      <c r="H420" s="118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</row>
    <row r="421" ht="22.5" customHeight="1">
      <c r="A421" s="93"/>
      <c r="B421" s="93"/>
      <c r="C421" s="93"/>
      <c r="D421" s="93"/>
      <c r="E421" s="93"/>
      <c r="F421" s="93"/>
      <c r="G421" s="93"/>
      <c r="H421" s="118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</row>
    <row r="422" ht="22.5" customHeight="1">
      <c r="A422" s="93"/>
      <c r="B422" s="93"/>
      <c r="C422" s="93"/>
      <c r="D422" s="93"/>
      <c r="E422" s="93"/>
      <c r="F422" s="93"/>
      <c r="G422" s="93"/>
      <c r="H422" s="118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</row>
    <row r="423" ht="22.5" customHeight="1">
      <c r="A423" s="93"/>
      <c r="B423" s="93"/>
      <c r="C423" s="93"/>
      <c r="D423" s="93"/>
      <c r="E423" s="93"/>
      <c r="F423" s="93"/>
      <c r="G423" s="93"/>
      <c r="H423" s="118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</row>
    <row r="424" ht="22.5" customHeight="1">
      <c r="A424" s="93"/>
      <c r="B424" s="93"/>
      <c r="C424" s="93"/>
      <c r="D424" s="93"/>
      <c r="E424" s="93"/>
      <c r="F424" s="93"/>
      <c r="G424" s="93"/>
      <c r="H424" s="118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</row>
    <row r="425" ht="22.5" customHeight="1">
      <c r="A425" s="93"/>
      <c r="B425" s="93"/>
      <c r="C425" s="93"/>
      <c r="D425" s="93"/>
      <c r="E425" s="93"/>
      <c r="F425" s="93"/>
      <c r="G425" s="93"/>
      <c r="H425" s="118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</row>
    <row r="426" ht="22.5" customHeight="1">
      <c r="A426" s="93"/>
      <c r="B426" s="93"/>
      <c r="C426" s="93"/>
      <c r="D426" s="93"/>
      <c r="E426" s="93"/>
      <c r="F426" s="93"/>
      <c r="G426" s="93"/>
      <c r="H426" s="118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</row>
    <row r="427" ht="22.5" customHeight="1">
      <c r="A427" s="93"/>
      <c r="B427" s="93"/>
      <c r="C427" s="93"/>
      <c r="D427" s="93"/>
      <c r="E427" s="93"/>
      <c r="F427" s="93"/>
      <c r="G427" s="93"/>
      <c r="H427" s="118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</row>
    <row r="428" ht="22.5" customHeight="1">
      <c r="A428" s="93"/>
      <c r="B428" s="93"/>
      <c r="C428" s="93"/>
      <c r="D428" s="93"/>
      <c r="E428" s="93"/>
      <c r="F428" s="93"/>
      <c r="G428" s="93"/>
      <c r="H428" s="118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</row>
    <row r="429" ht="22.5" customHeight="1">
      <c r="A429" s="93"/>
      <c r="B429" s="93"/>
      <c r="C429" s="93"/>
      <c r="D429" s="93"/>
      <c r="E429" s="93"/>
      <c r="F429" s="93"/>
      <c r="G429" s="93"/>
      <c r="H429" s="118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</row>
    <row r="430" ht="22.5" customHeight="1">
      <c r="A430" s="93"/>
      <c r="B430" s="93"/>
      <c r="C430" s="93"/>
      <c r="D430" s="93"/>
      <c r="E430" s="93"/>
      <c r="F430" s="93"/>
      <c r="G430" s="93"/>
      <c r="H430" s="118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</row>
    <row r="431" ht="22.5" customHeight="1">
      <c r="A431" s="93"/>
      <c r="B431" s="93"/>
      <c r="C431" s="93"/>
      <c r="D431" s="93"/>
      <c r="E431" s="93"/>
      <c r="F431" s="93"/>
      <c r="G431" s="93"/>
      <c r="H431" s="118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</row>
    <row r="432" ht="22.5" customHeight="1">
      <c r="A432" s="93"/>
      <c r="B432" s="93"/>
      <c r="C432" s="93"/>
      <c r="D432" s="93"/>
      <c r="E432" s="93"/>
      <c r="F432" s="93"/>
      <c r="G432" s="93"/>
      <c r="H432" s="118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</row>
    <row r="433" ht="22.5" customHeight="1">
      <c r="A433" s="93"/>
      <c r="B433" s="93"/>
      <c r="C433" s="93"/>
      <c r="D433" s="93"/>
      <c r="E433" s="93"/>
      <c r="F433" s="93"/>
      <c r="G433" s="93"/>
      <c r="H433" s="118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</row>
    <row r="434" ht="22.5" customHeight="1">
      <c r="A434" s="93"/>
      <c r="B434" s="93"/>
      <c r="C434" s="93"/>
      <c r="D434" s="93"/>
      <c r="E434" s="93"/>
      <c r="F434" s="93"/>
      <c r="G434" s="93"/>
      <c r="H434" s="118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</row>
    <row r="435" ht="22.5" customHeight="1">
      <c r="A435" s="93"/>
      <c r="B435" s="93"/>
      <c r="C435" s="93"/>
      <c r="D435" s="93"/>
      <c r="E435" s="93"/>
      <c r="F435" s="93"/>
      <c r="G435" s="93"/>
      <c r="H435" s="118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</row>
    <row r="436" ht="22.5" customHeight="1">
      <c r="A436" s="93"/>
      <c r="B436" s="93"/>
      <c r="C436" s="93"/>
      <c r="D436" s="93"/>
      <c r="E436" s="93"/>
      <c r="F436" s="93"/>
      <c r="G436" s="93"/>
      <c r="H436" s="118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</row>
    <row r="437" ht="22.5" customHeight="1">
      <c r="A437" s="93"/>
      <c r="B437" s="93"/>
      <c r="C437" s="93"/>
      <c r="D437" s="93"/>
      <c r="E437" s="93"/>
      <c r="F437" s="93"/>
      <c r="G437" s="93"/>
      <c r="H437" s="118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</row>
    <row r="438" ht="22.5" customHeight="1">
      <c r="A438" s="93"/>
      <c r="B438" s="93"/>
      <c r="C438" s="93"/>
      <c r="D438" s="93"/>
      <c r="E438" s="93"/>
      <c r="F438" s="93"/>
      <c r="G438" s="93"/>
      <c r="H438" s="118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</row>
    <row r="439" ht="22.5" customHeight="1">
      <c r="A439" s="93"/>
      <c r="B439" s="93"/>
      <c r="C439" s="93"/>
      <c r="D439" s="93"/>
      <c r="E439" s="93"/>
      <c r="F439" s="93"/>
      <c r="G439" s="93"/>
      <c r="H439" s="118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</row>
    <row r="440" ht="22.5" customHeight="1">
      <c r="A440" s="93"/>
      <c r="B440" s="93"/>
      <c r="C440" s="93"/>
      <c r="D440" s="93"/>
      <c r="E440" s="93"/>
      <c r="F440" s="93"/>
      <c r="G440" s="93"/>
      <c r="H440" s="118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</row>
    <row r="441" ht="22.5" customHeight="1">
      <c r="A441" s="93"/>
      <c r="B441" s="93"/>
      <c r="C441" s="93"/>
      <c r="D441" s="93"/>
      <c r="E441" s="93"/>
      <c r="F441" s="93"/>
      <c r="G441" s="93"/>
      <c r="H441" s="118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</row>
    <row r="442" ht="22.5" customHeight="1">
      <c r="A442" s="93"/>
      <c r="B442" s="93"/>
      <c r="C442" s="93"/>
      <c r="D442" s="93"/>
      <c r="E442" s="93"/>
      <c r="F442" s="93"/>
      <c r="G442" s="93"/>
      <c r="H442" s="118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</row>
    <row r="443" ht="22.5" customHeight="1">
      <c r="A443" s="93"/>
      <c r="B443" s="93"/>
      <c r="C443" s="93"/>
      <c r="D443" s="93"/>
      <c r="E443" s="93"/>
      <c r="F443" s="93"/>
      <c r="G443" s="93"/>
      <c r="H443" s="118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</row>
    <row r="444" ht="22.5" customHeight="1">
      <c r="A444" s="93"/>
      <c r="B444" s="93"/>
      <c r="C444" s="93"/>
      <c r="D444" s="93"/>
      <c r="E444" s="93"/>
      <c r="F444" s="93"/>
      <c r="G444" s="93"/>
      <c r="H444" s="118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</row>
    <row r="445" ht="22.5" customHeight="1">
      <c r="A445" s="93"/>
      <c r="B445" s="93"/>
      <c r="C445" s="93"/>
      <c r="D445" s="93"/>
      <c r="E445" s="93"/>
      <c r="F445" s="93"/>
      <c r="G445" s="93"/>
      <c r="H445" s="118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</row>
    <row r="446" ht="22.5" customHeight="1">
      <c r="A446" s="93"/>
      <c r="B446" s="93"/>
      <c r="C446" s="93"/>
      <c r="D446" s="93"/>
      <c r="E446" s="93"/>
      <c r="F446" s="93"/>
      <c r="G446" s="93"/>
      <c r="H446" s="118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</row>
    <row r="447" ht="22.5" customHeight="1">
      <c r="A447" s="93"/>
      <c r="B447" s="93"/>
      <c r="C447" s="93"/>
      <c r="D447" s="93"/>
      <c r="E447" s="93"/>
      <c r="F447" s="93"/>
      <c r="G447" s="93"/>
      <c r="H447" s="118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</row>
    <row r="448" ht="22.5" customHeight="1">
      <c r="A448" s="93"/>
      <c r="B448" s="93"/>
      <c r="C448" s="93"/>
      <c r="D448" s="93"/>
      <c r="E448" s="93"/>
      <c r="F448" s="93"/>
      <c r="G448" s="93"/>
      <c r="H448" s="118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</row>
    <row r="449" ht="22.5" customHeight="1">
      <c r="A449" s="93"/>
      <c r="B449" s="93"/>
      <c r="C449" s="93"/>
      <c r="D449" s="93"/>
      <c r="E449" s="93"/>
      <c r="F449" s="93"/>
      <c r="G449" s="93"/>
      <c r="H449" s="118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</row>
    <row r="450" ht="22.5" customHeight="1">
      <c r="A450" s="93"/>
      <c r="B450" s="93"/>
      <c r="C450" s="93"/>
      <c r="D450" s="93"/>
      <c r="E450" s="93"/>
      <c r="F450" s="93"/>
      <c r="G450" s="93"/>
      <c r="H450" s="118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</row>
    <row r="451" ht="22.5" customHeight="1">
      <c r="A451" s="93"/>
      <c r="B451" s="93"/>
      <c r="C451" s="93"/>
      <c r="D451" s="93"/>
      <c r="E451" s="93"/>
      <c r="F451" s="93"/>
      <c r="G451" s="93"/>
      <c r="H451" s="118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</row>
    <row r="452" ht="22.5" customHeight="1">
      <c r="A452" s="93"/>
      <c r="B452" s="93"/>
      <c r="C452" s="93"/>
      <c r="D452" s="93"/>
      <c r="E452" s="93"/>
      <c r="F452" s="93"/>
      <c r="G452" s="93"/>
      <c r="H452" s="118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</row>
    <row r="453" ht="22.5" customHeight="1">
      <c r="A453" s="93"/>
      <c r="B453" s="93"/>
      <c r="C453" s="93"/>
      <c r="D453" s="93"/>
      <c r="E453" s="93"/>
      <c r="F453" s="93"/>
      <c r="G453" s="93"/>
      <c r="H453" s="118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</row>
    <row r="454" ht="22.5" customHeight="1">
      <c r="A454" s="93"/>
      <c r="B454" s="93"/>
      <c r="C454" s="93"/>
      <c r="D454" s="93"/>
      <c r="E454" s="93"/>
      <c r="F454" s="93"/>
      <c r="G454" s="93"/>
      <c r="H454" s="118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</row>
    <row r="455" ht="22.5" customHeight="1">
      <c r="A455" s="93"/>
      <c r="B455" s="93"/>
      <c r="C455" s="93"/>
      <c r="D455" s="93"/>
      <c r="E455" s="93"/>
      <c r="F455" s="93"/>
      <c r="G455" s="93"/>
      <c r="H455" s="118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</row>
    <row r="456" ht="22.5" customHeight="1">
      <c r="A456" s="93"/>
      <c r="B456" s="93"/>
      <c r="C456" s="93"/>
      <c r="D456" s="93"/>
      <c r="E456" s="93"/>
      <c r="F456" s="93"/>
      <c r="G456" s="93"/>
      <c r="H456" s="118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</row>
    <row r="457" ht="22.5" customHeight="1">
      <c r="A457" s="93"/>
      <c r="B457" s="93"/>
      <c r="C457" s="93"/>
      <c r="D457" s="93"/>
      <c r="E457" s="93"/>
      <c r="F457" s="93"/>
      <c r="G457" s="93"/>
      <c r="H457" s="118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</row>
    <row r="458" ht="22.5" customHeight="1">
      <c r="A458" s="93"/>
      <c r="B458" s="93"/>
      <c r="C458" s="93"/>
      <c r="D458" s="93"/>
      <c r="E458" s="93"/>
      <c r="F458" s="93"/>
      <c r="G458" s="93"/>
      <c r="H458" s="118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</row>
    <row r="459" ht="22.5" customHeight="1">
      <c r="A459" s="93"/>
      <c r="B459" s="93"/>
      <c r="C459" s="93"/>
      <c r="D459" s="93"/>
      <c r="E459" s="93"/>
      <c r="F459" s="93"/>
      <c r="G459" s="93"/>
      <c r="H459" s="118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</row>
    <row r="460" ht="22.5" customHeight="1">
      <c r="A460" s="93"/>
      <c r="B460" s="93"/>
      <c r="C460" s="93"/>
      <c r="D460" s="93"/>
      <c r="E460" s="93"/>
      <c r="F460" s="93"/>
      <c r="G460" s="93"/>
      <c r="H460" s="118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</row>
    <row r="461" ht="22.5" customHeight="1">
      <c r="A461" s="93"/>
      <c r="B461" s="93"/>
      <c r="C461" s="93"/>
      <c r="D461" s="93"/>
      <c r="E461" s="93"/>
      <c r="F461" s="93"/>
      <c r="G461" s="93"/>
      <c r="H461" s="118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</row>
    <row r="462" ht="22.5" customHeight="1">
      <c r="A462" s="93"/>
      <c r="B462" s="93"/>
      <c r="C462" s="93"/>
      <c r="D462" s="93"/>
      <c r="E462" s="93"/>
      <c r="F462" s="93"/>
      <c r="G462" s="93"/>
      <c r="H462" s="118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</row>
    <row r="463" ht="22.5" customHeight="1">
      <c r="A463" s="93"/>
      <c r="B463" s="93"/>
      <c r="C463" s="93"/>
      <c r="D463" s="93"/>
      <c r="E463" s="93"/>
      <c r="F463" s="93"/>
      <c r="G463" s="93"/>
      <c r="H463" s="118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</row>
    <row r="464" ht="22.5" customHeight="1">
      <c r="A464" s="93"/>
      <c r="B464" s="93"/>
      <c r="C464" s="93"/>
      <c r="D464" s="93"/>
      <c r="E464" s="93"/>
      <c r="F464" s="93"/>
      <c r="G464" s="93"/>
      <c r="H464" s="118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</row>
    <row r="465" ht="22.5" customHeight="1">
      <c r="A465" s="93"/>
      <c r="B465" s="93"/>
      <c r="C465" s="93"/>
      <c r="D465" s="93"/>
      <c r="E465" s="93"/>
      <c r="F465" s="93"/>
      <c r="G465" s="93"/>
      <c r="H465" s="118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</row>
    <row r="466" ht="22.5" customHeight="1">
      <c r="A466" s="93"/>
      <c r="B466" s="93"/>
      <c r="C466" s="93"/>
      <c r="D466" s="93"/>
      <c r="E466" s="93"/>
      <c r="F466" s="93"/>
      <c r="G466" s="93"/>
      <c r="H466" s="118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</row>
    <row r="467" ht="22.5" customHeight="1">
      <c r="A467" s="93"/>
      <c r="B467" s="93"/>
      <c r="C467" s="93"/>
      <c r="D467" s="93"/>
      <c r="E467" s="93"/>
      <c r="F467" s="93"/>
      <c r="G467" s="93"/>
      <c r="H467" s="118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</row>
    <row r="468" ht="22.5" customHeight="1">
      <c r="A468" s="93"/>
      <c r="B468" s="93"/>
      <c r="C468" s="93"/>
      <c r="D468" s="93"/>
      <c r="E468" s="93"/>
      <c r="F468" s="93"/>
      <c r="G468" s="93"/>
      <c r="H468" s="118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</row>
    <row r="469" ht="22.5" customHeight="1">
      <c r="A469" s="93"/>
      <c r="B469" s="93"/>
      <c r="C469" s="93"/>
      <c r="D469" s="93"/>
      <c r="E469" s="93"/>
      <c r="F469" s="93"/>
      <c r="G469" s="93"/>
      <c r="H469" s="118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</row>
    <row r="470" ht="22.5" customHeight="1">
      <c r="A470" s="93"/>
      <c r="B470" s="93"/>
      <c r="C470" s="93"/>
      <c r="D470" s="93"/>
      <c r="E470" s="93"/>
      <c r="F470" s="93"/>
      <c r="G470" s="93"/>
      <c r="H470" s="118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</row>
    <row r="471" ht="22.5" customHeight="1">
      <c r="A471" s="93"/>
      <c r="B471" s="93"/>
      <c r="C471" s="93"/>
      <c r="D471" s="93"/>
      <c r="E471" s="93"/>
      <c r="F471" s="93"/>
      <c r="G471" s="93"/>
      <c r="H471" s="118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</row>
    <row r="472" ht="22.5" customHeight="1">
      <c r="A472" s="93"/>
      <c r="B472" s="93"/>
      <c r="C472" s="93"/>
      <c r="D472" s="93"/>
      <c r="E472" s="93"/>
      <c r="F472" s="93"/>
      <c r="G472" s="93"/>
      <c r="H472" s="118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</row>
    <row r="473" ht="22.5" customHeight="1">
      <c r="A473" s="93"/>
      <c r="B473" s="93"/>
      <c r="C473" s="93"/>
      <c r="D473" s="93"/>
      <c r="E473" s="93"/>
      <c r="F473" s="93"/>
      <c r="G473" s="93"/>
      <c r="H473" s="118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</row>
    <row r="474" ht="22.5" customHeight="1">
      <c r="A474" s="93"/>
      <c r="B474" s="93"/>
      <c r="C474" s="93"/>
      <c r="D474" s="93"/>
      <c r="E474" s="93"/>
      <c r="F474" s="93"/>
      <c r="G474" s="93"/>
      <c r="H474" s="118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</row>
    <row r="475" ht="22.5" customHeight="1">
      <c r="A475" s="93"/>
      <c r="B475" s="93"/>
      <c r="C475" s="93"/>
      <c r="D475" s="93"/>
      <c r="E475" s="93"/>
      <c r="F475" s="93"/>
      <c r="G475" s="93"/>
      <c r="H475" s="118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</row>
    <row r="476" ht="22.5" customHeight="1">
      <c r="A476" s="93"/>
      <c r="B476" s="93"/>
      <c r="C476" s="93"/>
      <c r="D476" s="93"/>
      <c r="E476" s="93"/>
      <c r="F476" s="93"/>
      <c r="G476" s="93"/>
      <c r="H476" s="118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</row>
    <row r="477" ht="22.5" customHeight="1">
      <c r="A477" s="93"/>
      <c r="B477" s="93"/>
      <c r="C477" s="93"/>
      <c r="D477" s="93"/>
      <c r="E477" s="93"/>
      <c r="F477" s="93"/>
      <c r="G477" s="93"/>
      <c r="H477" s="118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</row>
    <row r="478" ht="22.5" customHeight="1">
      <c r="A478" s="93"/>
      <c r="B478" s="93"/>
      <c r="C478" s="93"/>
      <c r="D478" s="93"/>
      <c r="E478" s="93"/>
      <c r="F478" s="93"/>
      <c r="G478" s="93"/>
      <c r="H478" s="118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</row>
    <row r="479" ht="22.5" customHeight="1">
      <c r="A479" s="93"/>
      <c r="B479" s="93"/>
      <c r="C479" s="93"/>
      <c r="D479" s="93"/>
      <c r="E479" s="93"/>
      <c r="F479" s="93"/>
      <c r="G479" s="93"/>
      <c r="H479" s="118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</row>
    <row r="480" ht="22.5" customHeight="1">
      <c r="A480" s="93"/>
      <c r="B480" s="93"/>
      <c r="C480" s="93"/>
      <c r="D480" s="93"/>
      <c r="E480" s="93"/>
      <c r="F480" s="93"/>
      <c r="G480" s="93"/>
      <c r="H480" s="118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</row>
    <row r="481" ht="22.5" customHeight="1">
      <c r="A481" s="93"/>
      <c r="B481" s="93"/>
      <c r="C481" s="93"/>
      <c r="D481" s="93"/>
      <c r="E481" s="93"/>
      <c r="F481" s="93"/>
      <c r="G481" s="93"/>
      <c r="H481" s="118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</row>
    <row r="482" ht="22.5" customHeight="1">
      <c r="A482" s="93"/>
      <c r="B482" s="93"/>
      <c r="C482" s="93"/>
      <c r="D482" s="93"/>
      <c r="E482" s="93"/>
      <c r="F482" s="93"/>
      <c r="G482" s="93"/>
      <c r="H482" s="118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</row>
    <row r="483" ht="22.5" customHeight="1">
      <c r="A483" s="93"/>
      <c r="B483" s="93"/>
      <c r="C483" s="93"/>
      <c r="D483" s="93"/>
      <c r="E483" s="93"/>
      <c r="F483" s="93"/>
      <c r="G483" s="93"/>
      <c r="H483" s="118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</row>
    <row r="484" ht="22.5" customHeight="1">
      <c r="A484" s="93"/>
      <c r="B484" s="93"/>
      <c r="C484" s="93"/>
      <c r="D484" s="93"/>
      <c r="E484" s="93"/>
      <c r="F484" s="93"/>
      <c r="G484" s="93"/>
      <c r="H484" s="118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</row>
    <row r="485" ht="22.5" customHeight="1">
      <c r="A485" s="93"/>
      <c r="B485" s="93"/>
      <c r="C485" s="93"/>
      <c r="D485" s="93"/>
      <c r="E485" s="93"/>
      <c r="F485" s="93"/>
      <c r="G485" s="93"/>
      <c r="H485" s="118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</row>
    <row r="486" ht="22.5" customHeight="1">
      <c r="A486" s="93"/>
      <c r="B486" s="93"/>
      <c r="C486" s="93"/>
      <c r="D486" s="93"/>
      <c r="E486" s="93"/>
      <c r="F486" s="93"/>
      <c r="G486" s="93"/>
      <c r="H486" s="118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</row>
    <row r="487" ht="22.5" customHeight="1">
      <c r="A487" s="93"/>
      <c r="B487" s="93"/>
      <c r="C487" s="93"/>
      <c r="D487" s="93"/>
      <c r="E487" s="93"/>
      <c r="F487" s="93"/>
      <c r="G487" s="93"/>
      <c r="H487" s="118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</row>
    <row r="488" ht="22.5" customHeight="1">
      <c r="A488" s="93"/>
      <c r="B488" s="93"/>
      <c r="C488" s="93"/>
      <c r="D488" s="93"/>
      <c r="E488" s="93"/>
      <c r="F488" s="93"/>
      <c r="G488" s="93"/>
      <c r="H488" s="118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</row>
    <row r="489" ht="22.5" customHeight="1">
      <c r="A489" s="93"/>
      <c r="B489" s="93"/>
      <c r="C489" s="93"/>
      <c r="D489" s="93"/>
      <c r="E489" s="93"/>
      <c r="F489" s="93"/>
      <c r="G489" s="93"/>
      <c r="H489" s="118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</row>
    <row r="490" ht="22.5" customHeight="1">
      <c r="A490" s="93"/>
      <c r="B490" s="93"/>
      <c r="C490" s="93"/>
      <c r="D490" s="93"/>
      <c r="E490" s="93"/>
      <c r="F490" s="93"/>
      <c r="G490" s="93"/>
      <c r="H490" s="118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</row>
    <row r="491" ht="22.5" customHeight="1">
      <c r="A491" s="93"/>
      <c r="B491" s="93"/>
      <c r="C491" s="93"/>
      <c r="D491" s="93"/>
      <c r="E491" s="93"/>
      <c r="F491" s="93"/>
      <c r="G491" s="93"/>
      <c r="H491" s="118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</row>
    <row r="492" ht="22.5" customHeight="1">
      <c r="A492" s="93"/>
      <c r="B492" s="93"/>
      <c r="C492" s="93"/>
      <c r="D492" s="93"/>
      <c r="E492" s="93"/>
      <c r="F492" s="93"/>
      <c r="G492" s="93"/>
      <c r="H492" s="118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</row>
    <row r="493" ht="22.5" customHeight="1">
      <c r="A493" s="93"/>
      <c r="B493" s="93"/>
      <c r="C493" s="93"/>
      <c r="D493" s="93"/>
      <c r="E493" s="93"/>
      <c r="F493" s="93"/>
      <c r="G493" s="93"/>
      <c r="H493" s="118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</row>
    <row r="494" ht="22.5" customHeight="1">
      <c r="A494" s="93"/>
      <c r="B494" s="93"/>
      <c r="C494" s="93"/>
      <c r="D494" s="93"/>
      <c r="E494" s="93"/>
      <c r="F494" s="93"/>
      <c r="G494" s="93"/>
      <c r="H494" s="118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</row>
    <row r="495" ht="22.5" customHeight="1">
      <c r="A495" s="93"/>
      <c r="B495" s="93"/>
      <c r="C495" s="93"/>
      <c r="D495" s="93"/>
      <c r="E495" s="93"/>
      <c r="F495" s="93"/>
      <c r="G495" s="93"/>
      <c r="H495" s="118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</row>
    <row r="496" ht="22.5" customHeight="1">
      <c r="A496" s="93"/>
      <c r="B496" s="93"/>
      <c r="C496" s="93"/>
      <c r="D496" s="93"/>
      <c r="E496" s="93"/>
      <c r="F496" s="93"/>
      <c r="G496" s="93"/>
      <c r="H496" s="118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</row>
    <row r="497" ht="22.5" customHeight="1">
      <c r="A497" s="93"/>
      <c r="B497" s="93"/>
      <c r="C497" s="93"/>
      <c r="D497" s="93"/>
      <c r="E497" s="93"/>
      <c r="F497" s="93"/>
      <c r="G497" s="93"/>
      <c r="H497" s="118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</row>
    <row r="498" ht="22.5" customHeight="1">
      <c r="A498" s="93"/>
      <c r="B498" s="93"/>
      <c r="C498" s="93"/>
      <c r="D498" s="93"/>
      <c r="E498" s="93"/>
      <c r="F498" s="93"/>
      <c r="G498" s="93"/>
      <c r="H498" s="118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</row>
    <row r="499" ht="22.5" customHeight="1">
      <c r="A499" s="93"/>
      <c r="B499" s="93"/>
      <c r="C499" s="93"/>
      <c r="D499" s="93"/>
      <c r="E499" s="93"/>
      <c r="F499" s="93"/>
      <c r="G499" s="93"/>
      <c r="H499" s="118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</row>
    <row r="500" ht="22.5" customHeight="1">
      <c r="A500" s="93"/>
      <c r="B500" s="93"/>
      <c r="C500" s="93"/>
      <c r="D500" s="93"/>
      <c r="E500" s="93"/>
      <c r="F500" s="93"/>
      <c r="G500" s="93"/>
      <c r="H500" s="118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</row>
    <row r="501" ht="22.5" customHeight="1">
      <c r="A501" s="93"/>
      <c r="B501" s="93"/>
      <c r="C501" s="93"/>
      <c r="D501" s="93"/>
      <c r="E501" s="93"/>
      <c r="F501" s="93"/>
      <c r="G501" s="93"/>
      <c r="H501" s="118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</row>
    <row r="502" ht="22.5" customHeight="1">
      <c r="A502" s="93"/>
      <c r="B502" s="93"/>
      <c r="C502" s="93"/>
      <c r="D502" s="93"/>
      <c r="E502" s="93"/>
      <c r="F502" s="93"/>
      <c r="G502" s="93"/>
      <c r="H502" s="118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</row>
    <row r="503" ht="22.5" customHeight="1">
      <c r="A503" s="93"/>
      <c r="B503" s="93"/>
      <c r="C503" s="93"/>
      <c r="D503" s="93"/>
      <c r="E503" s="93"/>
      <c r="F503" s="93"/>
      <c r="G503" s="93"/>
      <c r="H503" s="118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</row>
    <row r="504" ht="22.5" customHeight="1">
      <c r="A504" s="93"/>
      <c r="B504" s="93"/>
      <c r="C504" s="93"/>
      <c r="D504" s="93"/>
      <c r="E504" s="93"/>
      <c r="F504" s="93"/>
      <c r="G504" s="93"/>
      <c r="H504" s="118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</row>
    <row r="505" ht="22.5" customHeight="1">
      <c r="A505" s="93"/>
      <c r="B505" s="93"/>
      <c r="C505" s="93"/>
      <c r="D505" s="93"/>
      <c r="E505" s="93"/>
      <c r="F505" s="93"/>
      <c r="G505" s="93"/>
      <c r="H505" s="118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</row>
    <row r="506" ht="22.5" customHeight="1">
      <c r="A506" s="93"/>
      <c r="B506" s="93"/>
      <c r="C506" s="93"/>
      <c r="D506" s="93"/>
      <c r="E506" s="93"/>
      <c r="F506" s="93"/>
      <c r="G506" s="93"/>
      <c r="H506" s="118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</row>
    <row r="507" ht="22.5" customHeight="1">
      <c r="A507" s="93"/>
      <c r="B507" s="93"/>
      <c r="C507" s="93"/>
      <c r="D507" s="93"/>
      <c r="E507" s="93"/>
      <c r="F507" s="93"/>
      <c r="G507" s="93"/>
      <c r="H507" s="118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</row>
    <row r="508" ht="22.5" customHeight="1">
      <c r="A508" s="93"/>
      <c r="B508" s="93"/>
      <c r="C508" s="93"/>
      <c r="D508" s="93"/>
      <c r="E508" s="93"/>
      <c r="F508" s="93"/>
      <c r="G508" s="93"/>
      <c r="H508" s="118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</row>
    <row r="509" ht="22.5" customHeight="1">
      <c r="A509" s="93"/>
      <c r="B509" s="93"/>
      <c r="C509" s="93"/>
      <c r="D509" s="93"/>
      <c r="E509" s="93"/>
      <c r="F509" s="93"/>
      <c r="G509" s="93"/>
      <c r="H509" s="118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</row>
    <row r="510" ht="22.5" customHeight="1">
      <c r="A510" s="93"/>
      <c r="B510" s="93"/>
      <c r="C510" s="93"/>
      <c r="D510" s="93"/>
      <c r="E510" s="93"/>
      <c r="F510" s="93"/>
      <c r="G510" s="93"/>
      <c r="H510" s="118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</row>
    <row r="511" ht="22.5" customHeight="1">
      <c r="A511" s="93"/>
      <c r="B511" s="93"/>
      <c r="C511" s="93"/>
      <c r="D511" s="93"/>
      <c r="E511" s="93"/>
      <c r="F511" s="93"/>
      <c r="G511" s="93"/>
      <c r="H511" s="118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</row>
    <row r="512" ht="22.5" customHeight="1">
      <c r="A512" s="93"/>
      <c r="B512" s="93"/>
      <c r="C512" s="93"/>
      <c r="D512" s="93"/>
      <c r="E512" s="93"/>
      <c r="F512" s="93"/>
      <c r="G512" s="93"/>
      <c r="H512" s="118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ht="22.5" customHeight="1">
      <c r="A513" s="93"/>
      <c r="B513" s="93"/>
      <c r="C513" s="93"/>
      <c r="D513" s="93"/>
      <c r="E513" s="93"/>
      <c r="F513" s="93"/>
      <c r="G513" s="93"/>
      <c r="H513" s="118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</row>
    <row r="514" ht="22.5" customHeight="1">
      <c r="A514" s="93"/>
      <c r="B514" s="93"/>
      <c r="C514" s="93"/>
      <c r="D514" s="93"/>
      <c r="E514" s="93"/>
      <c r="F514" s="93"/>
      <c r="G514" s="93"/>
      <c r="H514" s="118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</row>
    <row r="515" ht="22.5" customHeight="1">
      <c r="A515" s="93"/>
      <c r="B515" s="93"/>
      <c r="C515" s="93"/>
      <c r="D515" s="93"/>
      <c r="E515" s="93"/>
      <c r="F515" s="93"/>
      <c r="G515" s="93"/>
      <c r="H515" s="118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</row>
    <row r="516" ht="22.5" customHeight="1">
      <c r="A516" s="93"/>
      <c r="B516" s="93"/>
      <c r="C516" s="93"/>
      <c r="D516" s="93"/>
      <c r="E516" s="93"/>
      <c r="F516" s="93"/>
      <c r="G516" s="93"/>
      <c r="H516" s="118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</row>
    <row r="517" ht="22.5" customHeight="1">
      <c r="A517" s="93"/>
      <c r="B517" s="93"/>
      <c r="C517" s="93"/>
      <c r="D517" s="93"/>
      <c r="E517" s="93"/>
      <c r="F517" s="93"/>
      <c r="G517" s="93"/>
      <c r="H517" s="118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</row>
    <row r="518" ht="22.5" customHeight="1">
      <c r="A518" s="93"/>
      <c r="B518" s="93"/>
      <c r="C518" s="93"/>
      <c r="D518" s="93"/>
      <c r="E518" s="93"/>
      <c r="F518" s="93"/>
      <c r="G518" s="93"/>
      <c r="H518" s="118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</row>
    <row r="519" ht="22.5" customHeight="1">
      <c r="A519" s="93"/>
      <c r="B519" s="93"/>
      <c r="C519" s="93"/>
      <c r="D519" s="93"/>
      <c r="E519" s="93"/>
      <c r="F519" s="93"/>
      <c r="G519" s="93"/>
      <c r="H519" s="118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</row>
    <row r="520" ht="22.5" customHeight="1">
      <c r="A520" s="93"/>
      <c r="B520" s="93"/>
      <c r="C520" s="93"/>
      <c r="D520" s="93"/>
      <c r="E520" s="93"/>
      <c r="F520" s="93"/>
      <c r="G520" s="93"/>
      <c r="H520" s="118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</row>
    <row r="521" ht="22.5" customHeight="1">
      <c r="A521" s="93"/>
      <c r="B521" s="93"/>
      <c r="C521" s="93"/>
      <c r="D521" s="93"/>
      <c r="E521" s="93"/>
      <c r="F521" s="93"/>
      <c r="G521" s="93"/>
      <c r="H521" s="118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</row>
    <row r="522" ht="22.5" customHeight="1">
      <c r="A522" s="93"/>
      <c r="B522" s="93"/>
      <c r="C522" s="93"/>
      <c r="D522" s="93"/>
      <c r="E522" s="93"/>
      <c r="F522" s="93"/>
      <c r="G522" s="93"/>
      <c r="H522" s="118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</row>
    <row r="523" ht="22.5" customHeight="1">
      <c r="A523" s="93"/>
      <c r="B523" s="93"/>
      <c r="C523" s="93"/>
      <c r="D523" s="93"/>
      <c r="E523" s="93"/>
      <c r="F523" s="93"/>
      <c r="G523" s="93"/>
      <c r="H523" s="118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</row>
    <row r="524" ht="22.5" customHeight="1">
      <c r="A524" s="93"/>
      <c r="B524" s="93"/>
      <c r="C524" s="93"/>
      <c r="D524" s="93"/>
      <c r="E524" s="93"/>
      <c r="F524" s="93"/>
      <c r="G524" s="93"/>
      <c r="H524" s="118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</row>
    <row r="525" ht="22.5" customHeight="1">
      <c r="A525" s="93"/>
      <c r="B525" s="93"/>
      <c r="C525" s="93"/>
      <c r="D525" s="93"/>
      <c r="E525" s="93"/>
      <c r="F525" s="93"/>
      <c r="G525" s="93"/>
      <c r="H525" s="118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</row>
    <row r="526" ht="22.5" customHeight="1">
      <c r="A526" s="93"/>
      <c r="B526" s="93"/>
      <c r="C526" s="93"/>
      <c r="D526" s="93"/>
      <c r="E526" s="93"/>
      <c r="F526" s="93"/>
      <c r="G526" s="93"/>
      <c r="H526" s="118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</row>
    <row r="527" ht="22.5" customHeight="1">
      <c r="A527" s="93"/>
      <c r="B527" s="93"/>
      <c r="C527" s="93"/>
      <c r="D527" s="93"/>
      <c r="E527" s="93"/>
      <c r="F527" s="93"/>
      <c r="G527" s="93"/>
      <c r="H527" s="118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</row>
    <row r="528" ht="22.5" customHeight="1">
      <c r="A528" s="93"/>
      <c r="B528" s="93"/>
      <c r="C528" s="93"/>
      <c r="D528" s="93"/>
      <c r="E528" s="93"/>
      <c r="F528" s="93"/>
      <c r="G528" s="93"/>
      <c r="H528" s="118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</row>
    <row r="529" ht="22.5" customHeight="1">
      <c r="A529" s="93"/>
      <c r="B529" s="93"/>
      <c r="C529" s="93"/>
      <c r="D529" s="93"/>
      <c r="E529" s="93"/>
      <c r="F529" s="93"/>
      <c r="G529" s="93"/>
      <c r="H529" s="118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</row>
    <row r="530" ht="22.5" customHeight="1">
      <c r="A530" s="93"/>
      <c r="B530" s="93"/>
      <c r="C530" s="93"/>
      <c r="D530" s="93"/>
      <c r="E530" s="93"/>
      <c r="F530" s="93"/>
      <c r="G530" s="93"/>
      <c r="H530" s="118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</row>
    <row r="531" ht="22.5" customHeight="1">
      <c r="A531" s="93"/>
      <c r="B531" s="93"/>
      <c r="C531" s="93"/>
      <c r="D531" s="93"/>
      <c r="E531" s="93"/>
      <c r="F531" s="93"/>
      <c r="G531" s="93"/>
      <c r="H531" s="118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</row>
    <row r="532" ht="22.5" customHeight="1">
      <c r="A532" s="93"/>
      <c r="B532" s="93"/>
      <c r="C532" s="93"/>
      <c r="D532" s="93"/>
      <c r="E532" s="93"/>
      <c r="F532" s="93"/>
      <c r="G532" s="93"/>
      <c r="H532" s="118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</row>
    <row r="533" ht="22.5" customHeight="1">
      <c r="A533" s="93"/>
      <c r="B533" s="93"/>
      <c r="C533" s="93"/>
      <c r="D533" s="93"/>
      <c r="E533" s="93"/>
      <c r="F533" s="93"/>
      <c r="G533" s="93"/>
      <c r="H533" s="118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</row>
    <row r="534" ht="22.5" customHeight="1">
      <c r="A534" s="93"/>
      <c r="B534" s="93"/>
      <c r="C534" s="93"/>
      <c r="D534" s="93"/>
      <c r="E534" s="93"/>
      <c r="F534" s="93"/>
      <c r="G534" s="93"/>
      <c r="H534" s="118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</row>
    <row r="535" ht="22.5" customHeight="1">
      <c r="A535" s="93"/>
      <c r="B535" s="93"/>
      <c r="C535" s="93"/>
      <c r="D535" s="93"/>
      <c r="E535" s="93"/>
      <c r="F535" s="93"/>
      <c r="G535" s="93"/>
      <c r="H535" s="118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</row>
    <row r="536" ht="22.5" customHeight="1">
      <c r="A536" s="93"/>
      <c r="B536" s="93"/>
      <c r="C536" s="93"/>
      <c r="D536" s="93"/>
      <c r="E536" s="93"/>
      <c r="F536" s="93"/>
      <c r="G536" s="93"/>
      <c r="H536" s="118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</row>
    <row r="537" ht="22.5" customHeight="1">
      <c r="A537" s="93"/>
      <c r="B537" s="93"/>
      <c r="C537" s="93"/>
      <c r="D537" s="93"/>
      <c r="E537" s="93"/>
      <c r="F537" s="93"/>
      <c r="G537" s="93"/>
      <c r="H537" s="118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</row>
    <row r="538" ht="22.5" customHeight="1">
      <c r="A538" s="93"/>
      <c r="B538" s="93"/>
      <c r="C538" s="93"/>
      <c r="D538" s="93"/>
      <c r="E538" s="93"/>
      <c r="F538" s="93"/>
      <c r="G538" s="93"/>
      <c r="H538" s="118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</row>
    <row r="539" ht="22.5" customHeight="1">
      <c r="A539" s="93"/>
      <c r="B539" s="93"/>
      <c r="C539" s="93"/>
      <c r="D539" s="93"/>
      <c r="E539" s="93"/>
      <c r="F539" s="93"/>
      <c r="G539" s="93"/>
      <c r="H539" s="118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</row>
    <row r="540" ht="22.5" customHeight="1">
      <c r="A540" s="93"/>
      <c r="B540" s="93"/>
      <c r="C540" s="93"/>
      <c r="D540" s="93"/>
      <c r="E540" s="93"/>
      <c r="F540" s="93"/>
      <c r="G540" s="93"/>
      <c r="H540" s="118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</row>
    <row r="541" ht="22.5" customHeight="1">
      <c r="A541" s="93"/>
      <c r="B541" s="93"/>
      <c r="C541" s="93"/>
      <c r="D541" s="93"/>
      <c r="E541" s="93"/>
      <c r="F541" s="93"/>
      <c r="G541" s="93"/>
      <c r="H541" s="118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</row>
    <row r="542" ht="22.5" customHeight="1">
      <c r="A542" s="93"/>
      <c r="B542" s="93"/>
      <c r="C542" s="93"/>
      <c r="D542" s="93"/>
      <c r="E542" s="93"/>
      <c r="F542" s="93"/>
      <c r="G542" s="93"/>
      <c r="H542" s="118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</row>
    <row r="543" ht="22.5" customHeight="1">
      <c r="A543" s="93"/>
      <c r="B543" s="93"/>
      <c r="C543" s="93"/>
      <c r="D543" s="93"/>
      <c r="E543" s="93"/>
      <c r="F543" s="93"/>
      <c r="G543" s="93"/>
      <c r="H543" s="118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</row>
    <row r="544" ht="22.5" customHeight="1">
      <c r="A544" s="93"/>
      <c r="B544" s="93"/>
      <c r="C544" s="93"/>
      <c r="D544" s="93"/>
      <c r="E544" s="93"/>
      <c r="F544" s="93"/>
      <c r="G544" s="93"/>
      <c r="H544" s="118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</row>
    <row r="545" ht="22.5" customHeight="1">
      <c r="A545" s="93"/>
      <c r="B545" s="93"/>
      <c r="C545" s="93"/>
      <c r="D545" s="93"/>
      <c r="E545" s="93"/>
      <c r="F545" s="93"/>
      <c r="G545" s="93"/>
      <c r="H545" s="118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</row>
    <row r="546" ht="22.5" customHeight="1">
      <c r="A546" s="93"/>
      <c r="B546" s="93"/>
      <c r="C546" s="93"/>
      <c r="D546" s="93"/>
      <c r="E546" s="93"/>
      <c r="F546" s="93"/>
      <c r="G546" s="93"/>
      <c r="H546" s="118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</row>
    <row r="547" ht="22.5" customHeight="1">
      <c r="A547" s="93"/>
      <c r="B547" s="93"/>
      <c r="C547" s="93"/>
      <c r="D547" s="93"/>
      <c r="E547" s="93"/>
      <c r="F547" s="93"/>
      <c r="G547" s="93"/>
      <c r="H547" s="118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</row>
    <row r="548" ht="22.5" customHeight="1">
      <c r="A548" s="93"/>
      <c r="B548" s="93"/>
      <c r="C548" s="93"/>
      <c r="D548" s="93"/>
      <c r="E548" s="93"/>
      <c r="F548" s="93"/>
      <c r="G548" s="93"/>
      <c r="H548" s="118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</row>
    <row r="549" ht="22.5" customHeight="1">
      <c r="A549" s="93"/>
      <c r="B549" s="93"/>
      <c r="C549" s="93"/>
      <c r="D549" s="93"/>
      <c r="E549" s="93"/>
      <c r="F549" s="93"/>
      <c r="G549" s="93"/>
      <c r="H549" s="118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</row>
    <row r="550" ht="22.5" customHeight="1">
      <c r="A550" s="93"/>
      <c r="B550" s="93"/>
      <c r="C550" s="93"/>
      <c r="D550" s="93"/>
      <c r="E550" s="93"/>
      <c r="F550" s="93"/>
      <c r="G550" s="93"/>
      <c r="H550" s="118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</row>
    <row r="551" ht="22.5" customHeight="1">
      <c r="A551" s="93"/>
      <c r="B551" s="93"/>
      <c r="C551" s="93"/>
      <c r="D551" s="93"/>
      <c r="E551" s="93"/>
      <c r="F551" s="93"/>
      <c r="G551" s="93"/>
      <c r="H551" s="118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</row>
    <row r="552" ht="22.5" customHeight="1">
      <c r="A552" s="93"/>
      <c r="B552" s="93"/>
      <c r="C552" s="93"/>
      <c r="D552" s="93"/>
      <c r="E552" s="93"/>
      <c r="F552" s="93"/>
      <c r="G552" s="93"/>
      <c r="H552" s="118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</row>
    <row r="553" ht="22.5" customHeight="1">
      <c r="A553" s="93"/>
      <c r="B553" s="93"/>
      <c r="C553" s="93"/>
      <c r="D553" s="93"/>
      <c r="E553" s="93"/>
      <c r="F553" s="93"/>
      <c r="G553" s="93"/>
      <c r="H553" s="118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</row>
    <row r="554" ht="22.5" customHeight="1">
      <c r="A554" s="93"/>
      <c r="B554" s="93"/>
      <c r="C554" s="93"/>
      <c r="D554" s="93"/>
      <c r="E554" s="93"/>
      <c r="F554" s="93"/>
      <c r="G554" s="93"/>
      <c r="H554" s="118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</row>
    <row r="555" ht="22.5" customHeight="1">
      <c r="A555" s="93"/>
      <c r="B555" s="93"/>
      <c r="C555" s="93"/>
      <c r="D555" s="93"/>
      <c r="E555" s="93"/>
      <c r="F555" s="93"/>
      <c r="G555" s="93"/>
      <c r="H555" s="118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</row>
    <row r="556" ht="22.5" customHeight="1">
      <c r="A556" s="93"/>
      <c r="B556" s="93"/>
      <c r="C556" s="93"/>
      <c r="D556" s="93"/>
      <c r="E556" s="93"/>
      <c r="F556" s="93"/>
      <c r="G556" s="93"/>
      <c r="H556" s="118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</row>
    <row r="557" ht="22.5" customHeight="1">
      <c r="A557" s="93"/>
      <c r="B557" s="93"/>
      <c r="C557" s="93"/>
      <c r="D557" s="93"/>
      <c r="E557" s="93"/>
      <c r="F557" s="93"/>
      <c r="G557" s="93"/>
      <c r="H557" s="118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</row>
    <row r="558" ht="22.5" customHeight="1">
      <c r="A558" s="93"/>
      <c r="B558" s="93"/>
      <c r="C558" s="93"/>
      <c r="D558" s="93"/>
      <c r="E558" s="93"/>
      <c r="F558" s="93"/>
      <c r="G558" s="93"/>
      <c r="H558" s="118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</row>
    <row r="559" ht="22.5" customHeight="1">
      <c r="A559" s="93"/>
      <c r="B559" s="93"/>
      <c r="C559" s="93"/>
      <c r="D559" s="93"/>
      <c r="E559" s="93"/>
      <c r="F559" s="93"/>
      <c r="G559" s="93"/>
      <c r="H559" s="118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</row>
    <row r="560" ht="22.5" customHeight="1">
      <c r="A560" s="93"/>
      <c r="B560" s="93"/>
      <c r="C560" s="93"/>
      <c r="D560" s="93"/>
      <c r="E560" s="93"/>
      <c r="F560" s="93"/>
      <c r="G560" s="93"/>
      <c r="H560" s="118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</row>
    <row r="561" ht="22.5" customHeight="1">
      <c r="A561" s="93"/>
      <c r="B561" s="93"/>
      <c r="C561" s="93"/>
      <c r="D561" s="93"/>
      <c r="E561" s="93"/>
      <c r="F561" s="93"/>
      <c r="G561" s="93"/>
      <c r="H561" s="118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</row>
    <row r="562" ht="22.5" customHeight="1">
      <c r="A562" s="93"/>
      <c r="B562" s="93"/>
      <c r="C562" s="93"/>
      <c r="D562" s="93"/>
      <c r="E562" s="93"/>
      <c r="F562" s="93"/>
      <c r="G562" s="93"/>
      <c r="H562" s="118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</row>
    <row r="563" ht="22.5" customHeight="1">
      <c r="A563" s="93"/>
      <c r="B563" s="93"/>
      <c r="C563" s="93"/>
      <c r="D563" s="93"/>
      <c r="E563" s="93"/>
      <c r="F563" s="93"/>
      <c r="G563" s="93"/>
      <c r="H563" s="118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</row>
    <row r="564" ht="22.5" customHeight="1">
      <c r="A564" s="93"/>
      <c r="B564" s="93"/>
      <c r="C564" s="93"/>
      <c r="D564" s="93"/>
      <c r="E564" s="93"/>
      <c r="F564" s="93"/>
      <c r="G564" s="93"/>
      <c r="H564" s="118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</row>
    <row r="565" ht="22.5" customHeight="1">
      <c r="A565" s="93"/>
      <c r="B565" s="93"/>
      <c r="C565" s="93"/>
      <c r="D565" s="93"/>
      <c r="E565" s="93"/>
      <c r="F565" s="93"/>
      <c r="G565" s="93"/>
      <c r="H565" s="118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</row>
    <row r="566" ht="22.5" customHeight="1">
      <c r="A566" s="93"/>
      <c r="B566" s="93"/>
      <c r="C566" s="93"/>
      <c r="D566" s="93"/>
      <c r="E566" s="93"/>
      <c r="F566" s="93"/>
      <c r="G566" s="93"/>
      <c r="H566" s="118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</row>
    <row r="567" ht="22.5" customHeight="1">
      <c r="A567" s="93"/>
      <c r="B567" s="93"/>
      <c r="C567" s="93"/>
      <c r="D567" s="93"/>
      <c r="E567" s="93"/>
      <c r="F567" s="93"/>
      <c r="G567" s="93"/>
      <c r="H567" s="118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</row>
    <row r="568" ht="22.5" customHeight="1">
      <c r="A568" s="93"/>
      <c r="B568" s="93"/>
      <c r="C568" s="93"/>
      <c r="D568" s="93"/>
      <c r="E568" s="93"/>
      <c r="F568" s="93"/>
      <c r="G568" s="93"/>
      <c r="H568" s="118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</row>
    <row r="569" ht="22.5" customHeight="1">
      <c r="A569" s="93"/>
      <c r="B569" s="93"/>
      <c r="C569" s="93"/>
      <c r="D569" s="93"/>
      <c r="E569" s="93"/>
      <c r="F569" s="93"/>
      <c r="G569" s="93"/>
      <c r="H569" s="118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</row>
    <row r="570" ht="22.5" customHeight="1">
      <c r="A570" s="93"/>
      <c r="B570" s="93"/>
      <c r="C570" s="93"/>
      <c r="D570" s="93"/>
      <c r="E570" s="93"/>
      <c r="F570" s="93"/>
      <c r="G570" s="93"/>
      <c r="H570" s="118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</row>
    <row r="571" ht="22.5" customHeight="1">
      <c r="A571" s="93"/>
      <c r="B571" s="93"/>
      <c r="C571" s="93"/>
      <c r="D571" s="93"/>
      <c r="E571" s="93"/>
      <c r="F571" s="93"/>
      <c r="G571" s="93"/>
      <c r="H571" s="118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</row>
    <row r="572" ht="22.5" customHeight="1">
      <c r="A572" s="93"/>
      <c r="B572" s="93"/>
      <c r="C572" s="93"/>
      <c r="D572" s="93"/>
      <c r="E572" s="93"/>
      <c r="F572" s="93"/>
      <c r="G572" s="93"/>
      <c r="H572" s="118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</row>
    <row r="573" ht="22.5" customHeight="1">
      <c r="A573" s="93"/>
      <c r="B573" s="93"/>
      <c r="C573" s="93"/>
      <c r="D573" s="93"/>
      <c r="E573" s="93"/>
      <c r="F573" s="93"/>
      <c r="G573" s="93"/>
      <c r="H573" s="118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</row>
    <row r="574" ht="22.5" customHeight="1">
      <c r="A574" s="93"/>
      <c r="B574" s="93"/>
      <c r="C574" s="93"/>
      <c r="D574" s="93"/>
      <c r="E574" s="93"/>
      <c r="F574" s="93"/>
      <c r="G574" s="93"/>
      <c r="H574" s="118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</row>
    <row r="575" ht="22.5" customHeight="1">
      <c r="A575" s="93"/>
      <c r="B575" s="93"/>
      <c r="C575" s="93"/>
      <c r="D575" s="93"/>
      <c r="E575" s="93"/>
      <c r="F575" s="93"/>
      <c r="G575" s="93"/>
      <c r="H575" s="118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</row>
    <row r="576" ht="22.5" customHeight="1">
      <c r="A576" s="93"/>
      <c r="B576" s="93"/>
      <c r="C576" s="93"/>
      <c r="D576" s="93"/>
      <c r="E576" s="93"/>
      <c r="F576" s="93"/>
      <c r="G576" s="93"/>
      <c r="H576" s="118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</row>
    <row r="577" ht="22.5" customHeight="1">
      <c r="A577" s="93"/>
      <c r="B577" s="93"/>
      <c r="C577" s="93"/>
      <c r="D577" s="93"/>
      <c r="E577" s="93"/>
      <c r="F577" s="93"/>
      <c r="G577" s="93"/>
      <c r="H577" s="118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</row>
    <row r="578" ht="22.5" customHeight="1">
      <c r="A578" s="93"/>
      <c r="B578" s="93"/>
      <c r="C578" s="93"/>
      <c r="D578" s="93"/>
      <c r="E578" s="93"/>
      <c r="F578" s="93"/>
      <c r="G578" s="93"/>
      <c r="H578" s="118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</row>
    <row r="579" ht="22.5" customHeight="1">
      <c r="A579" s="93"/>
      <c r="B579" s="93"/>
      <c r="C579" s="93"/>
      <c r="D579" s="93"/>
      <c r="E579" s="93"/>
      <c r="F579" s="93"/>
      <c r="G579" s="93"/>
      <c r="H579" s="118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</row>
    <row r="580" ht="22.5" customHeight="1">
      <c r="A580" s="93"/>
      <c r="B580" s="93"/>
      <c r="C580" s="93"/>
      <c r="D580" s="93"/>
      <c r="E580" s="93"/>
      <c r="F580" s="93"/>
      <c r="G580" s="93"/>
      <c r="H580" s="118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</row>
    <row r="581" ht="22.5" customHeight="1">
      <c r="A581" s="93"/>
      <c r="B581" s="93"/>
      <c r="C581" s="93"/>
      <c r="D581" s="93"/>
      <c r="E581" s="93"/>
      <c r="F581" s="93"/>
      <c r="G581" s="93"/>
      <c r="H581" s="118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</row>
    <row r="582" ht="22.5" customHeight="1">
      <c r="A582" s="93"/>
      <c r="B582" s="93"/>
      <c r="C582" s="93"/>
      <c r="D582" s="93"/>
      <c r="E582" s="93"/>
      <c r="F582" s="93"/>
      <c r="G582" s="93"/>
      <c r="H582" s="118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</row>
    <row r="583" ht="22.5" customHeight="1">
      <c r="A583" s="93"/>
      <c r="B583" s="93"/>
      <c r="C583" s="93"/>
      <c r="D583" s="93"/>
      <c r="E583" s="93"/>
      <c r="F583" s="93"/>
      <c r="G583" s="93"/>
      <c r="H583" s="118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</row>
    <row r="584" ht="22.5" customHeight="1">
      <c r="A584" s="93"/>
      <c r="B584" s="93"/>
      <c r="C584" s="93"/>
      <c r="D584" s="93"/>
      <c r="E584" s="93"/>
      <c r="F584" s="93"/>
      <c r="G584" s="93"/>
      <c r="H584" s="118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</row>
    <row r="585" ht="22.5" customHeight="1">
      <c r="A585" s="93"/>
      <c r="B585" s="93"/>
      <c r="C585" s="93"/>
      <c r="D585" s="93"/>
      <c r="E585" s="93"/>
      <c r="F585" s="93"/>
      <c r="G585" s="93"/>
      <c r="H585" s="118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</row>
    <row r="586" ht="22.5" customHeight="1">
      <c r="A586" s="93"/>
      <c r="B586" s="93"/>
      <c r="C586" s="93"/>
      <c r="D586" s="93"/>
      <c r="E586" s="93"/>
      <c r="F586" s="93"/>
      <c r="G586" s="93"/>
      <c r="H586" s="118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</row>
    <row r="587" ht="22.5" customHeight="1">
      <c r="A587" s="93"/>
      <c r="B587" s="93"/>
      <c r="C587" s="93"/>
      <c r="D587" s="93"/>
      <c r="E587" s="93"/>
      <c r="F587" s="93"/>
      <c r="G587" s="93"/>
      <c r="H587" s="118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</row>
    <row r="588" ht="22.5" customHeight="1">
      <c r="A588" s="93"/>
      <c r="B588" s="93"/>
      <c r="C588" s="93"/>
      <c r="D588" s="93"/>
      <c r="E588" s="93"/>
      <c r="F588" s="93"/>
      <c r="G588" s="93"/>
      <c r="H588" s="118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</row>
    <row r="589" ht="22.5" customHeight="1">
      <c r="A589" s="93"/>
      <c r="B589" s="93"/>
      <c r="C589" s="93"/>
      <c r="D589" s="93"/>
      <c r="E589" s="93"/>
      <c r="F589" s="93"/>
      <c r="G589" s="93"/>
      <c r="H589" s="118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</row>
    <row r="590" ht="22.5" customHeight="1">
      <c r="A590" s="93"/>
      <c r="B590" s="93"/>
      <c r="C590" s="93"/>
      <c r="D590" s="93"/>
      <c r="E590" s="93"/>
      <c r="F590" s="93"/>
      <c r="G590" s="93"/>
      <c r="H590" s="118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</row>
    <row r="591" ht="22.5" customHeight="1">
      <c r="A591" s="93"/>
      <c r="B591" s="93"/>
      <c r="C591" s="93"/>
      <c r="D591" s="93"/>
      <c r="E591" s="93"/>
      <c r="F591" s="93"/>
      <c r="G591" s="93"/>
      <c r="H591" s="118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</row>
    <row r="592" ht="22.5" customHeight="1">
      <c r="A592" s="93"/>
      <c r="B592" s="93"/>
      <c r="C592" s="93"/>
      <c r="D592" s="93"/>
      <c r="E592" s="93"/>
      <c r="F592" s="93"/>
      <c r="G592" s="93"/>
      <c r="H592" s="118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</row>
    <row r="593" ht="22.5" customHeight="1">
      <c r="A593" s="93"/>
      <c r="B593" s="93"/>
      <c r="C593" s="93"/>
      <c r="D593" s="93"/>
      <c r="E593" s="93"/>
      <c r="F593" s="93"/>
      <c r="G593" s="93"/>
      <c r="H593" s="118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</row>
    <row r="594" ht="22.5" customHeight="1">
      <c r="A594" s="93"/>
      <c r="B594" s="93"/>
      <c r="C594" s="93"/>
      <c r="D594" s="93"/>
      <c r="E594" s="93"/>
      <c r="F594" s="93"/>
      <c r="G594" s="93"/>
      <c r="H594" s="118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</row>
    <row r="595" ht="22.5" customHeight="1">
      <c r="A595" s="93"/>
      <c r="B595" s="93"/>
      <c r="C595" s="93"/>
      <c r="D595" s="93"/>
      <c r="E595" s="93"/>
      <c r="F595" s="93"/>
      <c r="G595" s="93"/>
      <c r="H595" s="118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</row>
    <row r="596" ht="22.5" customHeight="1">
      <c r="A596" s="93"/>
      <c r="B596" s="93"/>
      <c r="C596" s="93"/>
      <c r="D596" s="93"/>
      <c r="E596" s="93"/>
      <c r="F596" s="93"/>
      <c r="G596" s="93"/>
      <c r="H596" s="118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</row>
    <row r="597" ht="22.5" customHeight="1">
      <c r="A597" s="93"/>
      <c r="B597" s="93"/>
      <c r="C597" s="93"/>
      <c r="D597" s="93"/>
      <c r="E597" s="93"/>
      <c r="F597" s="93"/>
      <c r="G597" s="93"/>
      <c r="H597" s="118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</row>
    <row r="598" ht="22.5" customHeight="1">
      <c r="A598" s="93"/>
      <c r="B598" s="93"/>
      <c r="C598" s="93"/>
      <c r="D598" s="93"/>
      <c r="E598" s="93"/>
      <c r="F598" s="93"/>
      <c r="G598" s="93"/>
      <c r="H598" s="118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</row>
    <row r="599" ht="22.5" customHeight="1">
      <c r="A599" s="93"/>
      <c r="B599" s="93"/>
      <c r="C599" s="93"/>
      <c r="D599" s="93"/>
      <c r="E599" s="93"/>
      <c r="F599" s="93"/>
      <c r="G599" s="93"/>
      <c r="H599" s="118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</row>
    <row r="600" ht="22.5" customHeight="1">
      <c r="A600" s="93"/>
      <c r="B600" s="93"/>
      <c r="C600" s="93"/>
      <c r="D600" s="93"/>
      <c r="E600" s="93"/>
      <c r="F600" s="93"/>
      <c r="G600" s="93"/>
      <c r="H600" s="118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</row>
    <row r="601" ht="22.5" customHeight="1">
      <c r="A601" s="93"/>
      <c r="B601" s="93"/>
      <c r="C601" s="93"/>
      <c r="D601" s="93"/>
      <c r="E601" s="93"/>
      <c r="F601" s="93"/>
      <c r="G601" s="93"/>
      <c r="H601" s="118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</row>
    <row r="602" ht="22.5" customHeight="1">
      <c r="A602" s="93"/>
      <c r="B602" s="93"/>
      <c r="C602" s="93"/>
      <c r="D602" s="93"/>
      <c r="E602" s="93"/>
      <c r="F602" s="93"/>
      <c r="G602" s="93"/>
      <c r="H602" s="118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</row>
    <row r="603" ht="22.5" customHeight="1">
      <c r="A603" s="93"/>
      <c r="B603" s="93"/>
      <c r="C603" s="93"/>
      <c r="D603" s="93"/>
      <c r="E603" s="93"/>
      <c r="F603" s="93"/>
      <c r="G603" s="93"/>
      <c r="H603" s="118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</row>
    <row r="604" ht="22.5" customHeight="1">
      <c r="A604" s="93"/>
      <c r="B604" s="93"/>
      <c r="C604" s="93"/>
      <c r="D604" s="93"/>
      <c r="E604" s="93"/>
      <c r="F604" s="93"/>
      <c r="G604" s="93"/>
      <c r="H604" s="118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</row>
    <row r="605" ht="22.5" customHeight="1">
      <c r="A605" s="93"/>
      <c r="B605" s="93"/>
      <c r="C605" s="93"/>
      <c r="D605" s="93"/>
      <c r="E605" s="93"/>
      <c r="F605" s="93"/>
      <c r="G605" s="93"/>
      <c r="H605" s="118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</row>
    <row r="606" ht="22.5" customHeight="1">
      <c r="A606" s="93"/>
      <c r="B606" s="93"/>
      <c r="C606" s="93"/>
      <c r="D606" s="93"/>
      <c r="E606" s="93"/>
      <c r="F606" s="93"/>
      <c r="G606" s="93"/>
      <c r="H606" s="118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</row>
    <row r="607" ht="22.5" customHeight="1">
      <c r="A607" s="93"/>
      <c r="B607" s="93"/>
      <c r="C607" s="93"/>
      <c r="D607" s="93"/>
      <c r="E607" s="93"/>
      <c r="F607" s="93"/>
      <c r="G607" s="93"/>
      <c r="H607" s="118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</row>
    <row r="608" ht="22.5" customHeight="1">
      <c r="A608" s="93"/>
      <c r="B608" s="93"/>
      <c r="C608" s="93"/>
      <c r="D608" s="93"/>
      <c r="E608" s="93"/>
      <c r="F608" s="93"/>
      <c r="G608" s="93"/>
      <c r="H608" s="118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</row>
    <row r="609" ht="22.5" customHeight="1">
      <c r="A609" s="93"/>
      <c r="B609" s="93"/>
      <c r="C609" s="93"/>
      <c r="D609" s="93"/>
      <c r="E609" s="93"/>
      <c r="F609" s="93"/>
      <c r="G609" s="93"/>
      <c r="H609" s="118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</row>
    <row r="610" ht="22.5" customHeight="1">
      <c r="A610" s="93"/>
      <c r="B610" s="93"/>
      <c r="C610" s="93"/>
      <c r="D610" s="93"/>
      <c r="E610" s="93"/>
      <c r="F610" s="93"/>
      <c r="G610" s="93"/>
      <c r="H610" s="118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</row>
    <row r="611" ht="22.5" customHeight="1">
      <c r="A611" s="93"/>
      <c r="B611" s="93"/>
      <c r="C611" s="93"/>
      <c r="D611" s="93"/>
      <c r="E611" s="93"/>
      <c r="F611" s="93"/>
      <c r="G611" s="93"/>
      <c r="H611" s="118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</row>
    <row r="612" ht="22.5" customHeight="1">
      <c r="A612" s="93"/>
      <c r="B612" s="93"/>
      <c r="C612" s="93"/>
      <c r="D612" s="93"/>
      <c r="E612" s="93"/>
      <c r="F612" s="93"/>
      <c r="G612" s="93"/>
      <c r="H612" s="118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</row>
    <row r="613" ht="22.5" customHeight="1">
      <c r="A613" s="93"/>
      <c r="B613" s="93"/>
      <c r="C613" s="93"/>
      <c r="D613" s="93"/>
      <c r="E613" s="93"/>
      <c r="F613" s="93"/>
      <c r="G613" s="93"/>
      <c r="H613" s="118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</row>
    <row r="614" ht="22.5" customHeight="1">
      <c r="A614" s="93"/>
      <c r="B614" s="93"/>
      <c r="C614" s="93"/>
      <c r="D614" s="93"/>
      <c r="E614" s="93"/>
      <c r="F614" s="93"/>
      <c r="G614" s="93"/>
      <c r="H614" s="118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</row>
    <row r="615" ht="22.5" customHeight="1">
      <c r="A615" s="93"/>
      <c r="B615" s="93"/>
      <c r="C615" s="93"/>
      <c r="D615" s="93"/>
      <c r="E615" s="93"/>
      <c r="F615" s="93"/>
      <c r="G615" s="93"/>
      <c r="H615" s="118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</row>
    <row r="616" ht="22.5" customHeight="1">
      <c r="A616" s="93"/>
      <c r="B616" s="93"/>
      <c r="C616" s="93"/>
      <c r="D616" s="93"/>
      <c r="E616" s="93"/>
      <c r="F616" s="93"/>
      <c r="G616" s="93"/>
      <c r="H616" s="118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</row>
    <row r="617" ht="22.5" customHeight="1">
      <c r="A617" s="93"/>
      <c r="B617" s="93"/>
      <c r="C617" s="93"/>
      <c r="D617" s="93"/>
      <c r="E617" s="93"/>
      <c r="F617" s="93"/>
      <c r="G617" s="93"/>
      <c r="H617" s="118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</row>
    <row r="618" ht="22.5" customHeight="1">
      <c r="A618" s="93"/>
      <c r="B618" s="93"/>
      <c r="C618" s="93"/>
      <c r="D618" s="93"/>
      <c r="E618" s="93"/>
      <c r="F618" s="93"/>
      <c r="G618" s="93"/>
      <c r="H618" s="118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</row>
    <row r="619" ht="22.5" customHeight="1">
      <c r="A619" s="93"/>
      <c r="B619" s="93"/>
      <c r="C619" s="93"/>
      <c r="D619" s="93"/>
      <c r="E619" s="93"/>
      <c r="F619" s="93"/>
      <c r="G619" s="93"/>
      <c r="H619" s="118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</row>
    <row r="620" ht="22.5" customHeight="1">
      <c r="A620" s="93"/>
      <c r="B620" s="93"/>
      <c r="C620" s="93"/>
      <c r="D620" s="93"/>
      <c r="E620" s="93"/>
      <c r="F620" s="93"/>
      <c r="G620" s="93"/>
      <c r="H620" s="118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</row>
    <row r="621" ht="22.5" customHeight="1">
      <c r="A621" s="93"/>
      <c r="B621" s="93"/>
      <c r="C621" s="93"/>
      <c r="D621" s="93"/>
      <c r="E621" s="93"/>
      <c r="F621" s="93"/>
      <c r="G621" s="93"/>
      <c r="H621" s="118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</row>
    <row r="622" ht="22.5" customHeight="1">
      <c r="A622" s="93"/>
      <c r="B622" s="93"/>
      <c r="C622" s="93"/>
      <c r="D622" s="93"/>
      <c r="E622" s="93"/>
      <c r="F622" s="93"/>
      <c r="G622" s="93"/>
      <c r="H622" s="118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</row>
    <row r="623" ht="22.5" customHeight="1">
      <c r="A623" s="93"/>
      <c r="B623" s="93"/>
      <c r="C623" s="93"/>
      <c r="D623" s="93"/>
      <c r="E623" s="93"/>
      <c r="F623" s="93"/>
      <c r="G623" s="93"/>
      <c r="H623" s="118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</row>
    <row r="624" ht="22.5" customHeight="1">
      <c r="A624" s="93"/>
      <c r="B624" s="93"/>
      <c r="C624" s="93"/>
      <c r="D624" s="93"/>
      <c r="E624" s="93"/>
      <c r="F624" s="93"/>
      <c r="G624" s="93"/>
      <c r="H624" s="118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</row>
    <row r="625" ht="22.5" customHeight="1">
      <c r="A625" s="93"/>
      <c r="B625" s="93"/>
      <c r="C625" s="93"/>
      <c r="D625" s="93"/>
      <c r="E625" s="93"/>
      <c r="F625" s="93"/>
      <c r="G625" s="93"/>
      <c r="H625" s="118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</row>
    <row r="626" ht="22.5" customHeight="1">
      <c r="A626" s="93"/>
      <c r="B626" s="93"/>
      <c r="C626" s="93"/>
      <c r="D626" s="93"/>
      <c r="E626" s="93"/>
      <c r="F626" s="93"/>
      <c r="G626" s="93"/>
      <c r="H626" s="118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</row>
    <row r="627" ht="22.5" customHeight="1">
      <c r="A627" s="93"/>
      <c r="B627" s="93"/>
      <c r="C627" s="93"/>
      <c r="D627" s="93"/>
      <c r="E627" s="93"/>
      <c r="F627" s="93"/>
      <c r="G627" s="93"/>
      <c r="H627" s="118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</row>
    <row r="628" ht="22.5" customHeight="1">
      <c r="A628" s="93"/>
      <c r="B628" s="93"/>
      <c r="C628" s="93"/>
      <c r="D628" s="93"/>
      <c r="E628" s="93"/>
      <c r="F628" s="93"/>
      <c r="G628" s="93"/>
      <c r="H628" s="118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</row>
    <row r="629" ht="22.5" customHeight="1">
      <c r="A629" s="93"/>
      <c r="B629" s="93"/>
      <c r="C629" s="93"/>
      <c r="D629" s="93"/>
      <c r="E629" s="93"/>
      <c r="F629" s="93"/>
      <c r="G629" s="93"/>
      <c r="H629" s="118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</row>
    <row r="630" ht="22.5" customHeight="1">
      <c r="A630" s="93"/>
      <c r="B630" s="93"/>
      <c r="C630" s="93"/>
      <c r="D630" s="93"/>
      <c r="E630" s="93"/>
      <c r="F630" s="93"/>
      <c r="G630" s="93"/>
      <c r="H630" s="118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</row>
    <row r="631" ht="22.5" customHeight="1">
      <c r="A631" s="93"/>
      <c r="B631" s="93"/>
      <c r="C631" s="93"/>
      <c r="D631" s="93"/>
      <c r="E631" s="93"/>
      <c r="F631" s="93"/>
      <c r="G631" s="93"/>
      <c r="H631" s="118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</row>
    <row r="632" ht="22.5" customHeight="1">
      <c r="A632" s="93"/>
      <c r="B632" s="93"/>
      <c r="C632" s="93"/>
      <c r="D632" s="93"/>
      <c r="E632" s="93"/>
      <c r="F632" s="93"/>
      <c r="G632" s="93"/>
      <c r="H632" s="118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</row>
    <row r="633" ht="22.5" customHeight="1">
      <c r="A633" s="93"/>
      <c r="B633" s="93"/>
      <c r="C633" s="93"/>
      <c r="D633" s="93"/>
      <c r="E633" s="93"/>
      <c r="F633" s="93"/>
      <c r="G633" s="93"/>
      <c r="H633" s="118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</row>
    <row r="634" ht="22.5" customHeight="1">
      <c r="A634" s="93"/>
      <c r="B634" s="93"/>
      <c r="C634" s="93"/>
      <c r="D634" s="93"/>
      <c r="E634" s="93"/>
      <c r="F634" s="93"/>
      <c r="G634" s="93"/>
      <c r="H634" s="118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</row>
    <row r="635" ht="22.5" customHeight="1">
      <c r="A635" s="93"/>
      <c r="B635" s="93"/>
      <c r="C635" s="93"/>
      <c r="D635" s="93"/>
      <c r="E635" s="93"/>
      <c r="F635" s="93"/>
      <c r="G635" s="93"/>
      <c r="H635" s="118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</row>
    <row r="636" ht="22.5" customHeight="1">
      <c r="A636" s="93"/>
      <c r="B636" s="93"/>
      <c r="C636" s="93"/>
      <c r="D636" s="93"/>
      <c r="E636" s="93"/>
      <c r="F636" s="93"/>
      <c r="G636" s="93"/>
      <c r="H636" s="118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</row>
    <row r="637" ht="22.5" customHeight="1">
      <c r="A637" s="93"/>
      <c r="B637" s="93"/>
      <c r="C637" s="93"/>
      <c r="D637" s="93"/>
      <c r="E637" s="93"/>
      <c r="F637" s="93"/>
      <c r="G637" s="93"/>
      <c r="H637" s="118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</row>
    <row r="638" ht="22.5" customHeight="1">
      <c r="A638" s="93"/>
      <c r="B638" s="93"/>
      <c r="C638" s="93"/>
      <c r="D638" s="93"/>
      <c r="E638" s="93"/>
      <c r="F638" s="93"/>
      <c r="G638" s="93"/>
      <c r="H638" s="118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</row>
    <row r="639" ht="22.5" customHeight="1">
      <c r="A639" s="93"/>
      <c r="B639" s="93"/>
      <c r="C639" s="93"/>
      <c r="D639" s="93"/>
      <c r="E639" s="93"/>
      <c r="F639" s="93"/>
      <c r="G639" s="93"/>
      <c r="H639" s="118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</row>
    <row r="640" ht="22.5" customHeight="1">
      <c r="A640" s="93"/>
      <c r="B640" s="93"/>
      <c r="C640" s="93"/>
      <c r="D640" s="93"/>
      <c r="E640" s="93"/>
      <c r="F640" s="93"/>
      <c r="G640" s="93"/>
      <c r="H640" s="118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</row>
    <row r="641" ht="22.5" customHeight="1">
      <c r="A641" s="93"/>
      <c r="B641" s="93"/>
      <c r="C641" s="93"/>
      <c r="D641" s="93"/>
      <c r="E641" s="93"/>
      <c r="F641" s="93"/>
      <c r="G641" s="93"/>
      <c r="H641" s="118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</row>
    <row r="642" ht="22.5" customHeight="1">
      <c r="A642" s="93"/>
      <c r="B642" s="93"/>
      <c r="C642" s="93"/>
      <c r="D642" s="93"/>
      <c r="E642" s="93"/>
      <c r="F642" s="93"/>
      <c r="G642" s="93"/>
      <c r="H642" s="118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</row>
    <row r="643" ht="22.5" customHeight="1">
      <c r="A643" s="93"/>
      <c r="B643" s="93"/>
      <c r="C643" s="93"/>
      <c r="D643" s="93"/>
      <c r="E643" s="93"/>
      <c r="F643" s="93"/>
      <c r="G643" s="93"/>
      <c r="H643" s="118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</row>
    <row r="644" ht="22.5" customHeight="1">
      <c r="A644" s="93"/>
      <c r="B644" s="93"/>
      <c r="C644" s="93"/>
      <c r="D644" s="93"/>
      <c r="E644" s="93"/>
      <c r="F644" s="93"/>
      <c r="G644" s="93"/>
      <c r="H644" s="118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</row>
    <row r="645" ht="22.5" customHeight="1">
      <c r="A645" s="93"/>
      <c r="B645" s="93"/>
      <c r="C645" s="93"/>
      <c r="D645" s="93"/>
      <c r="E645" s="93"/>
      <c r="F645" s="93"/>
      <c r="G645" s="93"/>
      <c r="H645" s="118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</row>
    <row r="646" ht="22.5" customHeight="1">
      <c r="A646" s="93"/>
      <c r="B646" s="93"/>
      <c r="C646" s="93"/>
      <c r="D646" s="93"/>
      <c r="E646" s="93"/>
      <c r="F646" s="93"/>
      <c r="G646" s="93"/>
      <c r="H646" s="118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</row>
    <row r="647" ht="22.5" customHeight="1">
      <c r="A647" s="93"/>
      <c r="B647" s="93"/>
      <c r="C647" s="93"/>
      <c r="D647" s="93"/>
      <c r="E647" s="93"/>
      <c r="F647" s="93"/>
      <c r="G647" s="93"/>
      <c r="H647" s="118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</row>
    <row r="648" ht="22.5" customHeight="1">
      <c r="A648" s="93"/>
      <c r="B648" s="93"/>
      <c r="C648" s="93"/>
      <c r="D648" s="93"/>
      <c r="E648" s="93"/>
      <c r="F648" s="93"/>
      <c r="G648" s="93"/>
      <c r="H648" s="118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</row>
    <row r="649" ht="22.5" customHeight="1">
      <c r="A649" s="93"/>
      <c r="B649" s="93"/>
      <c r="C649" s="93"/>
      <c r="D649" s="93"/>
      <c r="E649" s="93"/>
      <c r="F649" s="93"/>
      <c r="G649" s="93"/>
      <c r="H649" s="118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</row>
    <row r="650" ht="22.5" customHeight="1">
      <c r="A650" s="93"/>
      <c r="B650" s="93"/>
      <c r="C650" s="93"/>
      <c r="D650" s="93"/>
      <c r="E650" s="93"/>
      <c r="F650" s="93"/>
      <c r="G650" s="93"/>
      <c r="H650" s="118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</row>
    <row r="651" ht="22.5" customHeight="1">
      <c r="A651" s="93"/>
      <c r="B651" s="93"/>
      <c r="C651" s="93"/>
      <c r="D651" s="93"/>
      <c r="E651" s="93"/>
      <c r="F651" s="93"/>
      <c r="G651" s="93"/>
      <c r="H651" s="118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</row>
    <row r="652" ht="22.5" customHeight="1">
      <c r="A652" s="93"/>
      <c r="B652" s="93"/>
      <c r="C652" s="93"/>
      <c r="D652" s="93"/>
      <c r="E652" s="93"/>
      <c r="F652" s="93"/>
      <c r="G652" s="93"/>
      <c r="H652" s="118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</row>
    <row r="653" ht="22.5" customHeight="1">
      <c r="A653" s="93"/>
      <c r="B653" s="93"/>
      <c r="C653" s="93"/>
      <c r="D653" s="93"/>
      <c r="E653" s="93"/>
      <c r="F653" s="93"/>
      <c r="G653" s="93"/>
      <c r="H653" s="118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</row>
    <row r="654" ht="22.5" customHeight="1">
      <c r="A654" s="93"/>
      <c r="B654" s="93"/>
      <c r="C654" s="93"/>
      <c r="D654" s="93"/>
      <c r="E654" s="93"/>
      <c r="F654" s="93"/>
      <c r="G654" s="93"/>
      <c r="H654" s="118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</row>
    <row r="655" ht="22.5" customHeight="1">
      <c r="A655" s="93"/>
      <c r="B655" s="93"/>
      <c r="C655" s="93"/>
      <c r="D655" s="93"/>
      <c r="E655" s="93"/>
      <c r="F655" s="93"/>
      <c r="G655" s="93"/>
      <c r="H655" s="118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</row>
    <row r="656" ht="22.5" customHeight="1">
      <c r="A656" s="93"/>
      <c r="B656" s="93"/>
      <c r="C656" s="93"/>
      <c r="D656" s="93"/>
      <c r="E656" s="93"/>
      <c r="F656" s="93"/>
      <c r="G656" s="93"/>
      <c r="H656" s="118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</row>
    <row r="657" ht="22.5" customHeight="1">
      <c r="A657" s="93"/>
      <c r="B657" s="93"/>
      <c r="C657" s="93"/>
      <c r="D657" s="93"/>
      <c r="E657" s="93"/>
      <c r="F657" s="93"/>
      <c r="G657" s="93"/>
      <c r="H657" s="118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</row>
    <row r="658" ht="22.5" customHeight="1">
      <c r="A658" s="93"/>
      <c r="B658" s="93"/>
      <c r="C658" s="93"/>
      <c r="D658" s="93"/>
      <c r="E658" s="93"/>
      <c r="F658" s="93"/>
      <c r="G658" s="93"/>
      <c r="H658" s="118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</row>
    <row r="659" ht="22.5" customHeight="1">
      <c r="A659" s="93"/>
      <c r="B659" s="93"/>
      <c r="C659" s="93"/>
      <c r="D659" s="93"/>
      <c r="E659" s="93"/>
      <c r="F659" s="93"/>
      <c r="G659" s="93"/>
      <c r="H659" s="118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</row>
    <row r="660" ht="22.5" customHeight="1">
      <c r="A660" s="93"/>
      <c r="B660" s="93"/>
      <c r="C660" s="93"/>
      <c r="D660" s="93"/>
      <c r="E660" s="93"/>
      <c r="F660" s="93"/>
      <c r="G660" s="93"/>
      <c r="H660" s="118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</row>
    <row r="661" ht="22.5" customHeight="1">
      <c r="A661" s="93"/>
      <c r="B661" s="93"/>
      <c r="C661" s="93"/>
      <c r="D661" s="93"/>
      <c r="E661" s="93"/>
      <c r="F661" s="93"/>
      <c r="G661" s="93"/>
      <c r="H661" s="118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</row>
    <row r="662" ht="22.5" customHeight="1">
      <c r="A662" s="93"/>
      <c r="B662" s="93"/>
      <c r="C662" s="93"/>
      <c r="D662" s="93"/>
      <c r="E662" s="93"/>
      <c r="F662" s="93"/>
      <c r="G662" s="93"/>
      <c r="H662" s="118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</row>
    <row r="663" ht="22.5" customHeight="1">
      <c r="A663" s="93"/>
      <c r="B663" s="93"/>
      <c r="C663" s="93"/>
      <c r="D663" s="93"/>
      <c r="E663" s="93"/>
      <c r="F663" s="93"/>
      <c r="G663" s="93"/>
      <c r="H663" s="118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</row>
    <row r="664" ht="22.5" customHeight="1">
      <c r="A664" s="93"/>
      <c r="B664" s="93"/>
      <c r="C664" s="93"/>
      <c r="D664" s="93"/>
      <c r="E664" s="93"/>
      <c r="F664" s="93"/>
      <c r="G664" s="93"/>
      <c r="H664" s="118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</row>
    <row r="665" ht="22.5" customHeight="1">
      <c r="A665" s="93"/>
      <c r="B665" s="93"/>
      <c r="C665" s="93"/>
      <c r="D665" s="93"/>
      <c r="E665" s="93"/>
      <c r="F665" s="93"/>
      <c r="G665" s="93"/>
      <c r="H665" s="118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</row>
    <row r="666" ht="22.5" customHeight="1">
      <c r="A666" s="93"/>
      <c r="B666" s="93"/>
      <c r="C666" s="93"/>
      <c r="D666" s="93"/>
      <c r="E666" s="93"/>
      <c r="F666" s="93"/>
      <c r="G666" s="93"/>
      <c r="H666" s="118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</row>
    <row r="667" ht="22.5" customHeight="1">
      <c r="A667" s="93"/>
      <c r="B667" s="93"/>
      <c r="C667" s="93"/>
      <c r="D667" s="93"/>
      <c r="E667" s="93"/>
      <c r="F667" s="93"/>
      <c r="G667" s="93"/>
      <c r="H667" s="118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</row>
    <row r="668" ht="22.5" customHeight="1">
      <c r="A668" s="93"/>
      <c r="B668" s="93"/>
      <c r="C668" s="93"/>
      <c r="D668" s="93"/>
      <c r="E668" s="93"/>
      <c r="F668" s="93"/>
      <c r="G668" s="93"/>
      <c r="H668" s="118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</row>
    <row r="669" ht="22.5" customHeight="1">
      <c r="A669" s="93"/>
      <c r="B669" s="93"/>
      <c r="C669" s="93"/>
      <c r="D669" s="93"/>
      <c r="E669" s="93"/>
      <c r="F669" s="93"/>
      <c r="G669" s="93"/>
      <c r="H669" s="118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</row>
    <row r="670" ht="22.5" customHeight="1">
      <c r="A670" s="93"/>
      <c r="B670" s="93"/>
      <c r="C670" s="93"/>
      <c r="D670" s="93"/>
      <c r="E670" s="93"/>
      <c r="F670" s="93"/>
      <c r="G670" s="93"/>
      <c r="H670" s="118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</row>
    <row r="671" ht="22.5" customHeight="1">
      <c r="A671" s="93"/>
      <c r="B671" s="93"/>
      <c r="C671" s="93"/>
      <c r="D671" s="93"/>
      <c r="E671" s="93"/>
      <c r="F671" s="93"/>
      <c r="G671" s="93"/>
      <c r="H671" s="118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</row>
    <row r="672" ht="22.5" customHeight="1">
      <c r="A672" s="93"/>
      <c r="B672" s="93"/>
      <c r="C672" s="93"/>
      <c r="D672" s="93"/>
      <c r="E672" s="93"/>
      <c r="F672" s="93"/>
      <c r="G672" s="93"/>
      <c r="H672" s="118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</row>
    <row r="673" ht="22.5" customHeight="1">
      <c r="A673" s="93"/>
      <c r="B673" s="93"/>
      <c r="C673" s="93"/>
      <c r="D673" s="93"/>
      <c r="E673" s="93"/>
      <c r="F673" s="93"/>
      <c r="G673" s="93"/>
      <c r="H673" s="118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</row>
    <row r="674" ht="22.5" customHeight="1">
      <c r="A674" s="93"/>
      <c r="B674" s="93"/>
      <c r="C674" s="93"/>
      <c r="D674" s="93"/>
      <c r="E674" s="93"/>
      <c r="F674" s="93"/>
      <c r="G674" s="93"/>
      <c r="H674" s="118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</row>
    <row r="675" ht="22.5" customHeight="1">
      <c r="A675" s="93"/>
      <c r="B675" s="93"/>
      <c r="C675" s="93"/>
      <c r="D675" s="93"/>
      <c r="E675" s="93"/>
      <c r="F675" s="93"/>
      <c r="G675" s="93"/>
      <c r="H675" s="118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</row>
    <row r="676" ht="22.5" customHeight="1">
      <c r="A676" s="93"/>
      <c r="B676" s="93"/>
      <c r="C676" s="93"/>
      <c r="D676" s="93"/>
      <c r="E676" s="93"/>
      <c r="F676" s="93"/>
      <c r="G676" s="93"/>
      <c r="H676" s="118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</row>
    <row r="677" ht="22.5" customHeight="1">
      <c r="A677" s="93"/>
      <c r="B677" s="93"/>
      <c r="C677" s="93"/>
      <c r="D677" s="93"/>
      <c r="E677" s="93"/>
      <c r="F677" s="93"/>
      <c r="G677" s="93"/>
      <c r="H677" s="118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</row>
    <row r="678" ht="22.5" customHeight="1">
      <c r="A678" s="93"/>
      <c r="B678" s="93"/>
      <c r="C678" s="93"/>
      <c r="D678" s="93"/>
      <c r="E678" s="93"/>
      <c r="F678" s="93"/>
      <c r="G678" s="93"/>
      <c r="H678" s="118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</row>
    <row r="679" ht="22.5" customHeight="1">
      <c r="A679" s="93"/>
      <c r="B679" s="93"/>
      <c r="C679" s="93"/>
      <c r="D679" s="93"/>
      <c r="E679" s="93"/>
      <c r="F679" s="93"/>
      <c r="G679" s="93"/>
      <c r="H679" s="118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</row>
    <row r="680" ht="22.5" customHeight="1">
      <c r="A680" s="93"/>
      <c r="B680" s="93"/>
      <c r="C680" s="93"/>
      <c r="D680" s="93"/>
      <c r="E680" s="93"/>
      <c r="F680" s="93"/>
      <c r="G680" s="93"/>
      <c r="H680" s="118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</row>
    <row r="681" ht="22.5" customHeight="1">
      <c r="A681" s="93"/>
      <c r="B681" s="93"/>
      <c r="C681" s="93"/>
      <c r="D681" s="93"/>
      <c r="E681" s="93"/>
      <c r="F681" s="93"/>
      <c r="G681" s="93"/>
      <c r="H681" s="118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</row>
    <row r="682" ht="22.5" customHeight="1">
      <c r="A682" s="93"/>
      <c r="B682" s="93"/>
      <c r="C682" s="93"/>
      <c r="D682" s="93"/>
      <c r="E682" s="93"/>
      <c r="F682" s="93"/>
      <c r="G682" s="93"/>
      <c r="H682" s="118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</row>
    <row r="683" ht="22.5" customHeight="1">
      <c r="A683" s="93"/>
      <c r="B683" s="93"/>
      <c r="C683" s="93"/>
      <c r="D683" s="93"/>
      <c r="E683" s="93"/>
      <c r="F683" s="93"/>
      <c r="G683" s="93"/>
      <c r="H683" s="118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</row>
    <row r="684" ht="22.5" customHeight="1">
      <c r="A684" s="93"/>
      <c r="B684" s="93"/>
      <c r="C684" s="93"/>
      <c r="D684" s="93"/>
      <c r="E684" s="93"/>
      <c r="F684" s="93"/>
      <c r="G684" s="93"/>
      <c r="H684" s="118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</row>
    <row r="685" ht="22.5" customHeight="1">
      <c r="A685" s="93"/>
      <c r="B685" s="93"/>
      <c r="C685" s="93"/>
      <c r="D685" s="93"/>
      <c r="E685" s="93"/>
      <c r="F685" s="93"/>
      <c r="G685" s="93"/>
      <c r="H685" s="118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</row>
    <row r="686" ht="22.5" customHeight="1">
      <c r="A686" s="93"/>
      <c r="B686" s="93"/>
      <c r="C686" s="93"/>
      <c r="D686" s="93"/>
      <c r="E686" s="93"/>
      <c r="F686" s="93"/>
      <c r="G686" s="93"/>
      <c r="H686" s="118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</row>
    <row r="687" ht="22.5" customHeight="1">
      <c r="A687" s="93"/>
      <c r="B687" s="93"/>
      <c r="C687" s="93"/>
      <c r="D687" s="93"/>
      <c r="E687" s="93"/>
      <c r="F687" s="93"/>
      <c r="G687" s="93"/>
      <c r="H687" s="118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</row>
    <row r="688" ht="22.5" customHeight="1">
      <c r="A688" s="93"/>
      <c r="B688" s="93"/>
      <c r="C688" s="93"/>
      <c r="D688" s="93"/>
      <c r="E688" s="93"/>
      <c r="F688" s="93"/>
      <c r="G688" s="93"/>
      <c r="H688" s="118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</row>
    <row r="689" ht="22.5" customHeight="1">
      <c r="A689" s="93"/>
      <c r="B689" s="93"/>
      <c r="C689" s="93"/>
      <c r="D689" s="93"/>
      <c r="E689" s="93"/>
      <c r="F689" s="93"/>
      <c r="G689" s="93"/>
      <c r="H689" s="118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</row>
    <row r="690" ht="22.5" customHeight="1">
      <c r="A690" s="93"/>
      <c r="B690" s="93"/>
      <c r="C690" s="93"/>
      <c r="D690" s="93"/>
      <c r="E690" s="93"/>
      <c r="F690" s="93"/>
      <c r="G690" s="93"/>
      <c r="H690" s="118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</row>
    <row r="691" ht="22.5" customHeight="1">
      <c r="A691" s="93"/>
      <c r="B691" s="93"/>
      <c r="C691" s="93"/>
      <c r="D691" s="93"/>
      <c r="E691" s="93"/>
      <c r="F691" s="93"/>
      <c r="G691" s="93"/>
      <c r="H691" s="118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</row>
    <row r="692" ht="22.5" customHeight="1">
      <c r="A692" s="93"/>
      <c r="B692" s="93"/>
      <c r="C692" s="93"/>
      <c r="D692" s="93"/>
      <c r="E692" s="93"/>
      <c r="F692" s="93"/>
      <c r="G692" s="93"/>
      <c r="H692" s="118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</row>
    <row r="693" ht="22.5" customHeight="1">
      <c r="A693" s="93"/>
      <c r="B693" s="93"/>
      <c r="C693" s="93"/>
      <c r="D693" s="93"/>
      <c r="E693" s="93"/>
      <c r="F693" s="93"/>
      <c r="G693" s="93"/>
      <c r="H693" s="118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</row>
    <row r="694" ht="22.5" customHeight="1">
      <c r="A694" s="93"/>
      <c r="B694" s="93"/>
      <c r="C694" s="93"/>
      <c r="D694" s="93"/>
      <c r="E694" s="93"/>
      <c r="F694" s="93"/>
      <c r="G694" s="93"/>
      <c r="H694" s="118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</row>
    <row r="695" ht="22.5" customHeight="1">
      <c r="A695" s="93"/>
      <c r="B695" s="93"/>
      <c r="C695" s="93"/>
      <c r="D695" s="93"/>
      <c r="E695" s="93"/>
      <c r="F695" s="93"/>
      <c r="G695" s="93"/>
      <c r="H695" s="118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</row>
    <row r="696" ht="22.5" customHeight="1">
      <c r="A696" s="93"/>
      <c r="B696" s="93"/>
      <c r="C696" s="93"/>
      <c r="D696" s="93"/>
      <c r="E696" s="93"/>
      <c r="F696" s="93"/>
      <c r="G696" s="93"/>
      <c r="H696" s="118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</row>
    <row r="697" ht="22.5" customHeight="1">
      <c r="A697" s="93"/>
      <c r="B697" s="93"/>
      <c r="C697" s="93"/>
      <c r="D697" s="93"/>
      <c r="E697" s="93"/>
      <c r="F697" s="93"/>
      <c r="G697" s="93"/>
      <c r="H697" s="118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</row>
    <row r="698" ht="22.5" customHeight="1">
      <c r="A698" s="93"/>
      <c r="B698" s="93"/>
      <c r="C698" s="93"/>
      <c r="D698" s="93"/>
      <c r="E698" s="93"/>
      <c r="F698" s="93"/>
      <c r="G698" s="93"/>
      <c r="H698" s="118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</row>
    <row r="699" ht="22.5" customHeight="1">
      <c r="A699" s="93"/>
      <c r="B699" s="93"/>
      <c r="C699" s="93"/>
      <c r="D699" s="93"/>
      <c r="E699" s="93"/>
      <c r="F699" s="93"/>
      <c r="G699" s="93"/>
      <c r="H699" s="118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</row>
    <row r="700" ht="22.5" customHeight="1">
      <c r="A700" s="93"/>
      <c r="B700" s="93"/>
      <c r="C700" s="93"/>
      <c r="D700" s="93"/>
      <c r="E700" s="93"/>
      <c r="F700" s="93"/>
      <c r="G700" s="93"/>
      <c r="H700" s="118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</row>
    <row r="701" ht="22.5" customHeight="1">
      <c r="A701" s="93"/>
      <c r="B701" s="93"/>
      <c r="C701" s="93"/>
      <c r="D701" s="93"/>
      <c r="E701" s="93"/>
      <c r="F701" s="93"/>
      <c r="G701" s="93"/>
      <c r="H701" s="118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</row>
    <row r="702" ht="22.5" customHeight="1">
      <c r="A702" s="93"/>
      <c r="B702" s="93"/>
      <c r="C702" s="93"/>
      <c r="D702" s="93"/>
      <c r="E702" s="93"/>
      <c r="F702" s="93"/>
      <c r="G702" s="93"/>
      <c r="H702" s="118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</row>
    <row r="703" ht="22.5" customHeight="1">
      <c r="A703" s="93"/>
      <c r="B703" s="93"/>
      <c r="C703" s="93"/>
      <c r="D703" s="93"/>
      <c r="E703" s="93"/>
      <c r="F703" s="93"/>
      <c r="G703" s="93"/>
      <c r="H703" s="118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</row>
    <row r="704" ht="22.5" customHeight="1">
      <c r="A704" s="93"/>
      <c r="B704" s="93"/>
      <c r="C704" s="93"/>
      <c r="D704" s="93"/>
      <c r="E704" s="93"/>
      <c r="F704" s="93"/>
      <c r="G704" s="93"/>
      <c r="H704" s="118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</row>
    <row r="705" ht="22.5" customHeight="1">
      <c r="A705" s="93"/>
      <c r="B705" s="93"/>
      <c r="C705" s="93"/>
      <c r="D705" s="93"/>
      <c r="E705" s="93"/>
      <c r="F705" s="93"/>
      <c r="G705" s="93"/>
      <c r="H705" s="118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</row>
    <row r="706" ht="22.5" customHeight="1">
      <c r="A706" s="93"/>
      <c r="B706" s="93"/>
      <c r="C706" s="93"/>
      <c r="D706" s="93"/>
      <c r="E706" s="93"/>
      <c r="F706" s="93"/>
      <c r="G706" s="93"/>
      <c r="H706" s="118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</row>
    <row r="707" ht="22.5" customHeight="1">
      <c r="A707" s="93"/>
      <c r="B707" s="93"/>
      <c r="C707" s="93"/>
      <c r="D707" s="93"/>
      <c r="E707" s="93"/>
      <c r="F707" s="93"/>
      <c r="G707" s="93"/>
      <c r="H707" s="118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</row>
    <row r="708" ht="22.5" customHeight="1">
      <c r="A708" s="93"/>
      <c r="B708" s="93"/>
      <c r="C708" s="93"/>
      <c r="D708" s="93"/>
      <c r="E708" s="93"/>
      <c r="F708" s="93"/>
      <c r="G708" s="93"/>
      <c r="H708" s="118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</row>
    <row r="709" ht="22.5" customHeight="1">
      <c r="A709" s="93"/>
      <c r="B709" s="93"/>
      <c r="C709" s="93"/>
      <c r="D709" s="93"/>
      <c r="E709" s="93"/>
      <c r="F709" s="93"/>
      <c r="G709" s="93"/>
      <c r="H709" s="118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</row>
    <row r="710" ht="22.5" customHeight="1">
      <c r="A710" s="93"/>
      <c r="B710" s="93"/>
      <c r="C710" s="93"/>
      <c r="D710" s="93"/>
      <c r="E710" s="93"/>
      <c r="F710" s="93"/>
      <c r="G710" s="93"/>
      <c r="H710" s="118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</row>
    <row r="711" ht="22.5" customHeight="1">
      <c r="A711" s="93"/>
      <c r="B711" s="93"/>
      <c r="C711" s="93"/>
      <c r="D711" s="93"/>
      <c r="E711" s="93"/>
      <c r="F711" s="93"/>
      <c r="G711" s="93"/>
      <c r="H711" s="118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</row>
    <row r="712" ht="22.5" customHeight="1">
      <c r="A712" s="93"/>
      <c r="B712" s="93"/>
      <c r="C712" s="93"/>
      <c r="D712" s="93"/>
      <c r="E712" s="93"/>
      <c r="F712" s="93"/>
      <c r="G712" s="93"/>
      <c r="H712" s="118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</row>
    <row r="713" ht="22.5" customHeight="1">
      <c r="A713" s="93"/>
      <c r="B713" s="93"/>
      <c r="C713" s="93"/>
      <c r="D713" s="93"/>
      <c r="E713" s="93"/>
      <c r="F713" s="93"/>
      <c r="G713" s="93"/>
      <c r="H713" s="118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</row>
    <row r="714" ht="22.5" customHeight="1">
      <c r="A714" s="93"/>
      <c r="B714" s="93"/>
      <c r="C714" s="93"/>
      <c r="D714" s="93"/>
      <c r="E714" s="93"/>
      <c r="F714" s="93"/>
      <c r="G714" s="93"/>
      <c r="H714" s="118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</row>
    <row r="715" ht="22.5" customHeight="1">
      <c r="A715" s="93"/>
      <c r="B715" s="93"/>
      <c r="C715" s="93"/>
      <c r="D715" s="93"/>
      <c r="E715" s="93"/>
      <c r="F715" s="93"/>
      <c r="G715" s="93"/>
      <c r="H715" s="118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</row>
    <row r="716" ht="22.5" customHeight="1">
      <c r="A716" s="93"/>
      <c r="B716" s="93"/>
      <c r="C716" s="93"/>
      <c r="D716" s="93"/>
      <c r="E716" s="93"/>
      <c r="F716" s="93"/>
      <c r="G716" s="93"/>
      <c r="H716" s="118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</row>
    <row r="717" ht="22.5" customHeight="1">
      <c r="A717" s="93"/>
      <c r="B717" s="93"/>
      <c r="C717" s="93"/>
      <c r="D717" s="93"/>
      <c r="E717" s="93"/>
      <c r="F717" s="93"/>
      <c r="G717" s="93"/>
      <c r="H717" s="118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</row>
    <row r="718" ht="22.5" customHeight="1">
      <c r="A718" s="93"/>
      <c r="B718" s="93"/>
      <c r="C718" s="93"/>
      <c r="D718" s="93"/>
      <c r="E718" s="93"/>
      <c r="F718" s="93"/>
      <c r="G718" s="93"/>
      <c r="H718" s="118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</row>
    <row r="719" ht="22.5" customHeight="1">
      <c r="A719" s="93"/>
      <c r="B719" s="93"/>
      <c r="C719" s="93"/>
      <c r="D719" s="93"/>
      <c r="E719" s="93"/>
      <c r="F719" s="93"/>
      <c r="G719" s="93"/>
      <c r="H719" s="118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</row>
    <row r="720" ht="22.5" customHeight="1">
      <c r="A720" s="93"/>
      <c r="B720" s="93"/>
      <c r="C720" s="93"/>
      <c r="D720" s="93"/>
      <c r="E720" s="93"/>
      <c r="F720" s="93"/>
      <c r="G720" s="93"/>
      <c r="H720" s="118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</row>
    <row r="721" ht="22.5" customHeight="1">
      <c r="A721" s="93"/>
      <c r="B721" s="93"/>
      <c r="C721" s="93"/>
      <c r="D721" s="93"/>
      <c r="E721" s="93"/>
      <c r="F721" s="93"/>
      <c r="G721" s="93"/>
      <c r="H721" s="118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</row>
    <row r="722" ht="22.5" customHeight="1">
      <c r="A722" s="93"/>
      <c r="B722" s="93"/>
      <c r="C722" s="93"/>
      <c r="D722" s="93"/>
      <c r="E722" s="93"/>
      <c r="F722" s="93"/>
      <c r="G722" s="93"/>
      <c r="H722" s="118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</row>
    <row r="723" ht="22.5" customHeight="1">
      <c r="A723" s="93"/>
      <c r="B723" s="93"/>
      <c r="C723" s="93"/>
      <c r="D723" s="93"/>
      <c r="E723" s="93"/>
      <c r="F723" s="93"/>
      <c r="G723" s="93"/>
      <c r="H723" s="118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</row>
    <row r="724" ht="22.5" customHeight="1">
      <c r="A724" s="93"/>
      <c r="B724" s="93"/>
      <c r="C724" s="93"/>
      <c r="D724" s="93"/>
      <c r="E724" s="93"/>
      <c r="F724" s="93"/>
      <c r="G724" s="93"/>
      <c r="H724" s="118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</row>
    <row r="725" ht="22.5" customHeight="1">
      <c r="A725" s="93"/>
      <c r="B725" s="93"/>
      <c r="C725" s="93"/>
      <c r="D725" s="93"/>
      <c r="E725" s="93"/>
      <c r="F725" s="93"/>
      <c r="G725" s="93"/>
      <c r="H725" s="118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</row>
    <row r="726" ht="22.5" customHeight="1">
      <c r="A726" s="93"/>
      <c r="B726" s="93"/>
      <c r="C726" s="93"/>
      <c r="D726" s="93"/>
      <c r="E726" s="93"/>
      <c r="F726" s="93"/>
      <c r="G726" s="93"/>
      <c r="H726" s="118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</row>
    <row r="727" ht="22.5" customHeight="1">
      <c r="A727" s="93"/>
      <c r="B727" s="93"/>
      <c r="C727" s="93"/>
      <c r="D727" s="93"/>
      <c r="E727" s="93"/>
      <c r="F727" s="93"/>
      <c r="G727" s="93"/>
      <c r="H727" s="118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</row>
    <row r="728" ht="22.5" customHeight="1">
      <c r="A728" s="93"/>
      <c r="B728" s="93"/>
      <c r="C728" s="93"/>
      <c r="D728" s="93"/>
      <c r="E728" s="93"/>
      <c r="F728" s="93"/>
      <c r="G728" s="93"/>
      <c r="H728" s="118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</row>
    <row r="729" ht="22.5" customHeight="1">
      <c r="A729" s="93"/>
      <c r="B729" s="93"/>
      <c r="C729" s="93"/>
      <c r="D729" s="93"/>
      <c r="E729" s="93"/>
      <c r="F729" s="93"/>
      <c r="G729" s="93"/>
      <c r="H729" s="118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</row>
    <row r="730" ht="22.5" customHeight="1">
      <c r="A730" s="93"/>
      <c r="B730" s="93"/>
      <c r="C730" s="93"/>
      <c r="D730" s="93"/>
      <c r="E730" s="93"/>
      <c r="F730" s="93"/>
      <c r="G730" s="93"/>
      <c r="H730" s="118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</row>
    <row r="731" ht="22.5" customHeight="1">
      <c r="A731" s="93"/>
      <c r="B731" s="93"/>
      <c r="C731" s="93"/>
      <c r="D731" s="93"/>
      <c r="E731" s="93"/>
      <c r="F731" s="93"/>
      <c r="G731" s="93"/>
      <c r="H731" s="118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</row>
    <row r="732" ht="22.5" customHeight="1">
      <c r="A732" s="93"/>
      <c r="B732" s="93"/>
      <c r="C732" s="93"/>
      <c r="D732" s="93"/>
      <c r="E732" s="93"/>
      <c r="F732" s="93"/>
      <c r="G732" s="93"/>
      <c r="H732" s="118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</row>
    <row r="733" ht="22.5" customHeight="1">
      <c r="A733" s="93"/>
      <c r="B733" s="93"/>
      <c r="C733" s="93"/>
      <c r="D733" s="93"/>
      <c r="E733" s="93"/>
      <c r="F733" s="93"/>
      <c r="G733" s="93"/>
      <c r="H733" s="118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</row>
    <row r="734" ht="22.5" customHeight="1">
      <c r="A734" s="93"/>
      <c r="B734" s="93"/>
      <c r="C734" s="93"/>
      <c r="D734" s="93"/>
      <c r="E734" s="93"/>
      <c r="F734" s="93"/>
      <c r="G734" s="93"/>
      <c r="H734" s="118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</row>
    <row r="735" ht="22.5" customHeight="1">
      <c r="A735" s="93"/>
      <c r="B735" s="93"/>
      <c r="C735" s="93"/>
      <c r="D735" s="93"/>
      <c r="E735" s="93"/>
      <c r="F735" s="93"/>
      <c r="G735" s="93"/>
      <c r="H735" s="118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</row>
    <row r="736" ht="22.5" customHeight="1">
      <c r="A736" s="93"/>
      <c r="B736" s="93"/>
      <c r="C736" s="93"/>
      <c r="D736" s="93"/>
      <c r="E736" s="93"/>
      <c r="F736" s="93"/>
      <c r="G736" s="93"/>
      <c r="H736" s="118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</row>
    <row r="737" ht="22.5" customHeight="1">
      <c r="A737" s="93"/>
      <c r="B737" s="93"/>
      <c r="C737" s="93"/>
      <c r="D737" s="93"/>
      <c r="E737" s="93"/>
      <c r="F737" s="93"/>
      <c r="G737" s="93"/>
      <c r="H737" s="118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</row>
    <row r="738" ht="22.5" customHeight="1">
      <c r="A738" s="93"/>
      <c r="B738" s="93"/>
      <c r="C738" s="93"/>
      <c r="D738" s="93"/>
      <c r="E738" s="93"/>
      <c r="F738" s="93"/>
      <c r="G738" s="93"/>
      <c r="H738" s="118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</row>
    <row r="739" ht="22.5" customHeight="1">
      <c r="A739" s="93"/>
      <c r="B739" s="93"/>
      <c r="C739" s="93"/>
      <c r="D739" s="93"/>
      <c r="E739" s="93"/>
      <c r="F739" s="93"/>
      <c r="G739" s="93"/>
      <c r="H739" s="118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</row>
    <row r="740" ht="22.5" customHeight="1">
      <c r="A740" s="93"/>
      <c r="B740" s="93"/>
      <c r="C740" s="93"/>
      <c r="D740" s="93"/>
      <c r="E740" s="93"/>
      <c r="F740" s="93"/>
      <c r="G740" s="93"/>
      <c r="H740" s="118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</row>
    <row r="741" ht="22.5" customHeight="1">
      <c r="A741" s="93"/>
      <c r="B741" s="93"/>
      <c r="C741" s="93"/>
      <c r="D741" s="93"/>
      <c r="E741" s="93"/>
      <c r="F741" s="93"/>
      <c r="G741" s="93"/>
      <c r="H741" s="118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</row>
    <row r="742" ht="22.5" customHeight="1">
      <c r="A742" s="93"/>
      <c r="B742" s="93"/>
      <c r="C742" s="93"/>
      <c r="D742" s="93"/>
      <c r="E742" s="93"/>
      <c r="F742" s="93"/>
      <c r="G742" s="93"/>
      <c r="H742" s="118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</row>
    <row r="743" ht="22.5" customHeight="1">
      <c r="A743" s="93"/>
      <c r="B743" s="93"/>
      <c r="C743" s="93"/>
      <c r="D743" s="93"/>
      <c r="E743" s="93"/>
      <c r="F743" s="93"/>
      <c r="G743" s="93"/>
      <c r="H743" s="118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</row>
    <row r="744" ht="22.5" customHeight="1">
      <c r="A744" s="93"/>
      <c r="B744" s="93"/>
      <c r="C744" s="93"/>
      <c r="D744" s="93"/>
      <c r="E744" s="93"/>
      <c r="F744" s="93"/>
      <c r="G744" s="93"/>
      <c r="H744" s="118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</row>
    <row r="745" ht="22.5" customHeight="1">
      <c r="A745" s="93"/>
      <c r="B745" s="93"/>
      <c r="C745" s="93"/>
      <c r="D745" s="93"/>
      <c r="E745" s="93"/>
      <c r="F745" s="93"/>
      <c r="G745" s="93"/>
      <c r="H745" s="118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</row>
    <row r="746" ht="22.5" customHeight="1">
      <c r="A746" s="93"/>
      <c r="B746" s="93"/>
      <c r="C746" s="93"/>
      <c r="D746" s="93"/>
      <c r="E746" s="93"/>
      <c r="F746" s="93"/>
      <c r="G746" s="93"/>
      <c r="H746" s="118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</row>
    <row r="747" ht="22.5" customHeight="1">
      <c r="A747" s="93"/>
      <c r="B747" s="93"/>
      <c r="C747" s="93"/>
      <c r="D747" s="93"/>
      <c r="E747" s="93"/>
      <c r="F747" s="93"/>
      <c r="G747" s="93"/>
      <c r="H747" s="118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</row>
    <row r="748" ht="22.5" customHeight="1">
      <c r="A748" s="93"/>
      <c r="B748" s="93"/>
      <c r="C748" s="93"/>
      <c r="D748" s="93"/>
      <c r="E748" s="93"/>
      <c r="F748" s="93"/>
      <c r="G748" s="93"/>
      <c r="H748" s="118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</row>
    <row r="749" ht="22.5" customHeight="1">
      <c r="A749" s="93"/>
      <c r="B749" s="93"/>
      <c r="C749" s="93"/>
      <c r="D749" s="93"/>
      <c r="E749" s="93"/>
      <c r="F749" s="93"/>
      <c r="G749" s="93"/>
      <c r="H749" s="118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</row>
    <row r="750" ht="22.5" customHeight="1">
      <c r="A750" s="93"/>
      <c r="B750" s="93"/>
      <c r="C750" s="93"/>
      <c r="D750" s="93"/>
      <c r="E750" s="93"/>
      <c r="F750" s="93"/>
      <c r="G750" s="93"/>
      <c r="H750" s="118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</row>
    <row r="751" ht="22.5" customHeight="1">
      <c r="A751" s="93"/>
      <c r="B751" s="93"/>
      <c r="C751" s="93"/>
      <c r="D751" s="93"/>
      <c r="E751" s="93"/>
      <c r="F751" s="93"/>
      <c r="G751" s="93"/>
      <c r="H751" s="118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</row>
    <row r="752" ht="22.5" customHeight="1">
      <c r="A752" s="93"/>
      <c r="B752" s="93"/>
      <c r="C752" s="93"/>
      <c r="D752" s="93"/>
      <c r="E752" s="93"/>
      <c r="F752" s="93"/>
      <c r="G752" s="93"/>
      <c r="H752" s="118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</row>
    <row r="753" ht="22.5" customHeight="1">
      <c r="A753" s="93"/>
      <c r="B753" s="93"/>
      <c r="C753" s="93"/>
      <c r="D753" s="93"/>
      <c r="E753" s="93"/>
      <c r="F753" s="93"/>
      <c r="G753" s="93"/>
      <c r="H753" s="118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</row>
    <row r="754" ht="22.5" customHeight="1">
      <c r="A754" s="93"/>
      <c r="B754" s="93"/>
      <c r="C754" s="93"/>
      <c r="D754" s="93"/>
      <c r="E754" s="93"/>
      <c r="F754" s="93"/>
      <c r="G754" s="93"/>
      <c r="H754" s="118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</row>
    <row r="755" ht="22.5" customHeight="1">
      <c r="A755" s="93"/>
      <c r="B755" s="93"/>
      <c r="C755" s="93"/>
      <c r="D755" s="93"/>
      <c r="E755" s="93"/>
      <c r="F755" s="93"/>
      <c r="G755" s="93"/>
      <c r="H755" s="118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</row>
    <row r="756" ht="22.5" customHeight="1">
      <c r="A756" s="93"/>
      <c r="B756" s="93"/>
      <c r="C756" s="93"/>
      <c r="D756" s="93"/>
      <c r="E756" s="93"/>
      <c r="F756" s="93"/>
      <c r="G756" s="93"/>
      <c r="H756" s="118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</row>
    <row r="757" ht="22.5" customHeight="1">
      <c r="A757" s="93"/>
      <c r="B757" s="93"/>
      <c r="C757" s="93"/>
      <c r="D757" s="93"/>
      <c r="E757" s="93"/>
      <c r="F757" s="93"/>
      <c r="G757" s="93"/>
      <c r="H757" s="118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</row>
    <row r="758" ht="22.5" customHeight="1">
      <c r="A758" s="93"/>
      <c r="B758" s="93"/>
      <c r="C758" s="93"/>
      <c r="D758" s="93"/>
      <c r="E758" s="93"/>
      <c r="F758" s="93"/>
      <c r="G758" s="93"/>
      <c r="H758" s="118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</row>
    <row r="759" ht="22.5" customHeight="1">
      <c r="A759" s="93"/>
      <c r="B759" s="93"/>
      <c r="C759" s="93"/>
      <c r="D759" s="93"/>
      <c r="E759" s="93"/>
      <c r="F759" s="93"/>
      <c r="G759" s="93"/>
      <c r="H759" s="118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</row>
    <row r="760" ht="22.5" customHeight="1">
      <c r="A760" s="93"/>
      <c r="B760" s="93"/>
      <c r="C760" s="93"/>
      <c r="D760" s="93"/>
      <c r="E760" s="93"/>
      <c r="F760" s="93"/>
      <c r="G760" s="93"/>
      <c r="H760" s="118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</row>
    <row r="761" ht="22.5" customHeight="1">
      <c r="A761" s="93"/>
      <c r="B761" s="93"/>
      <c r="C761" s="93"/>
      <c r="D761" s="93"/>
      <c r="E761" s="93"/>
      <c r="F761" s="93"/>
      <c r="G761" s="93"/>
      <c r="H761" s="118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</row>
    <row r="762" ht="22.5" customHeight="1">
      <c r="A762" s="93"/>
      <c r="B762" s="93"/>
      <c r="C762" s="93"/>
      <c r="D762" s="93"/>
      <c r="E762" s="93"/>
      <c r="F762" s="93"/>
      <c r="G762" s="93"/>
      <c r="H762" s="118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</row>
    <row r="763" ht="22.5" customHeight="1">
      <c r="A763" s="93"/>
      <c r="B763" s="93"/>
      <c r="C763" s="93"/>
      <c r="D763" s="93"/>
      <c r="E763" s="93"/>
      <c r="F763" s="93"/>
      <c r="G763" s="93"/>
      <c r="H763" s="118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</row>
    <row r="764" ht="22.5" customHeight="1">
      <c r="A764" s="93"/>
      <c r="B764" s="93"/>
      <c r="C764" s="93"/>
      <c r="D764" s="93"/>
      <c r="E764" s="93"/>
      <c r="F764" s="93"/>
      <c r="G764" s="93"/>
      <c r="H764" s="118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</row>
    <row r="765" ht="22.5" customHeight="1">
      <c r="A765" s="93"/>
      <c r="B765" s="93"/>
      <c r="C765" s="93"/>
      <c r="D765" s="93"/>
      <c r="E765" s="93"/>
      <c r="F765" s="93"/>
      <c r="G765" s="93"/>
      <c r="H765" s="118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</row>
    <row r="766" ht="22.5" customHeight="1">
      <c r="A766" s="93"/>
      <c r="B766" s="93"/>
      <c r="C766" s="93"/>
      <c r="D766" s="93"/>
      <c r="E766" s="93"/>
      <c r="F766" s="93"/>
      <c r="G766" s="93"/>
      <c r="H766" s="118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</row>
    <row r="767" ht="22.5" customHeight="1">
      <c r="A767" s="93"/>
      <c r="B767" s="93"/>
      <c r="C767" s="93"/>
      <c r="D767" s="93"/>
      <c r="E767" s="93"/>
      <c r="F767" s="93"/>
      <c r="G767" s="93"/>
      <c r="H767" s="118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</row>
    <row r="768" ht="22.5" customHeight="1">
      <c r="A768" s="93"/>
      <c r="B768" s="93"/>
      <c r="C768" s="93"/>
      <c r="D768" s="93"/>
      <c r="E768" s="93"/>
      <c r="F768" s="93"/>
      <c r="G768" s="93"/>
      <c r="H768" s="118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</row>
    <row r="769" ht="22.5" customHeight="1">
      <c r="A769" s="93"/>
      <c r="B769" s="93"/>
      <c r="C769" s="93"/>
      <c r="D769" s="93"/>
      <c r="E769" s="93"/>
      <c r="F769" s="93"/>
      <c r="G769" s="93"/>
      <c r="H769" s="118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</row>
    <row r="770" ht="22.5" customHeight="1">
      <c r="A770" s="93"/>
      <c r="B770" s="93"/>
      <c r="C770" s="93"/>
      <c r="D770" s="93"/>
      <c r="E770" s="93"/>
      <c r="F770" s="93"/>
      <c r="G770" s="93"/>
      <c r="H770" s="118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</row>
    <row r="771" ht="22.5" customHeight="1">
      <c r="A771" s="93"/>
      <c r="B771" s="93"/>
      <c r="C771" s="93"/>
      <c r="D771" s="93"/>
      <c r="E771" s="93"/>
      <c r="F771" s="93"/>
      <c r="G771" s="93"/>
      <c r="H771" s="118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</row>
    <row r="772" ht="22.5" customHeight="1">
      <c r="A772" s="93"/>
      <c r="B772" s="93"/>
      <c r="C772" s="93"/>
      <c r="D772" s="93"/>
      <c r="E772" s="93"/>
      <c r="F772" s="93"/>
      <c r="G772" s="93"/>
      <c r="H772" s="118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</row>
    <row r="773" ht="22.5" customHeight="1">
      <c r="A773" s="93"/>
      <c r="B773" s="93"/>
      <c r="C773" s="93"/>
      <c r="D773" s="93"/>
      <c r="E773" s="93"/>
      <c r="F773" s="93"/>
      <c r="G773" s="93"/>
      <c r="H773" s="118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</row>
    <row r="774" ht="22.5" customHeight="1">
      <c r="A774" s="93"/>
      <c r="B774" s="93"/>
      <c r="C774" s="93"/>
      <c r="D774" s="93"/>
      <c r="E774" s="93"/>
      <c r="F774" s="93"/>
      <c r="G774" s="93"/>
      <c r="H774" s="118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</row>
    <row r="775" ht="22.5" customHeight="1">
      <c r="A775" s="93"/>
      <c r="B775" s="93"/>
      <c r="C775" s="93"/>
      <c r="D775" s="93"/>
      <c r="E775" s="93"/>
      <c r="F775" s="93"/>
      <c r="G775" s="93"/>
      <c r="H775" s="118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</row>
    <row r="776" ht="22.5" customHeight="1">
      <c r="A776" s="93"/>
      <c r="B776" s="93"/>
      <c r="C776" s="93"/>
      <c r="D776" s="93"/>
      <c r="E776" s="93"/>
      <c r="F776" s="93"/>
      <c r="G776" s="93"/>
      <c r="H776" s="118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</row>
    <row r="777" ht="22.5" customHeight="1">
      <c r="A777" s="93"/>
      <c r="B777" s="93"/>
      <c r="C777" s="93"/>
      <c r="D777" s="93"/>
      <c r="E777" s="93"/>
      <c r="F777" s="93"/>
      <c r="G777" s="93"/>
      <c r="H777" s="118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</row>
    <row r="778" ht="22.5" customHeight="1">
      <c r="A778" s="93"/>
      <c r="B778" s="93"/>
      <c r="C778" s="93"/>
      <c r="D778" s="93"/>
      <c r="E778" s="93"/>
      <c r="F778" s="93"/>
      <c r="G778" s="93"/>
      <c r="H778" s="118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</row>
    <row r="779" ht="22.5" customHeight="1">
      <c r="A779" s="93"/>
      <c r="B779" s="93"/>
      <c r="C779" s="93"/>
      <c r="D779" s="93"/>
      <c r="E779" s="93"/>
      <c r="F779" s="93"/>
      <c r="G779" s="93"/>
      <c r="H779" s="118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</row>
    <row r="780" ht="22.5" customHeight="1">
      <c r="A780" s="93"/>
      <c r="B780" s="93"/>
      <c r="C780" s="93"/>
      <c r="D780" s="93"/>
      <c r="E780" s="93"/>
      <c r="F780" s="93"/>
      <c r="G780" s="93"/>
      <c r="H780" s="118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</row>
    <row r="781" ht="22.5" customHeight="1">
      <c r="A781" s="93"/>
      <c r="B781" s="93"/>
      <c r="C781" s="93"/>
      <c r="D781" s="93"/>
      <c r="E781" s="93"/>
      <c r="F781" s="93"/>
      <c r="G781" s="93"/>
      <c r="H781" s="118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</row>
    <row r="782" ht="22.5" customHeight="1">
      <c r="A782" s="93"/>
      <c r="B782" s="93"/>
      <c r="C782" s="93"/>
      <c r="D782" s="93"/>
      <c r="E782" s="93"/>
      <c r="F782" s="93"/>
      <c r="G782" s="93"/>
      <c r="H782" s="118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</row>
    <row r="783" ht="22.5" customHeight="1">
      <c r="A783" s="93"/>
      <c r="B783" s="93"/>
      <c r="C783" s="93"/>
      <c r="D783" s="93"/>
      <c r="E783" s="93"/>
      <c r="F783" s="93"/>
      <c r="G783" s="93"/>
      <c r="H783" s="118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</row>
    <row r="784" ht="22.5" customHeight="1">
      <c r="A784" s="93"/>
      <c r="B784" s="93"/>
      <c r="C784" s="93"/>
      <c r="D784" s="93"/>
      <c r="E784" s="93"/>
      <c r="F784" s="93"/>
      <c r="G784" s="93"/>
      <c r="H784" s="118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</row>
    <row r="785" ht="22.5" customHeight="1">
      <c r="A785" s="93"/>
      <c r="B785" s="93"/>
      <c r="C785" s="93"/>
      <c r="D785" s="93"/>
      <c r="E785" s="93"/>
      <c r="F785" s="93"/>
      <c r="G785" s="93"/>
      <c r="H785" s="118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</row>
    <row r="786" ht="22.5" customHeight="1">
      <c r="A786" s="93"/>
      <c r="B786" s="93"/>
      <c r="C786" s="93"/>
      <c r="D786" s="93"/>
      <c r="E786" s="93"/>
      <c r="F786" s="93"/>
      <c r="G786" s="93"/>
      <c r="H786" s="118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</row>
    <row r="787" ht="22.5" customHeight="1">
      <c r="A787" s="93"/>
      <c r="B787" s="93"/>
      <c r="C787" s="93"/>
      <c r="D787" s="93"/>
      <c r="E787" s="93"/>
      <c r="F787" s="93"/>
      <c r="G787" s="93"/>
      <c r="H787" s="118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</row>
    <row r="788" ht="22.5" customHeight="1">
      <c r="A788" s="93"/>
      <c r="B788" s="93"/>
      <c r="C788" s="93"/>
      <c r="D788" s="93"/>
      <c r="E788" s="93"/>
      <c r="F788" s="93"/>
      <c r="G788" s="93"/>
      <c r="H788" s="118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</row>
    <row r="789" ht="22.5" customHeight="1">
      <c r="A789" s="93"/>
      <c r="B789" s="93"/>
      <c r="C789" s="93"/>
      <c r="D789" s="93"/>
      <c r="E789" s="93"/>
      <c r="F789" s="93"/>
      <c r="G789" s="93"/>
      <c r="H789" s="118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</row>
    <row r="790" ht="22.5" customHeight="1">
      <c r="A790" s="93"/>
      <c r="B790" s="93"/>
      <c r="C790" s="93"/>
      <c r="D790" s="93"/>
      <c r="E790" s="93"/>
      <c r="F790" s="93"/>
      <c r="G790" s="93"/>
      <c r="H790" s="118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</row>
    <row r="791" ht="22.5" customHeight="1">
      <c r="A791" s="93"/>
      <c r="B791" s="93"/>
      <c r="C791" s="93"/>
      <c r="D791" s="93"/>
      <c r="E791" s="93"/>
      <c r="F791" s="93"/>
      <c r="G791" s="93"/>
      <c r="H791" s="118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</row>
    <row r="792" ht="22.5" customHeight="1">
      <c r="A792" s="93"/>
      <c r="B792" s="93"/>
      <c r="C792" s="93"/>
      <c r="D792" s="93"/>
      <c r="E792" s="93"/>
      <c r="F792" s="93"/>
      <c r="G792" s="93"/>
      <c r="H792" s="118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</row>
    <row r="793" ht="22.5" customHeight="1">
      <c r="A793" s="93"/>
      <c r="B793" s="93"/>
      <c r="C793" s="93"/>
      <c r="D793" s="93"/>
      <c r="E793" s="93"/>
      <c r="F793" s="93"/>
      <c r="G793" s="93"/>
      <c r="H793" s="118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</row>
    <row r="794" ht="22.5" customHeight="1">
      <c r="A794" s="93"/>
      <c r="B794" s="93"/>
      <c r="C794" s="93"/>
      <c r="D794" s="93"/>
      <c r="E794" s="93"/>
      <c r="F794" s="93"/>
      <c r="G794" s="93"/>
      <c r="H794" s="118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</row>
    <row r="795" ht="22.5" customHeight="1">
      <c r="A795" s="93"/>
      <c r="B795" s="93"/>
      <c r="C795" s="93"/>
      <c r="D795" s="93"/>
      <c r="E795" s="93"/>
      <c r="F795" s="93"/>
      <c r="G795" s="93"/>
      <c r="H795" s="118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</row>
    <row r="796" ht="22.5" customHeight="1">
      <c r="A796" s="93"/>
      <c r="B796" s="93"/>
      <c r="C796" s="93"/>
      <c r="D796" s="93"/>
      <c r="E796" s="93"/>
      <c r="F796" s="93"/>
      <c r="G796" s="93"/>
      <c r="H796" s="118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</row>
    <row r="797" ht="22.5" customHeight="1">
      <c r="A797" s="93"/>
      <c r="B797" s="93"/>
      <c r="C797" s="93"/>
      <c r="D797" s="93"/>
      <c r="E797" s="93"/>
      <c r="F797" s="93"/>
      <c r="G797" s="93"/>
      <c r="H797" s="118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</row>
    <row r="798" ht="22.5" customHeight="1">
      <c r="A798" s="93"/>
      <c r="B798" s="93"/>
      <c r="C798" s="93"/>
      <c r="D798" s="93"/>
      <c r="E798" s="93"/>
      <c r="F798" s="93"/>
      <c r="G798" s="93"/>
      <c r="H798" s="118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</row>
    <row r="799" ht="22.5" customHeight="1">
      <c r="A799" s="93"/>
      <c r="B799" s="93"/>
      <c r="C799" s="93"/>
      <c r="D799" s="93"/>
      <c r="E799" s="93"/>
      <c r="F799" s="93"/>
      <c r="G799" s="93"/>
      <c r="H799" s="118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</row>
    <row r="800" ht="22.5" customHeight="1">
      <c r="A800" s="93"/>
      <c r="B800" s="93"/>
      <c r="C800" s="93"/>
      <c r="D800" s="93"/>
      <c r="E800" s="93"/>
      <c r="F800" s="93"/>
      <c r="G800" s="93"/>
      <c r="H800" s="118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</row>
    <row r="801" ht="22.5" customHeight="1">
      <c r="A801" s="93"/>
      <c r="B801" s="93"/>
      <c r="C801" s="93"/>
      <c r="D801" s="93"/>
      <c r="E801" s="93"/>
      <c r="F801" s="93"/>
      <c r="G801" s="93"/>
      <c r="H801" s="118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</row>
    <row r="802" ht="22.5" customHeight="1">
      <c r="A802" s="93"/>
      <c r="B802" s="93"/>
      <c r="C802" s="93"/>
      <c r="D802" s="93"/>
      <c r="E802" s="93"/>
      <c r="F802" s="93"/>
      <c r="G802" s="93"/>
      <c r="H802" s="118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</row>
    <row r="803" ht="22.5" customHeight="1">
      <c r="A803" s="93"/>
      <c r="B803" s="93"/>
      <c r="C803" s="93"/>
      <c r="D803" s="93"/>
      <c r="E803" s="93"/>
      <c r="F803" s="93"/>
      <c r="G803" s="93"/>
      <c r="H803" s="118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</row>
    <row r="804" ht="22.5" customHeight="1">
      <c r="A804" s="93"/>
      <c r="B804" s="93"/>
      <c r="C804" s="93"/>
      <c r="D804" s="93"/>
      <c r="E804" s="93"/>
      <c r="F804" s="93"/>
      <c r="G804" s="93"/>
      <c r="H804" s="118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</row>
    <row r="805" ht="22.5" customHeight="1">
      <c r="A805" s="93"/>
      <c r="B805" s="93"/>
      <c r="C805" s="93"/>
      <c r="D805" s="93"/>
      <c r="E805" s="93"/>
      <c r="F805" s="93"/>
      <c r="G805" s="93"/>
      <c r="H805" s="118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</row>
    <row r="806" ht="22.5" customHeight="1">
      <c r="A806" s="93"/>
      <c r="B806" s="93"/>
      <c r="C806" s="93"/>
      <c r="D806" s="93"/>
      <c r="E806" s="93"/>
      <c r="F806" s="93"/>
      <c r="G806" s="93"/>
      <c r="H806" s="118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</row>
    <row r="807" ht="22.5" customHeight="1">
      <c r="A807" s="93"/>
      <c r="B807" s="93"/>
      <c r="C807" s="93"/>
      <c r="D807" s="93"/>
      <c r="E807" s="93"/>
      <c r="F807" s="93"/>
      <c r="G807" s="93"/>
      <c r="H807" s="118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</row>
    <row r="808" ht="22.5" customHeight="1">
      <c r="A808" s="93"/>
      <c r="B808" s="93"/>
      <c r="C808" s="93"/>
      <c r="D808" s="93"/>
      <c r="E808" s="93"/>
      <c r="F808" s="93"/>
      <c r="G808" s="93"/>
      <c r="H808" s="118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</row>
    <row r="809" ht="22.5" customHeight="1">
      <c r="A809" s="93"/>
      <c r="B809" s="93"/>
      <c r="C809" s="93"/>
      <c r="D809" s="93"/>
      <c r="E809" s="93"/>
      <c r="F809" s="93"/>
      <c r="G809" s="93"/>
      <c r="H809" s="118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</row>
    <row r="810" ht="22.5" customHeight="1">
      <c r="A810" s="93"/>
      <c r="B810" s="93"/>
      <c r="C810" s="93"/>
      <c r="D810" s="93"/>
      <c r="E810" s="93"/>
      <c r="F810" s="93"/>
      <c r="G810" s="93"/>
      <c r="H810" s="118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</row>
    <row r="811" ht="22.5" customHeight="1">
      <c r="A811" s="93"/>
      <c r="B811" s="93"/>
      <c r="C811" s="93"/>
      <c r="D811" s="93"/>
      <c r="E811" s="93"/>
      <c r="F811" s="93"/>
      <c r="G811" s="93"/>
      <c r="H811" s="118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</row>
    <row r="812" ht="22.5" customHeight="1">
      <c r="A812" s="93"/>
      <c r="B812" s="93"/>
      <c r="C812" s="93"/>
      <c r="D812" s="93"/>
      <c r="E812" s="93"/>
      <c r="F812" s="93"/>
      <c r="G812" s="93"/>
      <c r="H812" s="118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</row>
    <row r="813" ht="22.5" customHeight="1">
      <c r="A813" s="93"/>
      <c r="B813" s="93"/>
      <c r="C813" s="93"/>
      <c r="D813" s="93"/>
      <c r="E813" s="93"/>
      <c r="F813" s="93"/>
      <c r="G813" s="93"/>
      <c r="H813" s="118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</row>
    <row r="814" ht="22.5" customHeight="1">
      <c r="A814" s="93"/>
      <c r="B814" s="93"/>
      <c r="C814" s="93"/>
      <c r="D814" s="93"/>
      <c r="E814" s="93"/>
      <c r="F814" s="93"/>
      <c r="G814" s="93"/>
      <c r="H814" s="118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</row>
    <row r="815" ht="22.5" customHeight="1">
      <c r="A815" s="93"/>
      <c r="B815" s="93"/>
      <c r="C815" s="93"/>
      <c r="D815" s="93"/>
      <c r="E815" s="93"/>
      <c r="F815" s="93"/>
      <c r="G815" s="93"/>
      <c r="H815" s="118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</row>
    <row r="816" ht="22.5" customHeight="1">
      <c r="A816" s="93"/>
      <c r="B816" s="93"/>
      <c r="C816" s="93"/>
      <c r="D816" s="93"/>
      <c r="E816" s="93"/>
      <c r="F816" s="93"/>
      <c r="G816" s="93"/>
      <c r="H816" s="118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</row>
    <row r="817" ht="22.5" customHeight="1">
      <c r="A817" s="93"/>
      <c r="B817" s="93"/>
      <c r="C817" s="93"/>
      <c r="D817" s="93"/>
      <c r="E817" s="93"/>
      <c r="F817" s="93"/>
      <c r="G817" s="93"/>
      <c r="H817" s="118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</row>
    <row r="818" ht="22.5" customHeight="1">
      <c r="A818" s="93"/>
      <c r="B818" s="93"/>
      <c r="C818" s="93"/>
      <c r="D818" s="93"/>
      <c r="E818" s="93"/>
      <c r="F818" s="93"/>
      <c r="G818" s="93"/>
      <c r="H818" s="118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</row>
    <row r="819" ht="22.5" customHeight="1">
      <c r="A819" s="93"/>
      <c r="B819" s="93"/>
      <c r="C819" s="93"/>
      <c r="D819" s="93"/>
      <c r="E819" s="93"/>
      <c r="F819" s="93"/>
      <c r="G819" s="93"/>
      <c r="H819" s="118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</row>
    <row r="820" ht="22.5" customHeight="1">
      <c r="A820" s="93"/>
      <c r="B820" s="93"/>
      <c r="C820" s="93"/>
      <c r="D820" s="93"/>
      <c r="E820" s="93"/>
      <c r="F820" s="93"/>
      <c r="G820" s="93"/>
      <c r="H820" s="118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</row>
    <row r="821" ht="22.5" customHeight="1">
      <c r="A821" s="93"/>
      <c r="B821" s="93"/>
      <c r="C821" s="93"/>
      <c r="D821" s="93"/>
      <c r="E821" s="93"/>
      <c r="F821" s="93"/>
      <c r="G821" s="93"/>
      <c r="H821" s="118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</row>
    <row r="822" ht="22.5" customHeight="1">
      <c r="A822" s="93"/>
      <c r="B822" s="93"/>
      <c r="C822" s="93"/>
      <c r="D822" s="93"/>
      <c r="E822" s="93"/>
      <c r="F822" s="93"/>
      <c r="G822" s="93"/>
      <c r="H822" s="118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</row>
    <row r="823" ht="22.5" customHeight="1">
      <c r="A823" s="93"/>
      <c r="B823" s="93"/>
      <c r="C823" s="93"/>
      <c r="D823" s="93"/>
      <c r="E823" s="93"/>
      <c r="F823" s="93"/>
      <c r="G823" s="93"/>
      <c r="H823" s="118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</row>
    <row r="824" ht="22.5" customHeight="1">
      <c r="A824" s="93"/>
      <c r="B824" s="93"/>
      <c r="C824" s="93"/>
      <c r="D824" s="93"/>
      <c r="E824" s="93"/>
      <c r="F824" s="93"/>
      <c r="G824" s="93"/>
      <c r="H824" s="118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</row>
    <row r="825" ht="22.5" customHeight="1">
      <c r="A825" s="93"/>
      <c r="B825" s="93"/>
      <c r="C825" s="93"/>
      <c r="D825" s="93"/>
      <c r="E825" s="93"/>
      <c r="F825" s="93"/>
      <c r="G825" s="93"/>
      <c r="H825" s="118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</row>
    <row r="826" ht="22.5" customHeight="1">
      <c r="A826" s="93"/>
      <c r="B826" s="93"/>
      <c r="C826" s="93"/>
      <c r="D826" s="93"/>
      <c r="E826" s="93"/>
      <c r="F826" s="93"/>
      <c r="G826" s="93"/>
      <c r="H826" s="118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</row>
    <row r="827" ht="22.5" customHeight="1">
      <c r="A827" s="93"/>
      <c r="B827" s="93"/>
      <c r="C827" s="93"/>
      <c r="D827" s="93"/>
      <c r="E827" s="93"/>
      <c r="F827" s="93"/>
      <c r="G827" s="93"/>
      <c r="H827" s="118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</row>
    <row r="828" ht="22.5" customHeight="1">
      <c r="A828" s="93"/>
      <c r="B828" s="93"/>
      <c r="C828" s="93"/>
      <c r="D828" s="93"/>
      <c r="E828" s="93"/>
      <c r="F828" s="93"/>
      <c r="G828" s="93"/>
      <c r="H828" s="118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</row>
    <row r="829" ht="22.5" customHeight="1">
      <c r="A829" s="93"/>
      <c r="B829" s="93"/>
      <c r="C829" s="93"/>
      <c r="D829" s="93"/>
      <c r="E829" s="93"/>
      <c r="F829" s="93"/>
      <c r="G829" s="93"/>
      <c r="H829" s="118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</row>
    <row r="830" ht="22.5" customHeight="1">
      <c r="A830" s="93"/>
      <c r="B830" s="93"/>
      <c r="C830" s="93"/>
      <c r="D830" s="93"/>
      <c r="E830" s="93"/>
      <c r="F830" s="93"/>
      <c r="G830" s="93"/>
      <c r="H830" s="118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</row>
    <row r="831" ht="22.5" customHeight="1">
      <c r="A831" s="93"/>
      <c r="B831" s="93"/>
      <c r="C831" s="93"/>
      <c r="D831" s="93"/>
      <c r="E831" s="93"/>
      <c r="F831" s="93"/>
      <c r="G831" s="93"/>
      <c r="H831" s="118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</row>
    <row r="832" ht="22.5" customHeight="1">
      <c r="A832" s="93"/>
      <c r="B832" s="93"/>
      <c r="C832" s="93"/>
      <c r="D832" s="93"/>
      <c r="E832" s="93"/>
      <c r="F832" s="93"/>
      <c r="G832" s="93"/>
      <c r="H832" s="118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</row>
    <row r="833" ht="22.5" customHeight="1">
      <c r="A833" s="93"/>
      <c r="B833" s="93"/>
      <c r="C833" s="93"/>
      <c r="D833" s="93"/>
      <c r="E833" s="93"/>
      <c r="F833" s="93"/>
      <c r="G833" s="93"/>
      <c r="H833" s="118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</row>
    <row r="834" ht="22.5" customHeight="1">
      <c r="A834" s="93"/>
      <c r="B834" s="93"/>
      <c r="C834" s="93"/>
      <c r="D834" s="93"/>
      <c r="E834" s="93"/>
      <c r="F834" s="93"/>
      <c r="G834" s="93"/>
      <c r="H834" s="118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</row>
    <row r="835" ht="22.5" customHeight="1">
      <c r="A835" s="93"/>
      <c r="B835" s="93"/>
      <c r="C835" s="93"/>
      <c r="D835" s="93"/>
      <c r="E835" s="93"/>
      <c r="F835" s="93"/>
      <c r="G835" s="93"/>
      <c r="H835" s="118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</row>
    <row r="836" ht="22.5" customHeight="1">
      <c r="A836" s="93"/>
      <c r="B836" s="93"/>
      <c r="C836" s="93"/>
      <c r="D836" s="93"/>
      <c r="E836" s="93"/>
      <c r="F836" s="93"/>
      <c r="G836" s="93"/>
      <c r="H836" s="118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</row>
    <row r="837" ht="22.5" customHeight="1">
      <c r="A837" s="93"/>
      <c r="B837" s="93"/>
      <c r="C837" s="93"/>
      <c r="D837" s="93"/>
      <c r="E837" s="93"/>
      <c r="F837" s="93"/>
      <c r="G837" s="93"/>
      <c r="H837" s="118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</row>
    <row r="838" ht="22.5" customHeight="1">
      <c r="A838" s="93"/>
      <c r="B838" s="93"/>
      <c r="C838" s="93"/>
      <c r="D838" s="93"/>
      <c r="E838" s="93"/>
      <c r="F838" s="93"/>
      <c r="G838" s="93"/>
      <c r="H838" s="118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</row>
    <row r="839" ht="22.5" customHeight="1">
      <c r="A839" s="93"/>
      <c r="B839" s="93"/>
      <c r="C839" s="93"/>
      <c r="D839" s="93"/>
      <c r="E839" s="93"/>
      <c r="F839" s="93"/>
      <c r="G839" s="93"/>
      <c r="H839" s="118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</row>
    <row r="840" ht="22.5" customHeight="1">
      <c r="A840" s="93"/>
      <c r="B840" s="93"/>
      <c r="C840" s="93"/>
      <c r="D840" s="93"/>
      <c r="E840" s="93"/>
      <c r="F840" s="93"/>
      <c r="G840" s="93"/>
      <c r="H840" s="118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</row>
    <row r="841" ht="22.5" customHeight="1">
      <c r="A841" s="93"/>
      <c r="B841" s="93"/>
      <c r="C841" s="93"/>
      <c r="D841" s="93"/>
      <c r="E841" s="93"/>
      <c r="F841" s="93"/>
      <c r="G841" s="93"/>
      <c r="H841" s="118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</row>
    <row r="842" ht="22.5" customHeight="1">
      <c r="A842" s="93"/>
      <c r="B842" s="93"/>
      <c r="C842" s="93"/>
      <c r="D842" s="93"/>
      <c r="E842" s="93"/>
      <c r="F842" s="93"/>
      <c r="G842" s="93"/>
      <c r="H842" s="118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</row>
    <row r="843" ht="22.5" customHeight="1">
      <c r="A843" s="93"/>
      <c r="B843" s="93"/>
      <c r="C843" s="93"/>
      <c r="D843" s="93"/>
      <c r="E843" s="93"/>
      <c r="F843" s="93"/>
      <c r="G843" s="93"/>
      <c r="H843" s="118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</row>
    <row r="844" ht="22.5" customHeight="1">
      <c r="A844" s="93"/>
      <c r="B844" s="93"/>
      <c r="C844" s="93"/>
      <c r="D844" s="93"/>
      <c r="E844" s="93"/>
      <c r="F844" s="93"/>
      <c r="G844" s="93"/>
      <c r="H844" s="118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</row>
    <row r="845" ht="22.5" customHeight="1">
      <c r="A845" s="93"/>
      <c r="B845" s="93"/>
      <c r="C845" s="93"/>
      <c r="D845" s="93"/>
      <c r="E845" s="93"/>
      <c r="F845" s="93"/>
      <c r="G845" s="93"/>
      <c r="H845" s="118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</row>
    <row r="846" ht="22.5" customHeight="1">
      <c r="A846" s="93"/>
      <c r="B846" s="93"/>
      <c r="C846" s="93"/>
      <c r="D846" s="93"/>
      <c r="E846" s="93"/>
      <c r="F846" s="93"/>
      <c r="G846" s="93"/>
      <c r="H846" s="118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</row>
    <row r="847" ht="22.5" customHeight="1">
      <c r="A847" s="93"/>
      <c r="B847" s="93"/>
      <c r="C847" s="93"/>
      <c r="D847" s="93"/>
      <c r="E847" s="93"/>
      <c r="F847" s="93"/>
      <c r="G847" s="93"/>
      <c r="H847" s="118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</row>
    <row r="848" ht="22.5" customHeight="1">
      <c r="A848" s="93"/>
      <c r="B848" s="93"/>
      <c r="C848" s="93"/>
      <c r="D848" s="93"/>
      <c r="E848" s="93"/>
      <c r="F848" s="93"/>
      <c r="G848" s="93"/>
      <c r="H848" s="118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</row>
    <row r="849" ht="22.5" customHeight="1">
      <c r="A849" s="93"/>
      <c r="B849" s="93"/>
      <c r="C849" s="93"/>
      <c r="D849" s="93"/>
      <c r="E849" s="93"/>
      <c r="F849" s="93"/>
      <c r="G849" s="93"/>
      <c r="H849" s="118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</row>
    <row r="850" ht="22.5" customHeight="1">
      <c r="A850" s="93"/>
      <c r="B850" s="93"/>
      <c r="C850" s="93"/>
      <c r="D850" s="93"/>
      <c r="E850" s="93"/>
      <c r="F850" s="93"/>
      <c r="G850" s="93"/>
      <c r="H850" s="118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</row>
    <row r="851" ht="22.5" customHeight="1">
      <c r="A851" s="93"/>
      <c r="B851" s="93"/>
      <c r="C851" s="93"/>
      <c r="D851" s="93"/>
      <c r="E851" s="93"/>
      <c r="F851" s="93"/>
      <c r="G851" s="93"/>
      <c r="H851" s="118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</row>
    <row r="852" ht="22.5" customHeight="1">
      <c r="A852" s="93"/>
      <c r="B852" s="93"/>
      <c r="C852" s="93"/>
      <c r="D852" s="93"/>
      <c r="E852" s="93"/>
      <c r="F852" s="93"/>
      <c r="G852" s="93"/>
      <c r="H852" s="118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</row>
    <row r="853" ht="22.5" customHeight="1">
      <c r="A853" s="93"/>
      <c r="B853" s="93"/>
      <c r="C853" s="93"/>
      <c r="D853" s="93"/>
      <c r="E853" s="93"/>
      <c r="F853" s="93"/>
      <c r="G853" s="93"/>
      <c r="H853" s="118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</row>
    <row r="854" ht="22.5" customHeight="1">
      <c r="A854" s="93"/>
      <c r="B854" s="93"/>
      <c r="C854" s="93"/>
      <c r="D854" s="93"/>
      <c r="E854" s="93"/>
      <c r="F854" s="93"/>
      <c r="G854" s="93"/>
      <c r="H854" s="118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</row>
    <row r="855" ht="22.5" customHeight="1">
      <c r="A855" s="93"/>
      <c r="B855" s="93"/>
      <c r="C855" s="93"/>
      <c r="D855" s="93"/>
      <c r="E855" s="93"/>
      <c r="F855" s="93"/>
      <c r="G855" s="93"/>
      <c r="H855" s="118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</row>
    <row r="856" ht="22.5" customHeight="1">
      <c r="A856" s="93"/>
      <c r="B856" s="93"/>
      <c r="C856" s="93"/>
      <c r="D856" s="93"/>
      <c r="E856" s="93"/>
      <c r="F856" s="93"/>
      <c r="G856" s="93"/>
      <c r="H856" s="118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</row>
    <row r="857" ht="22.5" customHeight="1">
      <c r="A857" s="93"/>
      <c r="B857" s="93"/>
      <c r="C857" s="93"/>
      <c r="D857" s="93"/>
      <c r="E857" s="93"/>
      <c r="F857" s="93"/>
      <c r="G857" s="93"/>
      <c r="H857" s="118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</row>
    <row r="858" ht="22.5" customHeight="1">
      <c r="A858" s="93"/>
      <c r="B858" s="93"/>
      <c r="C858" s="93"/>
      <c r="D858" s="93"/>
      <c r="E858" s="93"/>
      <c r="F858" s="93"/>
      <c r="G858" s="93"/>
      <c r="H858" s="118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</row>
    <row r="859" ht="22.5" customHeight="1">
      <c r="A859" s="93"/>
      <c r="B859" s="93"/>
      <c r="C859" s="93"/>
      <c r="D859" s="93"/>
      <c r="E859" s="93"/>
      <c r="F859" s="93"/>
      <c r="G859" s="93"/>
      <c r="H859" s="118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</row>
    <row r="860" ht="22.5" customHeight="1">
      <c r="A860" s="93"/>
      <c r="B860" s="93"/>
      <c r="C860" s="93"/>
      <c r="D860" s="93"/>
      <c r="E860" s="93"/>
      <c r="F860" s="93"/>
      <c r="G860" s="93"/>
      <c r="H860" s="118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</row>
    <row r="861" ht="22.5" customHeight="1">
      <c r="A861" s="93"/>
      <c r="B861" s="93"/>
      <c r="C861" s="93"/>
      <c r="D861" s="93"/>
      <c r="E861" s="93"/>
      <c r="F861" s="93"/>
      <c r="G861" s="93"/>
      <c r="H861" s="118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</row>
    <row r="862" ht="22.5" customHeight="1">
      <c r="A862" s="93"/>
      <c r="B862" s="93"/>
      <c r="C862" s="93"/>
      <c r="D862" s="93"/>
      <c r="E862" s="93"/>
      <c r="F862" s="93"/>
      <c r="G862" s="93"/>
      <c r="H862" s="118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</row>
    <row r="863" ht="22.5" customHeight="1">
      <c r="A863" s="93"/>
      <c r="B863" s="93"/>
      <c r="C863" s="93"/>
      <c r="D863" s="93"/>
      <c r="E863" s="93"/>
      <c r="F863" s="93"/>
      <c r="G863" s="93"/>
      <c r="H863" s="118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</row>
    <row r="864" ht="22.5" customHeight="1">
      <c r="A864" s="93"/>
      <c r="B864" s="93"/>
      <c r="C864" s="93"/>
      <c r="D864" s="93"/>
      <c r="E864" s="93"/>
      <c r="F864" s="93"/>
      <c r="G864" s="93"/>
      <c r="H864" s="118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</row>
    <row r="865" ht="22.5" customHeight="1">
      <c r="A865" s="93"/>
      <c r="B865" s="93"/>
      <c r="C865" s="93"/>
      <c r="D865" s="93"/>
      <c r="E865" s="93"/>
      <c r="F865" s="93"/>
      <c r="G865" s="93"/>
      <c r="H865" s="118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</row>
    <row r="866" ht="22.5" customHeight="1">
      <c r="A866" s="93"/>
      <c r="B866" s="93"/>
      <c r="C866" s="93"/>
      <c r="D866" s="93"/>
      <c r="E866" s="93"/>
      <c r="F866" s="93"/>
      <c r="G866" s="93"/>
      <c r="H866" s="118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</row>
    <row r="867" ht="22.5" customHeight="1">
      <c r="A867" s="93"/>
      <c r="B867" s="93"/>
      <c r="C867" s="93"/>
      <c r="D867" s="93"/>
      <c r="E867" s="93"/>
      <c r="F867" s="93"/>
      <c r="G867" s="93"/>
      <c r="H867" s="118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</row>
    <row r="868" ht="22.5" customHeight="1">
      <c r="A868" s="93"/>
      <c r="B868" s="93"/>
      <c r="C868" s="93"/>
      <c r="D868" s="93"/>
      <c r="E868" s="93"/>
      <c r="F868" s="93"/>
      <c r="G868" s="93"/>
      <c r="H868" s="118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</row>
    <row r="869" ht="22.5" customHeight="1">
      <c r="A869" s="93"/>
      <c r="B869" s="93"/>
      <c r="C869" s="93"/>
      <c r="D869" s="93"/>
      <c r="E869" s="93"/>
      <c r="F869" s="93"/>
      <c r="G869" s="93"/>
      <c r="H869" s="118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</row>
    <row r="870" ht="22.5" customHeight="1">
      <c r="A870" s="93"/>
      <c r="B870" s="93"/>
      <c r="C870" s="93"/>
      <c r="D870" s="93"/>
      <c r="E870" s="93"/>
      <c r="F870" s="93"/>
      <c r="G870" s="93"/>
      <c r="H870" s="118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</row>
    <row r="871" ht="22.5" customHeight="1">
      <c r="A871" s="93"/>
      <c r="B871" s="93"/>
      <c r="C871" s="93"/>
      <c r="D871" s="93"/>
      <c r="E871" s="93"/>
      <c r="F871" s="93"/>
      <c r="G871" s="93"/>
      <c r="H871" s="118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</row>
    <row r="872" ht="22.5" customHeight="1">
      <c r="A872" s="93"/>
      <c r="B872" s="93"/>
      <c r="C872" s="93"/>
      <c r="D872" s="93"/>
      <c r="E872" s="93"/>
      <c r="F872" s="93"/>
      <c r="G872" s="93"/>
      <c r="H872" s="118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</row>
    <row r="873" ht="22.5" customHeight="1">
      <c r="A873" s="93"/>
      <c r="B873" s="93"/>
      <c r="C873" s="93"/>
      <c r="D873" s="93"/>
      <c r="E873" s="93"/>
      <c r="F873" s="93"/>
      <c r="G873" s="93"/>
      <c r="H873" s="118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</row>
    <row r="874" ht="22.5" customHeight="1">
      <c r="A874" s="93"/>
      <c r="B874" s="93"/>
      <c r="C874" s="93"/>
      <c r="D874" s="93"/>
      <c r="E874" s="93"/>
      <c r="F874" s="93"/>
      <c r="G874" s="93"/>
      <c r="H874" s="118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</row>
    <row r="875" ht="22.5" customHeight="1">
      <c r="A875" s="93"/>
      <c r="B875" s="93"/>
      <c r="C875" s="93"/>
      <c r="D875" s="93"/>
      <c r="E875" s="93"/>
      <c r="F875" s="93"/>
      <c r="G875" s="93"/>
      <c r="H875" s="118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</row>
    <row r="876" ht="22.5" customHeight="1">
      <c r="A876" s="93"/>
      <c r="B876" s="93"/>
      <c r="C876" s="93"/>
      <c r="D876" s="93"/>
      <c r="E876" s="93"/>
      <c r="F876" s="93"/>
      <c r="G876" s="93"/>
      <c r="H876" s="118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</row>
    <row r="877" ht="22.5" customHeight="1">
      <c r="A877" s="93"/>
      <c r="B877" s="93"/>
      <c r="C877" s="93"/>
      <c r="D877" s="93"/>
      <c r="E877" s="93"/>
      <c r="F877" s="93"/>
      <c r="G877" s="93"/>
      <c r="H877" s="118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</row>
    <row r="878" ht="22.5" customHeight="1">
      <c r="A878" s="93"/>
      <c r="B878" s="93"/>
      <c r="C878" s="93"/>
      <c r="D878" s="93"/>
      <c r="E878" s="93"/>
      <c r="F878" s="93"/>
      <c r="G878" s="93"/>
      <c r="H878" s="118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</row>
    <row r="879" ht="22.5" customHeight="1">
      <c r="A879" s="93"/>
      <c r="B879" s="93"/>
      <c r="C879" s="93"/>
      <c r="D879" s="93"/>
      <c r="E879" s="93"/>
      <c r="F879" s="93"/>
      <c r="G879" s="93"/>
      <c r="H879" s="118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</row>
    <row r="880" ht="22.5" customHeight="1">
      <c r="A880" s="93"/>
      <c r="B880" s="93"/>
      <c r="C880" s="93"/>
      <c r="D880" s="93"/>
      <c r="E880" s="93"/>
      <c r="F880" s="93"/>
      <c r="G880" s="93"/>
      <c r="H880" s="118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</row>
    <row r="881" ht="22.5" customHeight="1">
      <c r="A881" s="93"/>
      <c r="B881" s="93"/>
      <c r="C881" s="93"/>
      <c r="D881" s="93"/>
      <c r="E881" s="93"/>
      <c r="F881" s="93"/>
      <c r="G881" s="93"/>
      <c r="H881" s="118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</row>
    <row r="882" ht="22.5" customHeight="1">
      <c r="A882" s="93"/>
      <c r="B882" s="93"/>
      <c r="C882" s="93"/>
      <c r="D882" s="93"/>
      <c r="E882" s="93"/>
      <c r="F882" s="93"/>
      <c r="G882" s="93"/>
      <c r="H882" s="118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</row>
    <row r="883" ht="22.5" customHeight="1">
      <c r="A883" s="93"/>
      <c r="B883" s="93"/>
      <c r="C883" s="93"/>
      <c r="D883" s="93"/>
      <c r="E883" s="93"/>
      <c r="F883" s="93"/>
      <c r="G883" s="93"/>
      <c r="H883" s="118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</row>
    <row r="884" ht="22.5" customHeight="1">
      <c r="A884" s="93"/>
      <c r="B884" s="93"/>
      <c r="C884" s="93"/>
      <c r="D884" s="93"/>
      <c r="E884" s="93"/>
      <c r="F884" s="93"/>
      <c r="G884" s="93"/>
      <c r="H884" s="118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</row>
    <row r="885" ht="22.5" customHeight="1">
      <c r="A885" s="93"/>
      <c r="B885" s="93"/>
      <c r="C885" s="93"/>
      <c r="D885" s="93"/>
      <c r="E885" s="93"/>
      <c r="F885" s="93"/>
      <c r="G885" s="93"/>
      <c r="H885" s="118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</row>
    <row r="886" ht="22.5" customHeight="1">
      <c r="A886" s="93"/>
      <c r="B886" s="93"/>
      <c r="C886" s="93"/>
      <c r="D886" s="93"/>
      <c r="E886" s="93"/>
      <c r="F886" s="93"/>
      <c r="G886" s="93"/>
      <c r="H886" s="118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</row>
    <row r="887" ht="22.5" customHeight="1">
      <c r="A887" s="93"/>
      <c r="B887" s="93"/>
      <c r="C887" s="93"/>
      <c r="D887" s="93"/>
      <c r="E887" s="93"/>
      <c r="F887" s="93"/>
      <c r="G887" s="93"/>
      <c r="H887" s="118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</row>
    <row r="888" ht="22.5" customHeight="1">
      <c r="A888" s="93"/>
      <c r="B888" s="93"/>
      <c r="C888" s="93"/>
      <c r="D888" s="93"/>
      <c r="E888" s="93"/>
      <c r="F888" s="93"/>
      <c r="G888" s="93"/>
      <c r="H888" s="118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</row>
    <row r="889" ht="22.5" customHeight="1">
      <c r="A889" s="93"/>
      <c r="B889" s="93"/>
      <c r="C889" s="93"/>
      <c r="D889" s="93"/>
      <c r="E889" s="93"/>
      <c r="F889" s="93"/>
      <c r="G889" s="93"/>
      <c r="H889" s="118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</row>
    <row r="890" ht="22.5" customHeight="1">
      <c r="A890" s="93"/>
      <c r="B890" s="93"/>
      <c r="C890" s="93"/>
      <c r="D890" s="93"/>
      <c r="E890" s="93"/>
      <c r="F890" s="93"/>
      <c r="G890" s="93"/>
      <c r="H890" s="118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</row>
    <row r="891" ht="22.5" customHeight="1">
      <c r="A891" s="93"/>
      <c r="B891" s="93"/>
      <c r="C891" s="93"/>
      <c r="D891" s="93"/>
      <c r="E891" s="93"/>
      <c r="F891" s="93"/>
      <c r="G891" s="93"/>
      <c r="H891" s="118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</row>
    <row r="892" ht="22.5" customHeight="1">
      <c r="A892" s="93"/>
      <c r="B892" s="93"/>
      <c r="C892" s="93"/>
      <c r="D892" s="93"/>
      <c r="E892" s="93"/>
      <c r="F892" s="93"/>
      <c r="G892" s="93"/>
      <c r="H892" s="118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</row>
    <row r="893" ht="22.5" customHeight="1">
      <c r="A893" s="93"/>
      <c r="B893" s="93"/>
      <c r="C893" s="93"/>
      <c r="D893" s="93"/>
      <c r="E893" s="93"/>
      <c r="F893" s="93"/>
      <c r="G893" s="93"/>
      <c r="H893" s="118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</row>
    <row r="894" ht="22.5" customHeight="1">
      <c r="A894" s="93"/>
      <c r="B894" s="93"/>
      <c r="C894" s="93"/>
      <c r="D894" s="93"/>
      <c r="E894" s="93"/>
      <c r="F894" s="93"/>
      <c r="G894" s="93"/>
      <c r="H894" s="118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</row>
    <row r="895" ht="22.5" customHeight="1">
      <c r="A895" s="93"/>
      <c r="B895" s="93"/>
      <c r="C895" s="93"/>
      <c r="D895" s="93"/>
      <c r="E895" s="93"/>
      <c r="F895" s="93"/>
      <c r="G895" s="93"/>
      <c r="H895" s="118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</row>
    <row r="896" ht="22.5" customHeight="1">
      <c r="A896" s="119"/>
      <c r="B896" s="119"/>
      <c r="C896" s="119"/>
      <c r="D896" s="119"/>
      <c r="E896" s="119"/>
      <c r="F896" s="119"/>
      <c r="G896" s="119"/>
      <c r="H896" s="120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</row>
    <row r="897" ht="22.5" customHeight="1">
      <c r="A897" s="119"/>
      <c r="B897" s="119"/>
      <c r="C897" s="119"/>
      <c r="D897" s="119"/>
      <c r="E897" s="119"/>
      <c r="F897" s="119"/>
      <c r="G897" s="119"/>
      <c r="H897" s="120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</row>
    <row r="898" ht="22.5" customHeight="1">
      <c r="A898" s="119"/>
      <c r="B898" s="119"/>
      <c r="C898" s="119"/>
      <c r="D898" s="119"/>
      <c r="E898" s="119"/>
      <c r="F898" s="119"/>
      <c r="G898" s="119"/>
      <c r="H898" s="120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</row>
    <row r="899" ht="22.5" customHeight="1">
      <c r="A899" s="119"/>
      <c r="B899" s="119"/>
      <c r="C899" s="119"/>
      <c r="D899" s="119"/>
      <c r="E899" s="119"/>
      <c r="F899" s="119"/>
      <c r="G899" s="119"/>
      <c r="H899" s="120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</row>
    <row r="900" ht="22.5" customHeight="1">
      <c r="A900" s="119"/>
      <c r="B900" s="119"/>
      <c r="C900" s="119"/>
      <c r="D900" s="119"/>
      <c r="E900" s="119"/>
      <c r="F900" s="119"/>
      <c r="G900" s="119"/>
      <c r="H900" s="120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</row>
    <row r="901" ht="22.5" customHeight="1">
      <c r="A901" s="119"/>
      <c r="B901" s="119"/>
      <c r="C901" s="119"/>
      <c r="D901" s="119"/>
      <c r="E901" s="119"/>
      <c r="F901" s="119"/>
      <c r="G901" s="119"/>
      <c r="H901" s="120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</row>
    <row r="902" ht="22.5" customHeight="1">
      <c r="A902" s="119"/>
      <c r="B902" s="119"/>
      <c r="C902" s="119"/>
      <c r="D902" s="119"/>
      <c r="E902" s="119"/>
      <c r="F902" s="119"/>
      <c r="G902" s="119"/>
      <c r="H902" s="120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</row>
    <row r="903" ht="22.5" customHeight="1">
      <c r="A903" s="119"/>
      <c r="B903" s="119"/>
      <c r="C903" s="119"/>
      <c r="D903" s="119"/>
      <c r="E903" s="119"/>
      <c r="F903" s="119"/>
      <c r="G903" s="119"/>
      <c r="H903" s="120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</row>
    <row r="904" ht="22.5" customHeight="1">
      <c r="A904" s="119"/>
      <c r="B904" s="119"/>
      <c r="C904" s="119"/>
      <c r="D904" s="119"/>
      <c r="E904" s="119"/>
      <c r="F904" s="119"/>
      <c r="G904" s="119"/>
      <c r="H904" s="120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</row>
    <row r="905" ht="22.5" customHeight="1">
      <c r="A905" s="119"/>
      <c r="B905" s="119"/>
      <c r="C905" s="119"/>
      <c r="D905" s="119"/>
      <c r="E905" s="119"/>
      <c r="F905" s="119"/>
      <c r="G905" s="119"/>
      <c r="H905" s="120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</row>
    <row r="906" ht="22.5" customHeight="1">
      <c r="A906" s="119"/>
      <c r="B906" s="119"/>
      <c r="C906" s="119"/>
      <c r="D906" s="119"/>
      <c r="E906" s="119"/>
      <c r="F906" s="119"/>
      <c r="G906" s="119"/>
      <c r="H906" s="120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</row>
    <row r="907" ht="22.5" customHeight="1">
      <c r="A907" s="119"/>
      <c r="B907" s="119"/>
      <c r="C907" s="119"/>
      <c r="D907" s="119"/>
      <c r="E907" s="119"/>
      <c r="F907" s="119"/>
      <c r="G907" s="119"/>
      <c r="H907" s="120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</row>
    <row r="908" ht="22.5" customHeight="1">
      <c r="A908" s="119"/>
      <c r="B908" s="119"/>
      <c r="C908" s="119"/>
      <c r="D908" s="119"/>
      <c r="E908" s="119"/>
      <c r="F908" s="119"/>
      <c r="G908" s="119"/>
      <c r="H908" s="120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</row>
    <row r="909" ht="22.5" customHeight="1">
      <c r="A909" s="119"/>
      <c r="B909" s="119"/>
      <c r="C909" s="119"/>
      <c r="D909" s="119"/>
      <c r="E909" s="119"/>
      <c r="F909" s="119"/>
      <c r="G909" s="119"/>
      <c r="H909" s="120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</row>
    <row r="910" ht="22.5" customHeight="1">
      <c r="A910" s="119"/>
      <c r="B910" s="119"/>
      <c r="C910" s="119"/>
      <c r="D910" s="119"/>
      <c r="E910" s="119"/>
      <c r="F910" s="119"/>
      <c r="G910" s="119"/>
      <c r="H910" s="120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</row>
    <row r="911" ht="22.5" customHeight="1">
      <c r="A911" s="119"/>
      <c r="B911" s="119"/>
      <c r="C911" s="119"/>
      <c r="D911" s="119"/>
      <c r="E911" s="119"/>
      <c r="F911" s="119"/>
      <c r="G911" s="119"/>
      <c r="H911" s="120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</row>
    <row r="912" ht="22.5" customHeight="1">
      <c r="A912" s="119"/>
      <c r="B912" s="119"/>
      <c r="C912" s="119"/>
      <c r="D912" s="119"/>
      <c r="E912" s="119"/>
      <c r="F912" s="119"/>
      <c r="G912" s="119"/>
      <c r="H912" s="120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</row>
    <row r="913" ht="22.5" customHeight="1">
      <c r="A913" s="119"/>
      <c r="B913" s="119"/>
      <c r="C913" s="119"/>
      <c r="D913" s="119"/>
      <c r="E913" s="119"/>
      <c r="F913" s="119"/>
      <c r="G913" s="119"/>
      <c r="H913" s="120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</row>
    <row r="914" ht="22.5" customHeight="1">
      <c r="A914" s="119"/>
      <c r="B914" s="119"/>
      <c r="C914" s="119"/>
      <c r="D914" s="119"/>
      <c r="E914" s="119"/>
      <c r="F914" s="119"/>
      <c r="G914" s="119"/>
      <c r="H914" s="120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</row>
    <row r="915" ht="22.5" customHeight="1">
      <c r="A915" s="119"/>
      <c r="B915" s="119"/>
      <c r="C915" s="119"/>
      <c r="D915" s="119"/>
      <c r="E915" s="119"/>
      <c r="F915" s="119"/>
      <c r="G915" s="119"/>
      <c r="H915" s="120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</row>
    <row r="916" ht="22.5" customHeight="1">
      <c r="A916" s="119"/>
      <c r="B916" s="119"/>
      <c r="C916" s="119"/>
      <c r="D916" s="119"/>
      <c r="E916" s="119"/>
      <c r="F916" s="119"/>
      <c r="G916" s="119"/>
      <c r="H916" s="120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</row>
    <row r="917" ht="22.5" customHeight="1">
      <c r="A917" s="119"/>
      <c r="B917" s="119"/>
      <c r="C917" s="119"/>
      <c r="D917" s="119"/>
      <c r="E917" s="119"/>
      <c r="F917" s="119"/>
      <c r="G917" s="119"/>
      <c r="H917" s="120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</row>
    <row r="918" ht="22.5" customHeight="1">
      <c r="A918" s="119"/>
      <c r="B918" s="119"/>
      <c r="C918" s="119"/>
      <c r="D918" s="119"/>
      <c r="E918" s="119"/>
      <c r="F918" s="119"/>
      <c r="G918" s="119"/>
      <c r="H918" s="120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</row>
    <row r="919" ht="22.5" customHeight="1">
      <c r="A919" s="119"/>
      <c r="B919" s="119"/>
      <c r="C919" s="119"/>
      <c r="D919" s="119"/>
      <c r="E919" s="119"/>
      <c r="F919" s="119"/>
      <c r="G919" s="119"/>
      <c r="H919" s="120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</row>
    <row r="920" ht="22.5" customHeight="1">
      <c r="A920" s="119"/>
      <c r="B920" s="119"/>
      <c r="C920" s="119"/>
      <c r="D920" s="119"/>
      <c r="E920" s="119"/>
      <c r="F920" s="119"/>
      <c r="G920" s="119"/>
      <c r="H920" s="120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</row>
    <row r="921" ht="22.5" customHeight="1">
      <c r="A921" s="119"/>
      <c r="B921" s="119"/>
      <c r="C921" s="119"/>
      <c r="D921" s="119"/>
      <c r="E921" s="119"/>
      <c r="F921" s="119"/>
      <c r="G921" s="119"/>
      <c r="H921" s="120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</row>
    <row r="922" ht="22.5" customHeight="1">
      <c r="A922" s="119"/>
      <c r="B922" s="119"/>
      <c r="C922" s="119"/>
      <c r="D922" s="119"/>
      <c r="E922" s="119"/>
      <c r="F922" s="119"/>
      <c r="G922" s="119"/>
      <c r="H922" s="120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</row>
    <row r="923" ht="22.5" customHeight="1">
      <c r="A923" s="119"/>
      <c r="B923" s="119"/>
      <c r="C923" s="119"/>
      <c r="D923" s="119"/>
      <c r="E923" s="119"/>
      <c r="F923" s="119"/>
      <c r="G923" s="119"/>
      <c r="H923" s="120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</row>
    <row r="924" ht="22.5" customHeight="1">
      <c r="A924" s="119"/>
      <c r="B924" s="119"/>
      <c r="C924" s="119"/>
      <c r="D924" s="119"/>
      <c r="E924" s="119"/>
      <c r="F924" s="119"/>
      <c r="G924" s="119"/>
      <c r="H924" s="120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</row>
    <row r="925" ht="22.5" customHeight="1">
      <c r="A925" s="119"/>
      <c r="B925" s="119"/>
      <c r="C925" s="119"/>
      <c r="D925" s="119"/>
      <c r="E925" s="119"/>
      <c r="F925" s="119"/>
      <c r="G925" s="119"/>
      <c r="H925" s="120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</row>
    <row r="926" ht="22.5" customHeight="1">
      <c r="A926" s="119"/>
      <c r="B926" s="119"/>
      <c r="C926" s="119"/>
      <c r="D926" s="119"/>
      <c r="E926" s="119"/>
      <c r="F926" s="119"/>
      <c r="G926" s="119"/>
      <c r="H926" s="120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</row>
    <row r="927" ht="22.5" customHeight="1">
      <c r="A927" s="119"/>
      <c r="B927" s="119"/>
      <c r="C927" s="119"/>
      <c r="D927" s="119"/>
      <c r="E927" s="119"/>
      <c r="F927" s="119"/>
      <c r="G927" s="119"/>
      <c r="H927" s="120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</row>
    <row r="928" ht="22.5" customHeight="1">
      <c r="A928" s="119"/>
      <c r="B928" s="119"/>
      <c r="C928" s="119"/>
      <c r="D928" s="119"/>
      <c r="E928" s="119"/>
      <c r="F928" s="119"/>
      <c r="G928" s="119"/>
      <c r="H928" s="120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</row>
    <row r="929" ht="22.5" customHeight="1">
      <c r="A929" s="119"/>
      <c r="B929" s="119"/>
      <c r="C929" s="119"/>
      <c r="D929" s="119"/>
      <c r="E929" s="119"/>
      <c r="F929" s="119"/>
      <c r="G929" s="119"/>
      <c r="H929" s="120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</row>
    <row r="930" ht="22.5" customHeight="1">
      <c r="A930" s="119"/>
      <c r="B930" s="119"/>
      <c r="C930" s="119"/>
      <c r="D930" s="119"/>
      <c r="E930" s="119"/>
      <c r="F930" s="119"/>
      <c r="G930" s="119"/>
      <c r="H930" s="120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</row>
    <row r="931" ht="22.5" customHeight="1">
      <c r="A931" s="119"/>
      <c r="B931" s="119"/>
      <c r="C931" s="119"/>
      <c r="D931" s="119"/>
      <c r="E931" s="119"/>
      <c r="F931" s="119"/>
      <c r="G931" s="119"/>
      <c r="H931" s="120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</row>
    <row r="932" ht="22.5" customHeight="1">
      <c r="A932" s="119"/>
      <c r="B932" s="119"/>
      <c r="C932" s="119"/>
      <c r="D932" s="119"/>
      <c r="E932" s="119"/>
      <c r="F932" s="119"/>
      <c r="G932" s="119"/>
      <c r="H932" s="120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</row>
    <row r="933" ht="22.5" customHeight="1">
      <c r="A933" s="119"/>
      <c r="B933" s="119"/>
      <c r="C933" s="119"/>
      <c r="D933" s="119"/>
      <c r="E933" s="119"/>
      <c r="F933" s="119"/>
      <c r="G933" s="119"/>
      <c r="H933" s="120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</row>
    <row r="934" ht="22.5" customHeight="1">
      <c r="A934" s="119"/>
      <c r="B934" s="119"/>
      <c r="C934" s="119"/>
      <c r="D934" s="119"/>
      <c r="E934" s="119"/>
      <c r="F934" s="119"/>
      <c r="G934" s="119"/>
      <c r="H934" s="120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</row>
    <row r="935" ht="22.5" customHeight="1">
      <c r="A935" s="119"/>
      <c r="B935" s="119"/>
      <c r="C935" s="119"/>
      <c r="D935" s="119"/>
      <c r="E935" s="119"/>
      <c r="F935" s="119"/>
      <c r="G935" s="119"/>
      <c r="H935" s="120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</row>
  </sheetData>
  <autoFilter ref="$A$1:$V$6"/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2" max="2" width="9.71"/>
    <col customWidth="1" min="3" max="3" width="13.29"/>
    <col customWidth="1" min="4" max="4" width="19.71"/>
    <col customWidth="1" min="5" max="5" width="14.57"/>
    <col customWidth="1" min="6" max="6" width="12.29"/>
    <col customWidth="1" min="7" max="7" width="17.71"/>
    <col customWidth="1" min="8" max="8" width="31.57"/>
    <col customWidth="1" min="9" max="9" width="20.86"/>
    <col customWidth="1" min="10" max="22" width="23.0"/>
  </cols>
  <sheetData>
    <row r="1" ht="23.25" customHeight="1">
      <c r="A1" s="1" t="s">
        <v>0</v>
      </c>
      <c r="B1" s="1" t="s">
        <v>1</v>
      </c>
      <c r="C1" s="1" t="s">
        <v>2</v>
      </c>
      <c r="D1" s="110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ht="23.25" customHeight="1">
      <c r="A2" s="27" t="s">
        <v>24</v>
      </c>
      <c r="B2" s="27">
        <v>1024.0</v>
      </c>
      <c r="C2" s="28" t="s">
        <v>164</v>
      </c>
      <c r="D2" s="27">
        <v>2.0</v>
      </c>
      <c r="E2" s="27"/>
      <c r="F2" s="116" t="s">
        <v>165</v>
      </c>
      <c r="G2" s="27">
        <v>5.0</v>
      </c>
      <c r="H2" s="121"/>
      <c r="I2" s="122"/>
      <c r="J2" s="12" t="b">
        <v>0</v>
      </c>
      <c r="K2" s="13" t="s">
        <v>155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3.25" customHeight="1">
      <c r="A3" s="27" t="s">
        <v>24</v>
      </c>
      <c r="B3" s="27">
        <v>1024.0</v>
      </c>
      <c r="C3" s="28" t="s">
        <v>166</v>
      </c>
      <c r="D3" s="27">
        <v>2.0</v>
      </c>
      <c r="E3" s="27"/>
      <c r="F3" s="116" t="s">
        <v>165</v>
      </c>
      <c r="G3" s="27">
        <v>6.0</v>
      </c>
      <c r="H3" s="121"/>
      <c r="I3" s="122"/>
      <c r="J3" s="12" t="b">
        <v>0</v>
      </c>
      <c r="K3" s="13" t="s">
        <v>155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3.25" customHeight="1">
      <c r="A4" s="27" t="s">
        <v>24</v>
      </c>
      <c r="B4" s="27">
        <v>1025.0</v>
      </c>
      <c r="C4" s="28" t="s">
        <v>167</v>
      </c>
      <c r="D4" s="27">
        <v>2.0</v>
      </c>
      <c r="E4" s="27"/>
      <c r="F4" s="116" t="s">
        <v>165</v>
      </c>
      <c r="G4" s="27">
        <v>4.0</v>
      </c>
      <c r="H4" s="121"/>
      <c r="I4" s="122"/>
      <c r="J4" s="12" t="b">
        <v>0</v>
      </c>
      <c r="K4" s="13" t="s">
        <v>155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3.25" customHeight="1">
      <c r="A5" s="20" t="s">
        <v>168</v>
      </c>
      <c r="B5" s="20">
        <v>1125.0</v>
      </c>
      <c r="C5" s="123" t="s">
        <v>165</v>
      </c>
      <c r="D5" s="20">
        <v>2.0</v>
      </c>
      <c r="E5" s="20"/>
      <c r="F5" s="54" t="s">
        <v>165</v>
      </c>
      <c r="G5" s="20">
        <v>3.0</v>
      </c>
      <c r="H5" s="124" t="s">
        <v>23</v>
      </c>
      <c r="I5" s="125"/>
      <c r="J5" s="12" t="b">
        <v>0</v>
      </c>
      <c r="K5" s="13" t="s">
        <v>155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3.25" customHeight="1">
      <c r="A6" s="113" t="s">
        <v>156</v>
      </c>
      <c r="B6" s="113">
        <v>2024.0</v>
      </c>
      <c r="C6" s="126" t="s">
        <v>164</v>
      </c>
      <c r="D6" s="113">
        <v>2.0</v>
      </c>
      <c r="E6" s="113"/>
      <c r="F6" s="114" t="s">
        <v>165</v>
      </c>
      <c r="G6" s="113">
        <v>6.0</v>
      </c>
      <c r="H6" s="127"/>
      <c r="I6" s="128"/>
      <c r="J6" s="12" t="b">
        <v>0</v>
      </c>
      <c r="K6" s="13" t="s">
        <v>155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3.25" customHeight="1">
      <c r="A7" s="113" t="s">
        <v>156</v>
      </c>
      <c r="B7" s="113">
        <v>2024.0</v>
      </c>
      <c r="C7" s="126" t="s">
        <v>166</v>
      </c>
      <c r="D7" s="113">
        <v>2.0</v>
      </c>
      <c r="E7" s="113"/>
      <c r="F7" s="114" t="s">
        <v>165</v>
      </c>
      <c r="G7" s="113">
        <v>6.0</v>
      </c>
      <c r="H7" s="127"/>
      <c r="I7" s="128"/>
      <c r="J7" s="12" t="b">
        <v>0</v>
      </c>
      <c r="K7" s="13" t="s">
        <v>155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3.25" customHeight="1">
      <c r="A8" s="113" t="s">
        <v>156</v>
      </c>
      <c r="B8" s="113">
        <v>2025.0</v>
      </c>
      <c r="C8" s="126" t="s">
        <v>169</v>
      </c>
      <c r="D8" s="113">
        <v>2.0</v>
      </c>
      <c r="E8" s="113"/>
      <c r="F8" s="114" t="s">
        <v>165</v>
      </c>
      <c r="G8" s="113">
        <v>4.0</v>
      </c>
      <c r="H8" s="127"/>
      <c r="I8" s="128"/>
      <c r="J8" s="12" t="b">
        <v>0</v>
      </c>
      <c r="K8" s="13" t="s">
        <v>155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23.25" customHeight="1">
      <c r="A9" s="113" t="s">
        <v>156</v>
      </c>
      <c r="B9" s="113">
        <v>2025.0</v>
      </c>
      <c r="C9" s="126" t="s">
        <v>167</v>
      </c>
      <c r="D9" s="113">
        <v>2.0</v>
      </c>
      <c r="E9" s="113"/>
      <c r="F9" s="114" t="s">
        <v>165</v>
      </c>
      <c r="G9" s="113">
        <v>4.0</v>
      </c>
      <c r="H9" s="127"/>
      <c r="I9" s="128"/>
      <c r="J9" s="12" t="b">
        <v>0</v>
      </c>
      <c r="K9" s="13" t="s">
        <v>155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ht="23.25" customHeight="1">
      <c r="A10" s="113" t="s">
        <v>156</v>
      </c>
      <c r="B10" s="113">
        <v>2026.0</v>
      </c>
      <c r="C10" s="126" t="s">
        <v>169</v>
      </c>
      <c r="D10" s="113">
        <v>2.0</v>
      </c>
      <c r="E10" s="113"/>
      <c r="F10" s="114" t="s">
        <v>165</v>
      </c>
      <c r="G10" s="113">
        <v>2.0</v>
      </c>
      <c r="H10" s="127"/>
      <c r="I10" s="128"/>
      <c r="J10" s="12" t="b">
        <v>0</v>
      </c>
      <c r="K10" s="13" t="s">
        <v>155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ht="23.25" customHeight="1">
      <c r="A11" s="129" t="s">
        <v>170</v>
      </c>
      <c r="B11" s="130">
        <v>2324.0</v>
      </c>
      <c r="C11" s="129" t="s">
        <v>169</v>
      </c>
      <c r="D11" s="131">
        <v>2.0</v>
      </c>
      <c r="E11" s="130"/>
      <c r="F11" s="131" t="s">
        <v>165</v>
      </c>
      <c r="G11" s="130" t="s">
        <v>171</v>
      </c>
      <c r="H11" s="129" t="s">
        <v>172</v>
      </c>
      <c r="I11" s="132"/>
      <c r="J11" s="12" t="b">
        <v>0</v>
      </c>
      <c r="K11" s="13" t="s">
        <v>155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ht="23.25" customHeight="1">
      <c r="A12" s="27" t="s">
        <v>24</v>
      </c>
      <c r="B12" s="27" t="s">
        <v>173</v>
      </c>
      <c r="C12" s="28" t="s">
        <v>169</v>
      </c>
      <c r="D12" s="27">
        <v>2.0</v>
      </c>
      <c r="E12" s="27"/>
      <c r="F12" s="116" t="s">
        <v>165</v>
      </c>
      <c r="G12" s="27">
        <v>2.0</v>
      </c>
      <c r="H12" s="28" t="s">
        <v>174</v>
      </c>
      <c r="I12" s="122"/>
      <c r="J12" s="12" t="b">
        <v>0</v>
      </c>
      <c r="K12" s="13" t="s">
        <v>155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ht="23.25" customHeight="1">
      <c r="A13" s="27" t="s">
        <v>24</v>
      </c>
      <c r="B13" s="27" t="s">
        <v>25</v>
      </c>
      <c r="C13" s="28" t="s">
        <v>167</v>
      </c>
      <c r="D13" s="27">
        <v>2.0</v>
      </c>
      <c r="E13" s="27"/>
      <c r="F13" s="116" t="s">
        <v>165</v>
      </c>
      <c r="G13" s="27">
        <v>2.0</v>
      </c>
      <c r="H13" s="121"/>
      <c r="I13" s="122"/>
      <c r="J13" s="12" t="b">
        <v>0</v>
      </c>
      <c r="K13" s="13" t="s">
        <v>155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ht="23.25" customHeight="1">
      <c r="A14" s="93"/>
      <c r="B14" s="93"/>
      <c r="C14" s="93"/>
      <c r="D14" s="93">
        <f>SUM(D2:D13)</f>
        <v>24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</row>
    <row r="15" ht="23.25" customHeight="1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</row>
    <row r="16" ht="23.25" customHeight="1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ht="23.25" customHeight="1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ht="23.25" customHeight="1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</row>
    <row r="19" ht="23.25" customHeight="1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</row>
    <row r="20" ht="23.25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ht="23.2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ht="23.25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ht="23.25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ht="23.2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ht="23.2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ht="23.2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ht="23.2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ht="23.2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ht="23.2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  <row r="30" ht="23.2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</row>
    <row r="31" ht="23.2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</row>
    <row r="32" ht="23.2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ht="23.2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ht="23.2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</row>
    <row r="35" ht="23.2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</row>
    <row r="36" ht="23.2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23.2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</row>
    <row r="38" ht="23.2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</row>
    <row r="39" ht="23.2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</row>
    <row r="40" ht="23.2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ht="23.2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ht="23.2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ht="23.2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</row>
    <row r="44" ht="23.2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</row>
    <row r="45" ht="23.2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ht="23.2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ht="23.2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ht="23.2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ht="23.2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ht="23.2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ht="23.2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ht="23.2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ht="23.2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ht="23.2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ht="23.2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ht="23.2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ht="23.2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ht="23.2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ht="23.2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ht="23.2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ht="23.2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ht="23.2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ht="23.2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ht="23.2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ht="23.2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ht="23.2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ht="23.2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ht="23.2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69" ht="23.2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</row>
    <row r="70" ht="23.2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</row>
    <row r="71" ht="23.2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</row>
    <row r="72" ht="23.2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</row>
    <row r="73" ht="23.2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</row>
    <row r="74" ht="23.2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</row>
    <row r="75" ht="23.2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ht="23.2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</row>
    <row r="77" ht="23.2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</row>
    <row r="78" ht="23.2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</row>
    <row r="79" ht="23.2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</row>
    <row r="80" ht="23.2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</row>
    <row r="81" ht="23.2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ht="23.2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</row>
    <row r="83" ht="23.2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</row>
    <row r="84" ht="23.2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</row>
    <row r="85" ht="23.2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</row>
    <row r="86" ht="23.2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</row>
    <row r="87" ht="23.2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</row>
    <row r="88" ht="23.2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ht="23.2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</row>
    <row r="90" ht="23.2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</row>
    <row r="91" ht="23.2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</row>
    <row r="92" ht="23.2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</row>
    <row r="93" ht="23.2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</row>
    <row r="94" ht="23.2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</row>
    <row r="95" ht="23.2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</row>
    <row r="96" ht="23.2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</row>
    <row r="97" ht="23.2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</row>
    <row r="98" ht="23.2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</row>
    <row r="99" ht="23.2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</row>
    <row r="100" ht="23.2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</row>
    <row r="101" ht="23.2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</row>
    <row r="102" ht="23.2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</row>
    <row r="103" ht="23.2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</row>
    <row r="104" ht="23.2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</row>
    <row r="105" ht="23.2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</row>
    <row r="106" ht="23.2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</row>
    <row r="107" ht="23.2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</row>
    <row r="108" ht="23.2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</row>
    <row r="109" ht="23.2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</row>
    <row r="110" ht="23.2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</row>
    <row r="111" ht="23.2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</row>
    <row r="112" ht="23.2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</row>
    <row r="113" ht="23.2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</row>
    <row r="114" ht="23.2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</row>
    <row r="115" ht="23.2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</row>
    <row r="116" ht="23.2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</row>
    <row r="117" ht="23.2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</row>
    <row r="118" ht="23.2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</row>
    <row r="119" ht="23.2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</row>
    <row r="120" ht="23.2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</row>
    <row r="121" ht="23.2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ht="23.2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</row>
    <row r="123" ht="23.2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</row>
    <row r="124" ht="23.2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</row>
    <row r="125" ht="23.2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</row>
    <row r="126" ht="23.2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</row>
    <row r="127" ht="23.2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</row>
    <row r="128" ht="23.2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</row>
    <row r="129" ht="23.2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ht="23.2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</row>
    <row r="131" ht="23.2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</row>
    <row r="132" ht="23.2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</row>
    <row r="133" ht="23.2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</row>
    <row r="134" ht="23.2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</row>
    <row r="135" ht="23.2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</row>
    <row r="136" ht="23.2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</row>
    <row r="137" ht="23.2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</row>
    <row r="138" ht="23.2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</row>
    <row r="139" ht="23.2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</row>
    <row r="140" ht="23.2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</row>
    <row r="141" ht="23.2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</row>
    <row r="142" ht="23.2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</row>
    <row r="143" ht="23.2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</row>
    <row r="144" ht="23.2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</row>
    <row r="145" ht="23.2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</row>
    <row r="146" ht="23.2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</row>
    <row r="147" ht="23.2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</row>
    <row r="148" ht="23.2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</row>
    <row r="149" ht="23.2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</row>
    <row r="150" ht="23.2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</row>
    <row r="151" ht="23.2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</row>
    <row r="152" ht="23.2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</row>
    <row r="153" ht="23.2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</row>
    <row r="154" ht="23.2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</row>
    <row r="155" ht="23.2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</row>
    <row r="156" ht="23.2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ht="23.2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</row>
    <row r="158" ht="23.2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</row>
    <row r="159" ht="23.2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</row>
    <row r="160" ht="23.2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</row>
    <row r="161" ht="23.2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</row>
    <row r="162" ht="23.2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</row>
    <row r="163" ht="23.2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</row>
    <row r="164" ht="23.2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</row>
    <row r="165" ht="23.2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</row>
    <row r="166" ht="23.2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</row>
    <row r="167" ht="23.2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</row>
    <row r="168" ht="23.2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</row>
    <row r="169" ht="23.2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</row>
    <row r="170" ht="23.2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</row>
    <row r="171" ht="23.2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</row>
    <row r="172" ht="23.2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</row>
    <row r="173" ht="23.2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</row>
    <row r="174" ht="23.2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</row>
    <row r="175" ht="23.2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</row>
    <row r="176" ht="23.2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</row>
    <row r="177" ht="23.2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</row>
    <row r="178" ht="23.2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</row>
    <row r="179" ht="23.2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</row>
    <row r="180" ht="23.2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</row>
    <row r="181" ht="23.2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</row>
    <row r="182" ht="23.2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</row>
    <row r="183" ht="23.2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</row>
    <row r="184" ht="23.2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</row>
    <row r="185" ht="23.2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</row>
    <row r="186" ht="23.2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</row>
    <row r="187" ht="23.2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</row>
    <row r="188" ht="23.2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</row>
    <row r="189" ht="23.2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</row>
    <row r="190" ht="23.2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</row>
    <row r="191" ht="23.2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</row>
    <row r="192" ht="23.2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</row>
    <row r="193" ht="23.2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</row>
    <row r="194" ht="23.2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</row>
    <row r="195" ht="23.2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</row>
    <row r="196" ht="23.2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</row>
    <row r="197" ht="23.2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</row>
    <row r="198" ht="23.2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</row>
    <row r="199" ht="23.2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</row>
    <row r="200" ht="23.2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ht="23.2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</row>
    <row r="202" ht="23.2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</row>
    <row r="203" ht="23.2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</row>
    <row r="204" ht="23.2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</row>
    <row r="205" ht="23.2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</row>
    <row r="206" ht="23.2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</row>
    <row r="207" ht="23.2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</row>
    <row r="208" ht="23.2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</row>
    <row r="209" ht="23.2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</row>
    <row r="210" ht="23.2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</row>
    <row r="211" ht="23.2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</row>
    <row r="212" ht="23.2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</row>
    <row r="213" ht="23.2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</row>
    <row r="214" ht="23.2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</row>
    <row r="215" ht="23.2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</row>
    <row r="216" ht="23.2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</row>
    <row r="217" ht="23.2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</row>
    <row r="218" ht="23.2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</row>
    <row r="219" ht="23.2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</row>
    <row r="220" ht="23.2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</row>
    <row r="221" ht="23.2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</row>
    <row r="222" ht="23.2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</row>
    <row r="223" ht="23.2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</row>
    <row r="224" ht="23.2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</row>
    <row r="225" ht="23.2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</row>
    <row r="226" ht="23.2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</row>
    <row r="227" ht="23.2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</row>
    <row r="228" ht="23.2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</row>
    <row r="229" ht="23.2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</row>
    <row r="230" ht="23.2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</row>
    <row r="231" ht="23.2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</row>
    <row r="232" ht="23.2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</row>
    <row r="233" ht="23.2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</row>
    <row r="234" ht="23.2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</row>
    <row r="235" ht="23.2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</row>
    <row r="236" ht="23.2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</row>
    <row r="237" ht="23.2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</row>
    <row r="238" ht="23.2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</row>
    <row r="239" ht="23.2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</row>
    <row r="240" ht="23.2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</row>
    <row r="241" ht="23.2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</row>
    <row r="242" ht="23.2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</row>
    <row r="243" ht="23.2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</row>
    <row r="244" ht="23.2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</row>
    <row r="245" ht="23.2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</row>
    <row r="246" ht="23.2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</row>
    <row r="247" ht="23.2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</row>
    <row r="248" ht="23.2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</row>
    <row r="249" ht="23.2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</row>
    <row r="250" ht="23.2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</row>
    <row r="251" ht="23.2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</row>
    <row r="252" ht="23.2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</row>
    <row r="253" ht="23.2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</row>
    <row r="254" ht="23.2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</row>
    <row r="255" ht="23.2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</row>
    <row r="256" ht="23.2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</row>
    <row r="257" ht="23.2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</row>
    <row r="258" ht="23.2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</row>
    <row r="259" ht="23.2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</row>
    <row r="260" ht="23.2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</row>
    <row r="261" ht="23.2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</row>
    <row r="262" ht="23.2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</row>
    <row r="263" ht="23.2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</row>
    <row r="264" ht="23.2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</row>
    <row r="265" ht="23.2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</row>
    <row r="266" ht="23.2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</row>
    <row r="267" ht="23.2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</row>
    <row r="268" ht="23.2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ht="23.2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</row>
    <row r="270" ht="23.2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</row>
    <row r="271" ht="23.2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</row>
    <row r="272" ht="23.2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</row>
    <row r="273" ht="23.2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</row>
    <row r="274" ht="23.2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</row>
    <row r="275" ht="23.2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</row>
    <row r="276" ht="23.2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</row>
    <row r="277" ht="23.2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</row>
    <row r="278" ht="23.2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</row>
    <row r="279" ht="23.2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</row>
    <row r="280" ht="23.2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</row>
    <row r="281" ht="23.2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</row>
    <row r="282" ht="23.2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</row>
    <row r="283" ht="23.2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</row>
    <row r="284" ht="23.2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</row>
    <row r="285" ht="23.2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</row>
    <row r="286" ht="23.2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</row>
    <row r="287" ht="23.2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</row>
    <row r="288" ht="23.2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</row>
    <row r="289" ht="23.2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</row>
    <row r="290" ht="23.2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</row>
    <row r="291" ht="23.2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</row>
    <row r="292" ht="23.2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</row>
    <row r="293" ht="23.2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</row>
    <row r="294" ht="23.2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</row>
    <row r="295" ht="23.2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</row>
    <row r="296" ht="23.2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</row>
    <row r="297" ht="23.2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</row>
    <row r="298" ht="23.2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</row>
    <row r="299" ht="23.2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</row>
    <row r="300" ht="23.2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</row>
    <row r="301" ht="23.2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</row>
    <row r="302" ht="23.2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</row>
    <row r="303" ht="23.2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</row>
    <row r="304" ht="23.2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</row>
    <row r="305" ht="23.2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</row>
    <row r="306" ht="23.2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</row>
    <row r="307" ht="23.2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</row>
    <row r="308" ht="23.2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</row>
    <row r="309" ht="23.2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</row>
    <row r="310" ht="23.2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</row>
    <row r="311" ht="23.2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</row>
    <row r="312" ht="23.2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</row>
    <row r="313" ht="23.2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</row>
    <row r="314" ht="23.2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</row>
    <row r="315" ht="23.2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</row>
    <row r="316" ht="23.2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</row>
    <row r="317" ht="23.2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</row>
    <row r="318" ht="23.2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</row>
    <row r="319" ht="23.2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</row>
    <row r="320" ht="23.2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</row>
    <row r="321" ht="23.2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</row>
    <row r="322" ht="23.2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</row>
    <row r="323" ht="23.2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</row>
    <row r="324" ht="23.2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</row>
    <row r="325" ht="23.2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</row>
    <row r="326" ht="23.2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ht="23.2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</row>
    <row r="328" ht="23.2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</row>
    <row r="329" ht="23.2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</row>
    <row r="330" ht="23.2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</row>
    <row r="331" ht="23.2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</row>
    <row r="332" ht="23.2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</row>
    <row r="333" ht="23.2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</row>
    <row r="334" ht="23.2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</row>
    <row r="335" ht="23.2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</row>
    <row r="336" ht="23.2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</row>
    <row r="337" ht="23.2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</row>
    <row r="338" ht="23.2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</row>
    <row r="339" ht="23.2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</row>
    <row r="340" ht="23.2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</row>
    <row r="341" ht="23.2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</row>
    <row r="342" ht="23.2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</row>
    <row r="343" ht="23.2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</row>
    <row r="344" ht="23.2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</row>
    <row r="345" ht="23.2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</row>
    <row r="346" ht="23.2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</row>
    <row r="347" ht="23.2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</row>
    <row r="348" ht="23.2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</row>
    <row r="349" ht="23.2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</row>
    <row r="350" ht="23.2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</row>
    <row r="351" ht="23.2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</row>
    <row r="352" ht="23.2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</row>
    <row r="353" ht="23.2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</row>
    <row r="354" ht="23.2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ht="23.2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</row>
    <row r="356" ht="23.2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</row>
    <row r="357" ht="23.2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</row>
    <row r="358" ht="23.2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</row>
    <row r="359" ht="23.2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</row>
    <row r="360" ht="23.2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</row>
    <row r="361" ht="23.2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</row>
    <row r="362" ht="23.2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</row>
    <row r="363" ht="23.2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</row>
    <row r="364" ht="23.2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</row>
    <row r="365" ht="23.2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</row>
    <row r="366" ht="23.2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</row>
    <row r="367" ht="23.2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</row>
    <row r="368" ht="23.2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</row>
    <row r="369" ht="23.2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</row>
    <row r="370" ht="23.2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</row>
    <row r="371" ht="23.2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</row>
    <row r="372" ht="23.2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</row>
    <row r="373" ht="23.2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</row>
    <row r="374" ht="23.2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</row>
    <row r="375" ht="23.2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</row>
    <row r="376" ht="23.2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</row>
    <row r="377" ht="23.2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</row>
    <row r="378" ht="23.2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</row>
    <row r="379" ht="23.2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</row>
    <row r="380" ht="23.2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</row>
    <row r="381" ht="23.2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</row>
    <row r="382" ht="23.2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</row>
    <row r="383" ht="23.2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</row>
    <row r="384" ht="23.2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</row>
    <row r="385" ht="23.2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</row>
    <row r="386" ht="23.2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</row>
    <row r="387" ht="23.2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</row>
    <row r="388" ht="23.2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</row>
    <row r="389" ht="23.2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</row>
    <row r="390" ht="23.2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</row>
    <row r="391" ht="23.2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</row>
    <row r="392" ht="23.2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</row>
    <row r="393" ht="23.2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</row>
    <row r="394" ht="23.2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</row>
    <row r="395" ht="23.2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</row>
    <row r="396" ht="23.2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</row>
    <row r="397" ht="23.2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</row>
    <row r="398" ht="23.2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</row>
    <row r="399" ht="23.2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</row>
    <row r="400" ht="23.2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</row>
    <row r="401" ht="23.2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</row>
    <row r="402" ht="23.2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</row>
    <row r="403" ht="23.2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</row>
    <row r="404" ht="23.2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</row>
    <row r="405" ht="23.2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</row>
    <row r="406" ht="23.2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</row>
    <row r="407" ht="23.2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</row>
    <row r="408" ht="23.2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</row>
    <row r="409" ht="23.2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</row>
    <row r="410" ht="23.2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</row>
    <row r="411" ht="23.2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</row>
    <row r="412" ht="23.2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</row>
    <row r="413" ht="23.2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</row>
    <row r="414" ht="23.2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</row>
    <row r="415" ht="23.2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</row>
    <row r="416" ht="23.2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</row>
    <row r="417" ht="23.2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</row>
    <row r="418" ht="23.2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</row>
    <row r="419" ht="23.2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</row>
    <row r="420" ht="23.2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</row>
    <row r="421" ht="23.2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</row>
    <row r="422" ht="23.2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</row>
    <row r="423" ht="23.2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</row>
    <row r="424" ht="23.2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</row>
    <row r="425" ht="23.2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</row>
    <row r="426" ht="23.2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</row>
    <row r="427" ht="23.2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</row>
    <row r="428" ht="23.2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</row>
    <row r="429" ht="23.2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</row>
    <row r="430" ht="23.2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</row>
    <row r="431" ht="23.2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</row>
    <row r="432" ht="23.2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</row>
    <row r="433" ht="23.2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</row>
    <row r="434" ht="23.2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</row>
    <row r="435" ht="23.2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</row>
    <row r="436" ht="23.2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</row>
    <row r="437" ht="23.2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</row>
    <row r="438" ht="23.2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</row>
    <row r="439" ht="23.2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</row>
    <row r="440" ht="23.2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</row>
    <row r="441" ht="23.2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</row>
    <row r="442" ht="23.2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</row>
    <row r="443" ht="23.2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</row>
    <row r="444" ht="23.2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</row>
    <row r="445" ht="23.2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</row>
    <row r="446" ht="23.2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</row>
    <row r="447" ht="23.2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</row>
    <row r="448" ht="23.2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</row>
    <row r="449" ht="23.2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</row>
    <row r="450" ht="23.2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</row>
    <row r="451" ht="23.2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</row>
    <row r="452" ht="23.2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</row>
    <row r="453" ht="23.2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</row>
    <row r="454" ht="23.2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</row>
    <row r="455" ht="23.2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</row>
    <row r="456" ht="23.2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</row>
    <row r="457" ht="23.2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</row>
    <row r="458" ht="23.2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</row>
    <row r="459" ht="23.2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</row>
    <row r="460" ht="23.2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</row>
    <row r="461" ht="23.2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</row>
    <row r="462" ht="23.2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</row>
    <row r="463" ht="23.2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</row>
    <row r="464" ht="23.2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</row>
    <row r="465" ht="23.2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</row>
    <row r="466" ht="23.2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</row>
    <row r="467" ht="23.2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</row>
    <row r="468" ht="23.2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</row>
    <row r="469" ht="23.2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</row>
    <row r="470" ht="23.2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</row>
    <row r="471" ht="23.2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</row>
    <row r="472" ht="23.2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</row>
    <row r="473" ht="23.2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</row>
    <row r="474" ht="23.2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</row>
    <row r="475" ht="23.2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</row>
    <row r="476" ht="23.2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</row>
    <row r="477" ht="23.2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</row>
    <row r="478" ht="23.2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</row>
    <row r="479" ht="23.2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</row>
    <row r="480" ht="23.2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</row>
    <row r="481" ht="23.2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</row>
    <row r="482" ht="23.2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</row>
    <row r="483" ht="23.2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</row>
    <row r="484" ht="23.2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</row>
    <row r="485" ht="23.2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</row>
    <row r="486" ht="23.2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</row>
    <row r="487" ht="23.2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</row>
    <row r="488" ht="23.2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</row>
    <row r="489" ht="23.2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</row>
    <row r="490" ht="23.2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</row>
    <row r="491" ht="23.2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</row>
    <row r="492" ht="23.2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</row>
    <row r="493" ht="23.2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</row>
    <row r="494" ht="23.2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</row>
    <row r="495" ht="23.2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</row>
    <row r="496" ht="23.2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</row>
    <row r="497" ht="23.2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</row>
    <row r="498" ht="23.2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</row>
    <row r="499" ht="23.2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</row>
    <row r="500" ht="23.2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</row>
    <row r="501" ht="23.2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</row>
    <row r="502" ht="23.2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</row>
    <row r="503" ht="23.2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</row>
    <row r="504" ht="23.2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</row>
    <row r="505" ht="23.2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</row>
    <row r="506" ht="23.2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</row>
    <row r="507" ht="23.2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</row>
    <row r="508" ht="23.2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</row>
    <row r="509" ht="23.2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</row>
    <row r="510" ht="23.2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</row>
    <row r="511" ht="23.2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</row>
    <row r="512" ht="23.2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ht="23.2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</row>
    <row r="514" ht="23.2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</row>
    <row r="515" ht="23.2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</row>
    <row r="516" ht="23.2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</row>
    <row r="517" ht="23.2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</row>
    <row r="518" ht="23.2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</row>
    <row r="519" ht="23.2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</row>
    <row r="520" ht="23.2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</row>
    <row r="521" ht="23.2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</row>
    <row r="522" ht="23.2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</row>
    <row r="523" ht="23.2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</row>
    <row r="524" ht="23.2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</row>
    <row r="525" ht="23.2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</row>
    <row r="526" ht="23.2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</row>
    <row r="527" ht="23.2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</row>
    <row r="528" ht="23.2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</row>
    <row r="529" ht="23.2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</row>
    <row r="530" ht="23.2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</row>
    <row r="531" ht="23.2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</row>
    <row r="532" ht="23.2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</row>
    <row r="533" ht="23.2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</row>
    <row r="534" ht="23.2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</row>
    <row r="535" ht="23.2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</row>
    <row r="536" ht="23.2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</row>
    <row r="537" ht="23.2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</row>
    <row r="538" ht="23.2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</row>
    <row r="539" ht="23.2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</row>
    <row r="540" ht="23.2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</row>
    <row r="541" ht="23.2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</row>
    <row r="542" ht="23.2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</row>
    <row r="543" ht="23.2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</row>
    <row r="544" ht="23.2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</row>
    <row r="545" ht="23.2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</row>
    <row r="546" ht="23.2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</row>
    <row r="547" ht="23.2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</row>
    <row r="548" ht="23.2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</row>
    <row r="549" ht="23.2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</row>
    <row r="550" ht="23.2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</row>
    <row r="551" ht="23.2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</row>
    <row r="552" ht="23.2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</row>
    <row r="553" ht="23.2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</row>
    <row r="554" ht="23.2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</row>
    <row r="555" ht="23.2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</row>
    <row r="556" ht="23.2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</row>
    <row r="557" ht="23.2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</row>
    <row r="558" ht="23.2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</row>
    <row r="559" ht="23.2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</row>
    <row r="560" ht="23.2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</row>
    <row r="561" ht="23.2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</row>
    <row r="562" ht="23.2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</row>
    <row r="563" ht="23.2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</row>
    <row r="564" ht="23.2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</row>
    <row r="565" ht="23.2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</row>
    <row r="566" ht="23.2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</row>
    <row r="567" ht="23.2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</row>
    <row r="568" ht="23.2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</row>
    <row r="569" ht="23.2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</row>
    <row r="570" ht="23.2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</row>
    <row r="571" ht="23.2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</row>
    <row r="572" ht="23.2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</row>
    <row r="573" ht="23.2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</row>
    <row r="574" ht="23.2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</row>
    <row r="575" ht="23.2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</row>
    <row r="576" ht="23.2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</row>
    <row r="577" ht="23.2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</row>
    <row r="578" ht="23.2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</row>
    <row r="579" ht="23.2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</row>
    <row r="580" ht="23.2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</row>
    <row r="581" ht="23.2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</row>
    <row r="582" ht="23.2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</row>
    <row r="583" ht="23.2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</row>
    <row r="584" ht="23.2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</row>
    <row r="585" ht="23.2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</row>
    <row r="586" ht="23.2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</row>
    <row r="587" ht="23.2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</row>
    <row r="588" ht="23.2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</row>
    <row r="589" ht="23.2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</row>
    <row r="590" ht="23.2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</row>
    <row r="591" ht="23.2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</row>
    <row r="592" ht="23.2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</row>
    <row r="593" ht="23.2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</row>
    <row r="594" ht="23.2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</row>
    <row r="595" ht="23.2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</row>
    <row r="596" ht="23.2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</row>
    <row r="597" ht="23.2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</row>
    <row r="598" ht="23.2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</row>
    <row r="599" ht="23.2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</row>
    <row r="600" ht="23.2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</row>
    <row r="601" ht="23.2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</row>
    <row r="602" ht="23.2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</row>
    <row r="603" ht="23.2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</row>
    <row r="604" ht="23.2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</row>
    <row r="605" ht="23.2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</row>
    <row r="606" ht="23.2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</row>
    <row r="607" ht="23.2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</row>
    <row r="608" ht="23.2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</row>
    <row r="609" ht="23.2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</row>
    <row r="610" ht="23.2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</row>
    <row r="611" ht="23.2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</row>
    <row r="612" ht="23.2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</row>
    <row r="613" ht="23.2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</row>
    <row r="614" ht="23.2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</row>
    <row r="615" ht="23.2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</row>
    <row r="616" ht="23.2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</row>
    <row r="617" ht="23.2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</row>
    <row r="618" ht="23.2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</row>
    <row r="619" ht="23.2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</row>
    <row r="620" ht="23.2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</row>
    <row r="621" ht="23.2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</row>
    <row r="622" ht="23.2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</row>
    <row r="623" ht="23.2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</row>
    <row r="624" ht="23.2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</row>
    <row r="625" ht="23.2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</row>
    <row r="626" ht="23.2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</row>
    <row r="627" ht="23.2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</row>
    <row r="628" ht="23.2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</row>
    <row r="629" ht="23.2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</row>
    <row r="630" ht="23.2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</row>
    <row r="631" ht="23.2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</row>
    <row r="632" ht="23.2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</row>
    <row r="633" ht="23.2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</row>
    <row r="634" ht="23.2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</row>
    <row r="635" ht="23.2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</row>
    <row r="636" ht="23.2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</row>
    <row r="637" ht="23.2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</row>
    <row r="638" ht="23.2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</row>
    <row r="639" ht="23.2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</row>
    <row r="640" ht="23.2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</row>
    <row r="641" ht="23.2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</row>
    <row r="642" ht="23.2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</row>
    <row r="643" ht="23.2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</row>
    <row r="644" ht="23.2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</row>
    <row r="645" ht="23.2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</row>
    <row r="646" ht="23.2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</row>
    <row r="647" ht="23.2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</row>
    <row r="648" ht="23.2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</row>
    <row r="649" ht="23.2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</row>
    <row r="650" ht="23.2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</row>
    <row r="651" ht="23.2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</row>
    <row r="652" ht="23.2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</row>
    <row r="653" ht="23.2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</row>
    <row r="654" ht="23.2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</row>
    <row r="655" ht="23.2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</row>
    <row r="656" ht="23.2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</row>
    <row r="657" ht="23.2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</row>
    <row r="658" ht="23.2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</row>
    <row r="659" ht="23.2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</row>
    <row r="660" ht="23.2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</row>
    <row r="661" ht="23.2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</row>
    <row r="662" ht="23.2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</row>
    <row r="663" ht="23.2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</row>
    <row r="664" ht="23.2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</row>
    <row r="665" ht="23.2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</row>
    <row r="666" ht="23.2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</row>
    <row r="667" ht="23.2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</row>
    <row r="668" ht="23.2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</row>
    <row r="669" ht="23.2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</row>
    <row r="670" ht="23.2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</row>
    <row r="671" ht="23.2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</row>
    <row r="672" ht="23.2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</row>
    <row r="673" ht="23.2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</row>
    <row r="674" ht="23.2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</row>
    <row r="675" ht="23.2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</row>
    <row r="676" ht="23.2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</row>
    <row r="677" ht="23.2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</row>
    <row r="678" ht="23.2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</row>
    <row r="679" ht="23.2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</row>
    <row r="680" ht="23.2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</row>
    <row r="681" ht="23.2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</row>
    <row r="682" ht="23.2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</row>
    <row r="683" ht="23.2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</row>
    <row r="684" ht="23.2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</row>
    <row r="685" ht="23.2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</row>
    <row r="686" ht="23.2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</row>
    <row r="687" ht="23.2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</row>
    <row r="688" ht="23.2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</row>
    <row r="689" ht="23.2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</row>
    <row r="690" ht="23.2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</row>
    <row r="691" ht="23.2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</row>
    <row r="692" ht="23.2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</row>
    <row r="693" ht="23.2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</row>
    <row r="694" ht="23.2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</row>
    <row r="695" ht="23.2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</row>
    <row r="696" ht="23.2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</row>
    <row r="697" ht="23.2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</row>
    <row r="698" ht="23.2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</row>
    <row r="699" ht="23.2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</row>
    <row r="700" ht="23.2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</row>
    <row r="701" ht="23.2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</row>
    <row r="702" ht="23.2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</row>
    <row r="703" ht="23.2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</row>
    <row r="704" ht="23.2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</row>
    <row r="705" ht="23.2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</row>
    <row r="706" ht="23.2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</row>
    <row r="707" ht="23.2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</row>
    <row r="708" ht="23.2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</row>
    <row r="709" ht="23.2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</row>
    <row r="710" ht="23.2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</row>
    <row r="711" ht="23.2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</row>
    <row r="712" ht="23.2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</row>
    <row r="713" ht="23.2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</row>
    <row r="714" ht="23.2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</row>
    <row r="715" ht="23.2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</row>
    <row r="716" ht="23.2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</row>
    <row r="717" ht="23.2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</row>
    <row r="718" ht="23.2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</row>
    <row r="719" ht="23.2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</row>
    <row r="720" ht="23.2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</row>
    <row r="721" ht="23.2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</row>
    <row r="722" ht="23.2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</row>
    <row r="723" ht="23.2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</row>
    <row r="724" ht="23.2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</row>
    <row r="725" ht="23.2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</row>
    <row r="726" ht="23.2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</row>
    <row r="727" ht="23.2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</row>
    <row r="728" ht="23.2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</row>
    <row r="729" ht="23.2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</row>
    <row r="730" ht="23.2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</row>
    <row r="731" ht="23.2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</row>
    <row r="732" ht="23.2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</row>
    <row r="733" ht="23.2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</row>
    <row r="734" ht="23.2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</row>
    <row r="735" ht="23.2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</row>
    <row r="736" ht="23.2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</row>
    <row r="737" ht="23.2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</row>
    <row r="738" ht="23.2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</row>
    <row r="739" ht="23.2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</row>
    <row r="740" ht="23.2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</row>
    <row r="741" ht="23.2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</row>
    <row r="742" ht="23.2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</row>
    <row r="743" ht="23.2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</row>
    <row r="744" ht="23.2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</row>
    <row r="745" ht="23.2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</row>
    <row r="746" ht="23.2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</row>
    <row r="747" ht="23.2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</row>
    <row r="748" ht="23.2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</row>
    <row r="749" ht="23.2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</row>
    <row r="750" ht="23.2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</row>
    <row r="751" ht="23.2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</row>
    <row r="752" ht="23.2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</row>
    <row r="753" ht="23.2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</row>
    <row r="754" ht="23.2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</row>
    <row r="755" ht="23.2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</row>
    <row r="756" ht="23.2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</row>
    <row r="757" ht="23.2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</row>
    <row r="758" ht="23.2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</row>
    <row r="759" ht="23.2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</row>
    <row r="760" ht="23.2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</row>
    <row r="761" ht="23.2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</row>
    <row r="762" ht="23.2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</row>
    <row r="763" ht="23.2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</row>
    <row r="764" ht="23.2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</row>
    <row r="765" ht="23.2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</row>
    <row r="766" ht="23.2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</row>
    <row r="767" ht="23.2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</row>
    <row r="768" ht="23.2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</row>
    <row r="769" ht="23.2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</row>
    <row r="770" ht="23.2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</row>
    <row r="771" ht="23.2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</row>
    <row r="772" ht="23.2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</row>
    <row r="773" ht="23.2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</row>
    <row r="774" ht="23.2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</row>
    <row r="775" ht="23.2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</row>
    <row r="776" ht="23.2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</row>
    <row r="777" ht="23.2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</row>
    <row r="778" ht="23.2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</row>
    <row r="779" ht="23.2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</row>
    <row r="780" ht="23.2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</row>
    <row r="781" ht="23.2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</row>
    <row r="782" ht="23.2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</row>
    <row r="783" ht="23.2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</row>
    <row r="784" ht="23.2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</row>
    <row r="785" ht="23.2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</row>
    <row r="786" ht="23.2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</row>
    <row r="787" ht="23.2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</row>
    <row r="788" ht="23.2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</row>
    <row r="789" ht="23.2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</row>
    <row r="790" ht="23.2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</row>
    <row r="791" ht="23.2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</row>
    <row r="792" ht="23.2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</row>
    <row r="793" ht="23.2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</row>
    <row r="794" ht="23.2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</row>
    <row r="795" ht="23.2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</row>
    <row r="796" ht="23.2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</row>
    <row r="797" ht="23.2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</row>
    <row r="798" ht="23.2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</row>
    <row r="799" ht="23.2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</row>
    <row r="800" ht="23.2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</row>
    <row r="801" ht="23.2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</row>
    <row r="802" ht="23.2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</row>
    <row r="803" ht="23.2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</row>
    <row r="804" ht="23.2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</row>
    <row r="805" ht="23.2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</row>
    <row r="806" ht="23.2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</row>
    <row r="807" ht="23.2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</row>
    <row r="808" ht="23.2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</row>
    <row r="809" ht="23.2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</row>
    <row r="810" ht="23.2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</row>
    <row r="811" ht="23.2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</row>
    <row r="812" ht="23.2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</row>
    <row r="813" ht="23.2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</row>
    <row r="814" ht="23.2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</row>
    <row r="815" ht="23.2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</row>
    <row r="816" ht="23.2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</row>
    <row r="817" ht="23.2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</row>
    <row r="818" ht="23.2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</row>
    <row r="819" ht="23.2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</row>
    <row r="820" ht="23.2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</row>
    <row r="821" ht="23.2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</row>
    <row r="822" ht="23.2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</row>
    <row r="823" ht="23.2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</row>
    <row r="824" ht="23.2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</row>
    <row r="825" ht="23.2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</row>
    <row r="826" ht="23.2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</row>
    <row r="827" ht="23.2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</row>
    <row r="828" ht="23.2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</row>
    <row r="829" ht="23.2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</row>
    <row r="830" ht="23.2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</row>
    <row r="831" ht="23.2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</row>
    <row r="832" ht="23.2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</row>
    <row r="833" ht="23.2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</row>
    <row r="834" ht="23.2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</row>
    <row r="835" ht="23.2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</row>
    <row r="836" ht="23.2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</row>
    <row r="837" ht="23.2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</row>
    <row r="838" ht="23.2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</row>
    <row r="839" ht="23.2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</row>
    <row r="840" ht="23.2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</row>
    <row r="841" ht="23.2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</row>
    <row r="842" ht="23.2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</row>
    <row r="843" ht="23.2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</row>
    <row r="844" ht="23.2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</row>
    <row r="845" ht="23.2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</row>
    <row r="846" ht="23.2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</row>
    <row r="847" ht="23.2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</row>
    <row r="848" ht="23.2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</row>
    <row r="849" ht="23.2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</row>
    <row r="850" ht="23.2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</row>
    <row r="851" ht="23.2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</row>
    <row r="852" ht="23.2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</row>
    <row r="853" ht="23.2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</row>
    <row r="854" ht="23.2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</row>
    <row r="855" ht="23.2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</row>
    <row r="856" ht="23.2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</row>
    <row r="857" ht="23.2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</row>
    <row r="858" ht="23.2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</row>
    <row r="859" ht="23.2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</row>
    <row r="860" ht="23.2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</row>
    <row r="861" ht="23.2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</row>
    <row r="862" ht="23.2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</row>
    <row r="863" ht="23.2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</row>
    <row r="864" ht="23.2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</row>
    <row r="865" ht="23.2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</row>
    <row r="866" ht="23.2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</row>
    <row r="867" ht="23.2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</row>
    <row r="868" ht="23.2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</row>
    <row r="869" ht="23.2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</row>
    <row r="870" ht="23.2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</row>
    <row r="871" ht="23.2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</row>
    <row r="872" ht="23.2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</row>
    <row r="873" ht="23.2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</row>
    <row r="874" ht="23.2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</row>
    <row r="875" ht="23.2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</row>
    <row r="876" ht="23.2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</row>
    <row r="877" ht="23.2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</row>
    <row r="878" ht="23.2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</row>
    <row r="879" ht="23.2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</row>
    <row r="880" ht="23.2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</row>
    <row r="881" ht="23.2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</row>
    <row r="882" ht="23.2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</row>
    <row r="883" ht="23.2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</row>
    <row r="884" ht="23.2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</row>
    <row r="885" ht="23.2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</row>
    <row r="886" ht="23.2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</row>
    <row r="887" ht="23.2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</row>
    <row r="888" ht="23.2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</row>
    <row r="889" ht="23.2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</row>
    <row r="890" ht="23.2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</row>
    <row r="891" ht="23.2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</row>
    <row r="892" ht="23.2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</row>
    <row r="893" ht="23.2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</row>
    <row r="894" ht="23.2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</row>
    <row r="895" ht="23.2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</row>
    <row r="896" ht="23.2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</row>
    <row r="897" ht="23.2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</row>
    <row r="898" ht="23.2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</row>
    <row r="899" ht="23.2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</row>
    <row r="900" ht="23.2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</row>
    <row r="901" ht="23.2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</row>
    <row r="902" ht="23.2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</row>
    <row r="903" ht="23.2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</row>
    <row r="904" ht="23.2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</row>
    <row r="905" ht="23.2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</row>
    <row r="906" ht="23.2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</row>
    <row r="907" ht="23.2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</row>
    <row r="908" ht="23.2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</row>
    <row r="909" ht="23.2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</row>
    <row r="910" ht="23.2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</row>
    <row r="911" ht="23.2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</row>
    <row r="912" ht="23.2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</row>
    <row r="913" ht="23.2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</row>
    <row r="914" ht="23.2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</row>
    <row r="915" ht="23.2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</row>
    <row r="916" ht="23.2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</row>
    <row r="917" ht="23.2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</row>
    <row r="918" ht="23.2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</row>
    <row r="919" ht="23.2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</row>
    <row r="920" ht="23.2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</row>
    <row r="921" ht="23.2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</row>
    <row r="922" ht="23.2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</row>
    <row r="923" ht="23.2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</row>
    <row r="924" ht="23.2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</row>
  </sheetData>
  <autoFilter ref="$A$1:$V$14">
    <sortState ref="A1:V14">
      <sortCondition ref="B1:B14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2" max="2" width="9.71"/>
    <col customWidth="1" min="3" max="3" width="28.57"/>
    <col customWidth="1" min="4" max="4" width="15.14"/>
    <col customWidth="1" min="5" max="5" width="14.57"/>
    <col customWidth="1" min="6" max="6" width="12.29"/>
    <col customWidth="1" min="7" max="7" width="17.71"/>
    <col customWidth="1" min="8" max="9" width="31.86"/>
    <col customWidth="1" min="10" max="22" width="30.43"/>
  </cols>
  <sheetData>
    <row r="1" ht="24.75" customHeight="1">
      <c r="A1" s="1" t="s">
        <v>0</v>
      </c>
      <c r="B1" s="1" t="s">
        <v>1</v>
      </c>
      <c r="C1" s="1" t="s">
        <v>2</v>
      </c>
      <c r="D1" s="110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ht="24.75" customHeight="1">
      <c r="A2" s="27" t="s">
        <v>24</v>
      </c>
      <c r="B2" s="27">
        <v>1025.0</v>
      </c>
      <c r="C2" s="28" t="s">
        <v>175</v>
      </c>
      <c r="D2" s="27">
        <v>2.0</v>
      </c>
      <c r="E2" s="116" t="s">
        <v>176</v>
      </c>
      <c r="F2" s="27" t="s">
        <v>177</v>
      </c>
      <c r="G2" s="27">
        <v>4.0</v>
      </c>
      <c r="H2" s="122"/>
      <c r="I2" s="122"/>
      <c r="J2" s="12" t="b">
        <v>0</v>
      </c>
      <c r="K2" s="13" t="s">
        <v>16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4.75" customHeight="1">
      <c r="A3" s="27" t="s">
        <v>24</v>
      </c>
      <c r="B3" s="27">
        <v>1026.0</v>
      </c>
      <c r="C3" s="28" t="s">
        <v>178</v>
      </c>
      <c r="D3" s="27">
        <v>2.0</v>
      </c>
      <c r="E3" s="116" t="s">
        <v>176</v>
      </c>
      <c r="F3" s="27" t="s">
        <v>177</v>
      </c>
      <c r="G3" s="27">
        <v>2.0</v>
      </c>
      <c r="H3" s="28" t="s">
        <v>160</v>
      </c>
      <c r="I3" s="122"/>
      <c r="J3" s="12" t="b">
        <v>0</v>
      </c>
      <c r="K3" s="13" t="s">
        <v>16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4.75" customHeight="1">
      <c r="A4" s="20" t="s">
        <v>168</v>
      </c>
      <c r="B4" s="20">
        <v>1125.0</v>
      </c>
      <c r="C4" s="123" t="s">
        <v>179</v>
      </c>
      <c r="D4" s="20">
        <v>2.0</v>
      </c>
      <c r="E4" s="54" t="s">
        <v>176</v>
      </c>
      <c r="F4" s="20" t="s">
        <v>177</v>
      </c>
      <c r="G4" s="20">
        <v>3.0</v>
      </c>
      <c r="H4" s="124" t="s">
        <v>23</v>
      </c>
      <c r="I4" s="125"/>
      <c r="J4" s="12" t="b">
        <v>0</v>
      </c>
      <c r="K4" s="13" t="s">
        <v>16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4.75" customHeight="1">
      <c r="A5" s="113" t="s">
        <v>156</v>
      </c>
      <c r="B5" s="113">
        <v>2024.0</v>
      </c>
      <c r="C5" s="126" t="s">
        <v>180</v>
      </c>
      <c r="D5" s="113">
        <v>1.0</v>
      </c>
      <c r="E5" s="114" t="s">
        <v>176</v>
      </c>
      <c r="F5" s="113" t="s">
        <v>177</v>
      </c>
      <c r="G5" s="113">
        <v>6.0</v>
      </c>
      <c r="H5" s="128"/>
      <c r="I5" s="128"/>
      <c r="J5" s="12" t="b">
        <v>0</v>
      </c>
      <c r="K5" s="13" t="s">
        <v>16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4.75" customHeight="1">
      <c r="A6" s="113" t="s">
        <v>156</v>
      </c>
      <c r="B6" s="113">
        <v>2025.0</v>
      </c>
      <c r="C6" s="126" t="s">
        <v>175</v>
      </c>
      <c r="D6" s="113">
        <v>2.0</v>
      </c>
      <c r="E6" s="114" t="s">
        <v>176</v>
      </c>
      <c r="F6" s="113" t="s">
        <v>177</v>
      </c>
      <c r="G6" s="113">
        <v>4.0</v>
      </c>
      <c r="H6" s="128"/>
      <c r="I6" s="128"/>
      <c r="J6" s="12" t="b">
        <v>0</v>
      </c>
      <c r="K6" s="13" t="s">
        <v>16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4.75" customHeight="1">
      <c r="A7" s="14" t="s">
        <v>17</v>
      </c>
      <c r="B7" s="14">
        <v>2223.0</v>
      </c>
      <c r="C7" s="19" t="s">
        <v>181</v>
      </c>
      <c r="D7" s="14">
        <v>2.0</v>
      </c>
      <c r="E7" s="111" t="s">
        <v>176</v>
      </c>
      <c r="F7" s="14" t="s">
        <v>177</v>
      </c>
      <c r="G7" s="14">
        <v>8.0</v>
      </c>
      <c r="H7" s="19" t="s">
        <v>182</v>
      </c>
      <c r="I7" s="133"/>
      <c r="J7" s="12" t="b">
        <v>0</v>
      </c>
      <c r="K7" s="13" t="s">
        <v>16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4.75" customHeight="1">
      <c r="A8" s="50"/>
      <c r="B8" s="93"/>
      <c r="C8" s="93"/>
      <c r="D8" s="93"/>
      <c r="E8" s="93"/>
      <c r="F8" s="93"/>
      <c r="G8" s="93"/>
      <c r="H8" s="93"/>
      <c r="I8" s="93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</row>
    <row r="9" ht="24.75" customHeight="1">
      <c r="A9" s="50"/>
      <c r="B9" s="93"/>
      <c r="C9" s="93"/>
      <c r="D9" s="93"/>
      <c r="E9" s="93"/>
      <c r="F9" s="93"/>
      <c r="G9" s="93"/>
      <c r="H9" s="93"/>
      <c r="I9" s="9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 ht="24.75" customHeight="1">
      <c r="A10" s="50"/>
      <c r="B10" s="93"/>
      <c r="C10" s="93"/>
      <c r="D10" s="93"/>
      <c r="E10" s="93"/>
      <c r="F10" s="93"/>
      <c r="G10" s="93"/>
      <c r="H10" s="93"/>
      <c r="I10" s="9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ht="24.75" customHeight="1">
      <c r="A11" s="50"/>
      <c r="B11" s="93"/>
      <c r="C11" s="93"/>
      <c r="D11" s="93"/>
      <c r="E11" s="93"/>
      <c r="F11" s="93"/>
      <c r="G11" s="93"/>
      <c r="H11" s="93"/>
      <c r="I11" s="93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 ht="24.75" customHeight="1">
      <c r="A12" s="50"/>
      <c r="B12" s="93"/>
      <c r="C12" s="93"/>
      <c r="D12" s="93"/>
      <c r="E12" s="93"/>
      <c r="F12" s="93"/>
      <c r="G12" s="93"/>
      <c r="H12" s="93"/>
      <c r="I12" s="9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ht="24.75" customHeight="1">
      <c r="A13" s="50"/>
      <c r="B13" s="93"/>
      <c r="C13" s="93"/>
      <c r="D13" s="93"/>
      <c r="E13" s="93"/>
      <c r="F13" s="93"/>
      <c r="G13" s="93"/>
      <c r="H13" s="93"/>
      <c r="I13" s="93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ht="24.75" customHeight="1">
      <c r="A14" s="50"/>
      <c r="B14" s="93"/>
      <c r="C14" s="93"/>
      <c r="D14" s="93"/>
      <c r="E14" s="93"/>
      <c r="F14" s="93"/>
      <c r="G14" s="93"/>
      <c r="H14" s="93"/>
      <c r="I14" s="9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 ht="24.75" customHeight="1">
      <c r="A15" s="50"/>
      <c r="B15" s="93"/>
      <c r="C15" s="93"/>
      <c r="D15" s="93"/>
      <c r="E15" s="93"/>
      <c r="F15" s="93"/>
      <c r="G15" s="93"/>
      <c r="H15" s="93"/>
      <c r="I15" s="93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</row>
    <row r="16" ht="24.75" customHeight="1">
      <c r="A16" s="50"/>
      <c r="B16" s="93"/>
      <c r="C16" s="93"/>
      <c r="D16" s="93"/>
      <c r="E16" s="93"/>
      <c r="F16" s="93"/>
      <c r="G16" s="93"/>
      <c r="H16" s="93"/>
      <c r="I16" s="9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</row>
    <row r="17" ht="24.75" customHeight="1">
      <c r="A17" s="50"/>
      <c r="B17" s="93"/>
      <c r="C17" s="93"/>
      <c r="D17" s="93"/>
      <c r="E17" s="93"/>
      <c r="F17" s="93"/>
      <c r="G17" s="93"/>
      <c r="H17" s="93"/>
      <c r="I17" s="9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 ht="24.75" customHeight="1">
      <c r="A18" s="50"/>
      <c r="B18" s="93"/>
      <c r="C18" s="93"/>
      <c r="D18" s="93"/>
      <c r="E18" s="93"/>
      <c r="F18" s="93"/>
      <c r="G18" s="93"/>
      <c r="H18" s="93"/>
      <c r="I18" s="9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 ht="24.75" customHeight="1">
      <c r="A19" s="50"/>
      <c r="B19" s="93"/>
      <c r="C19" s="93"/>
      <c r="D19" s="93"/>
      <c r="E19" s="93"/>
      <c r="F19" s="93"/>
      <c r="G19" s="93"/>
      <c r="H19" s="93"/>
      <c r="I19" s="9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</row>
    <row r="20" ht="24.75" customHeight="1">
      <c r="A20" s="50"/>
      <c r="B20" s="93"/>
      <c r="C20" s="93"/>
      <c r="D20" s="93"/>
      <c r="E20" s="93"/>
      <c r="F20" s="93"/>
      <c r="G20" s="93"/>
      <c r="H20" s="93"/>
      <c r="I20" s="9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ht="24.75" customHeight="1">
      <c r="A21" s="50"/>
      <c r="B21" s="93"/>
      <c r="C21" s="93"/>
      <c r="D21" s="93"/>
      <c r="E21" s="93"/>
      <c r="F21" s="93"/>
      <c r="G21" s="93"/>
      <c r="H21" s="93"/>
      <c r="I21" s="9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 ht="24.75" customHeight="1">
      <c r="A22" s="50"/>
      <c r="B22" s="93"/>
      <c r="C22" s="93"/>
      <c r="D22" s="93"/>
      <c r="E22" s="93"/>
      <c r="F22" s="93"/>
      <c r="G22" s="93"/>
      <c r="H22" s="93"/>
      <c r="I22" s="9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</row>
    <row r="23" ht="24.75" customHeight="1">
      <c r="A23" s="50"/>
      <c r="B23" s="93"/>
      <c r="C23" s="93"/>
      <c r="D23" s="93"/>
      <c r="E23" s="93"/>
      <c r="F23" s="93"/>
      <c r="G23" s="93"/>
      <c r="H23" s="93"/>
      <c r="I23" s="9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 ht="24.75" customHeight="1">
      <c r="A24" s="50"/>
      <c r="B24" s="93"/>
      <c r="C24" s="93"/>
      <c r="D24" s="93"/>
      <c r="E24" s="93"/>
      <c r="F24" s="93"/>
      <c r="G24" s="93"/>
      <c r="H24" s="93"/>
      <c r="I24" s="9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5" ht="24.75" customHeight="1">
      <c r="A25" s="50"/>
      <c r="B25" s="93"/>
      <c r="C25" s="93"/>
      <c r="D25" s="93"/>
      <c r="E25" s="93"/>
      <c r="F25" s="93"/>
      <c r="G25" s="93"/>
      <c r="H25" s="93"/>
      <c r="I25" s="9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ht="24.75" customHeight="1">
      <c r="A26" s="50"/>
      <c r="B26" s="93"/>
      <c r="C26" s="93"/>
      <c r="D26" s="93"/>
      <c r="E26" s="93"/>
      <c r="F26" s="93"/>
      <c r="G26" s="93"/>
      <c r="H26" s="93"/>
      <c r="I26" s="9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 ht="24.75" customHeight="1">
      <c r="A27" s="50"/>
      <c r="B27" s="93"/>
      <c r="C27" s="93"/>
      <c r="D27" s="93"/>
      <c r="E27" s="93"/>
      <c r="F27" s="93"/>
      <c r="G27" s="93"/>
      <c r="H27" s="93"/>
      <c r="I27" s="9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ht="24.75" customHeight="1">
      <c r="A28" s="50"/>
      <c r="B28" s="93"/>
      <c r="C28" s="93"/>
      <c r="D28" s="93"/>
      <c r="E28" s="93"/>
      <c r="F28" s="93"/>
      <c r="G28" s="93"/>
      <c r="H28" s="93"/>
      <c r="I28" s="9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ht="24.75" customHeight="1">
      <c r="A29" s="50"/>
      <c r="B29" s="93"/>
      <c r="C29" s="93"/>
      <c r="D29" s="93"/>
      <c r="E29" s="93"/>
      <c r="F29" s="93"/>
      <c r="G29" s="93"/>
      <c r="H29" s="93"/>
      <c r="I29" s="9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ht="24.75" customHeight="1">
      <c r="A30" s="50"/>
      <c r="B30" s="93"/>
      <c r="C30" s="93"/>
      <c r="D30" s="93"/>
      <c r="E30" s="93"/>
      <c r="F30" s="93"/>
      <c r="G30" s="93"/>
      <c r="H30" s="93"/>
      <c r="I30" s="9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 ht="24.75" customHeight="1">
      <c r="A31" s="50"/>
      <c r="B31" s="93"/>
      <c r="C31" s="93"/>
      <c r="D31" s="93"/>
      <c r="E31" s="93"/>
      <c r="F31" s="93"/>
      <c r="G31" s="93"/>
      <c r="H31" s="93"/>
      <c r="I31" s="9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ht="24.75" customHeight="1">
      <c r="A32" s="50"/>
      <c r="B32" s="93"/>
      <c r="C32" s="93"/>
      <c r="D32" s="93"/>
      <c r="E32" s="93"/>
      <c r="F32" s="93"/>
      <c r="G32" s="93"/>
      <c r="H32" s="93"/>
      <c r="I32" s="9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ht="24.75" customHeight="1">
      <c r="A33" s="50"/>
      <c r="B33" s="93"/>
      <c r="C33" s="93"/>
      <c r="D33" s="93"/>
      <c r="E33" s="93"/>
      <c r="F33" s="93"/>
      <c r="G33" s="93"/>
      <c r="H33" s="93"/>
      <c r="I33" s="9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ht="24.75" customHeight="1">
      <c r="A34" s="50"/>
      <c r="B34" s="93"/>
      <c r="C34" s="93"/>
      <c r="D34" s="93"/>
      <c r="E34" s="93"/>
      <c r="F34" s="93"/>
      <c r="G34" s="93"/>
      <c r="H34" s="93"/>
      <c r="I34" s="9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ht="24.75" customHeight="1">
      <c r="A35" s="50"/>
      <c r="B35" s="93"/>
      <c r="C35" s="93"/>
      <c r="D35" s="93"/>
      <c r="E35" s="93"/>
      <c r="F35" s="93"/>
      <c r="G35" s="93"/>
      <c r="H35" s="93"/>
      <c r="I35" s="9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ht="24.75" customHeight="1">
      <c r="A36" s="50"/>
      <c r="B36" s="93"/>
      <c r="C36" s="93"/>
      <c r="D36" s="93"/>
      <c r="E36" s="93"/>
      <c r="F36" s="93"/>
      <c r="G36" s="93"/>
      <c r="H36" s="93"/>
      <c r="I36" s="9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ht="24.75" customHeight="1">
      <c r="A37" s="50"/>
      <c r="B37" s="93"/>
      <c r="C37" s="93"/>
      <c r="D37" s="93"/>
      <c r="E37" s="93"/>
      <c r="F37" s="93"/>
      <c r="G37" s="93"/>
      <c r="H37" s="93"/>
      <c r="I37" s="9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 ht="24.75" customHeight="1">
      <c r="A38" s="50"/>
      <c r="B38" s="93"/>
      <c r="C38" s="93"/>
      <c r="D38" s="93"/>
      <c r="E38" s="93"/>
      <c r="F38" s="93"/>
      <c r="G38" s="93"/>
      <c r="H38" s="93"/>
      <c r="I38" s="9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 ht="24.75" customHeight="1">
      <c r="A39" s="50"/>
      <c r="B39" s="93"/>
      <c r="C39" s="93"/>
      <c r="D39" s="93"/>
      <c r="E39" s="93"/>
      <c r="F39" s="93"/>
      <c r="G39" s="93"/>
      <c r="H39" s="93"/>
      <c r="I39" s="9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</row>
    <row r="40" ht="24.75" customHeight="1">
      <c r="A40" s="50"/>
      <c r="B40" s="93"/>
      <c r="C40" s="93"/>
      <c r="D40" s="93"/>
      <c r="E40" s="93"/>
      <c r="F40" s="93"/>
      <c r="G40" s="93"/>
      <c r="H40" s="93"/>
      <c r="I40" s="9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</row>
    <row r="41" ht="24.75" customHeight="1">
      <c r="A41" s="50"/>
      <c r="B41" s="93"/>
      <c r="C41" s="93"/>
      <c r="D41" s="93"/>
      <c r="E41" s="93"/>
      <c r="F41" s="93"/>
      <c r="G41" s="93"/>
      <c r="H41" s="93"/>
      <c r="I41" s="9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</row>
    <row r="42" ht="24.75" customHeight="1">
      <c r="A42" s="50"/>
      <c r="B42" s="93"/>
      <c r="C42" s="93"/>
      <c r="D42" s="93"/>
      <c r="E42" s="93"/>
      <c r="F42" s="93"/>
      <c r="G42" s="93"/>
      <c r="H42" s="93"/>
      <c r="I42" s="9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</row>
    <row r="43" ht="24.75" customHeight="1">
      <c r="A43" s="50"/>
      <c r="B43" s="93"/>
      <c r="C43" s="93"/>
      <c r="D43" s="93"/>
      <c r="E43" s="93"/>
      <c r="F43" s="93"/>
      <c r="G43" s="93"/>
      <c r="H43" s="93"/>
      <c r="I43" s="9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 ht="24.75" customHeight="1">
      <c r="A44" s="50"/>
      <c r="B44" s="93"/>
      <c r="C44" s="93"/>
      <c r="D44" s="93"/>
      <c r="E44" s="93"/>
      <c r="F44" s="93"/>
      <c r="G44" s="93"/>
      <c r="H44" s="93"/>
      <c r="I44" s="9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</row>
    <row r="45" ht="24.75" customHeight="1">
      <c r="A45" s="50"/>
      <c r="B45" s="93"/>
      <c r="C45" s="93"/>
      <c r="D45" s="93"/>
      <c r="E45" s="93"/>
      <c r="F45" s="93"/>
      <c r="G45" s="93"/>
      <c r="H45" s="93"/>
      <c r="I45" s="9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 ht="24.75" customHeight="1">
      <c r="A46" s="50"/>
      <c r="B46" s="93"/>
      <c r="C46" s="93"/>
      <c r="D46" s="93"/>
      <c r="E46" s="93"/>
      <c r="F46" s="93"/>
      <c r="G46" s="93"/>
      <c r="H46" s="93"/>
      <c r="I46" s="9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</row>
    <row r="47" ht="24.75" customHeight="1">
      <c r="A47" s="50"/>
      <c r="B47" s="93"/>
      <c r="C47" s="93"/>
      <c r="D47" s="93"/>
      <c r="E47" s="93"/>
      <c r="F47" s="93"/>
      <c r="G47" s="93"/>
      <c r="H47" s="93"/>
      <c r="I47" s="9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ht="24.75" customHeight="1">
      <c r="A48" s="50"/>
      <c r="B48" s="93"/>
      <c r="C48" s="93"/>
      <c r="D48" s="93"/>
      <c r="E48" s="93"/>
      <c r="F48" s="93"/>
      <c r="G48" s="93"/>
      <c r="H48" s="93"/>
      <c r="I48" s="93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 ht="24.75" customHeight="1">
      <c r="A49" s="50"/>
      <c r="B49" s="93"/>
      <c r="C49" s="93"/>
      <c r="D49" s="93"/>
      <c r="E49" s="93"/>
      <c r="F49" s="93"/>
      <c r="G49" s="93"/>
      <c r="H49" s="93"/>
      <c r="I49" s="93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 ht="24.75" customHeight="1">
      <c r="A50" s="50"/>
      <c r="B50" s="93"/>
      <c r="C50" s="93"/>
      <c r="D50" s="93"/>
      <c r="E50" s="93"/>
      <c r="F50" s="93"/>
      <c r="G50" s="93"/>
      <c r="H50" s="93"/>
      <c r="I50" s="93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 ht="24.75" customHeight="1">
      <c r="A51" s="50"/>
      <c r="B51" s="93"/>
      <c r="C51" s="93"/>
      <c r="D51" s="93"/>
      <c r="E51" s="93"/>
      <c r="F51" s="93"/>
      <c r="G51" s="93"/>
      <c r="H51" s="93"/>
      <c r="I51" s="9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 ht="24.75" customHeight="1">
      <c r="A52" s="50"/>
      <c r="B52" s="93"/>
      <c r="C52" s="93"/>
      <c r="D52" s="93"/>
      <c r="E52" s="93"/>
      <c r="F52" s="93"/>
      <c r="G52" s="93"/>
      <c r="H52" s="93"/>
      <c r="I52" s="9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 ht="24.75" customHeight="1">
      <c r="A53" s="50"/>
      <c r="B53" s="93"/>
      <c r="C53" s="93"/>
      <c r="D53" s="93"/>
      <c r="E53" s="93"/>
      <c r="F53" s="93"/>
      <c r="G53" s="93"/>
      <c r="H53" s="93"/>
      <c r="I53" s="9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24.75" customHeight="1">
      <c r="A54" s="50"/>
      <c r="B54" s="93"/>
      <c r="C54" s="93"/>
      <c r="D54" s="93"/>
      <c r="E54" s="93"/>
      <c r="F54" s="93"/>
      <c r="G54" s="93"/>
      <c r="H54" s="93"/>
      <c r="I54" s="93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24.75" customHeight="1">
      <c r="A55" s="50"/>
      <c r="B55" s="93"/>
      <c r="C55" s="93"/>
      <c r="D55" s="93"/>
      <c r="E55" s="93"/>
      <c r="F55" s="93"/>
      <c r="G55" s="93"/>
      <c r="H55" s="93"/>
      <c r="I55" s="93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24.75" customHeight="1">
      <c r="A56" s="50"/>
      <c r="B56" s="93"/>
      <c r="C56" s="93"/>
      <c r="D56" s="93"/>
      <c r="E56" s="93"/>
      <c r="F56" s="93"/>
      <c r="G56" s="93"/>
      <c r="H56" s="93"/>
      <c r="I56" s="93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24.75" customHeight="1">
      <c r="A57" s="50"/>
      <c r="B57" s="93"/>
      <c r="C57" s="93"/>
      <c r="D57" s="93"/>
      <c r="E57" s="93"/>
      <c r="F57" s="93"/>
      <c r="G57" s="93"/>
      <c r="H57" s="93"/>
      <c r="I57" s="93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24.75" customHeight="1">
      <c r="A58" s="50"/>
      <c r="B58" s="93"/>
      <c r="C58" s="93"/>
      <c r="D58" s="93"/>
      <c r="E58" s="93"/>
      <c r="F58" s="93"/>
      <c r="G58" s="93"/>
      <c r="H58" s="93"/>
      <c r="I58" s="9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24.75" customHeight="1">
      <c r="A59" s="50"/>
      <c r="B59" s="93"/>
      <c r="C59" s="93"/>
      <c r="D59" s="93"/>
      <c r="E59" s="93"/>
      <c r="F59" s="93"/>
      <c r="G59" s="93"/>
      <c r="H59" s="93"/>
      <c r="I59" s="9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24.75" customHeight="1">
      <c r="A60" s="50"/>
      <c r="B60" s="93"/>
      <c r="C60" s="93"/>
      <c r="D60" s="93"/>
      <c r="E60" s="93"/>
      <c r="F60" s="93"/>
      <c r="G60" s="93"/>
      <c r="H60" s="93"/>
      <c r="I60" s="93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24.75" customHeight="1">
      <c r="A61" s="50"/>
      <c r="B61" s="93"/>
      <c r="C61" s="93"/>
      <c r="D61" s="93"/>
      <c r="E61" s="93"/>
      <c r="F61" s="93"/>
      <c r="G61" s="93"/>
      <c r="H61" s="93"/>
      <c r="I61" s="93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24.75" customHeight="1">
      <c r="A62" s="50"/>
      <c r="B62" s="93"/>
      <c r="C62" s="93"/>
      <c r="D62" s="93"/>
      <c r="E62" s="93"/>
      <c r="F62" s="93"/>
      <c r="G62" s="93"/>
      <c r="H62" s="93"/>
      <c r="I62" s="93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24.75" customHeight="1">
      <c r="A63" s="50"/>
      <c r="B63" s="93"/>
      <c r="C63" s="93"/>
      <c r="D63" s="93"/>
      <c r="E63" s="93"/>
      <c r="F63" s="93"/>
      <c r="G63" s="93"/>
      <c r="H63" s="93"/>
      <c r="I63" s="93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24.75" customHeight="1">
      <c r="A64" s="50"/>
      <c r="B64" s="93"/>
      <c r="C64" s="93"/>
      <c r="D64" s="93"/>
      <c r="E64" s="93"/>
      <c r="F64" s="93"/>
      <c r="G64" s="93"/>
      <c r="H64" s="93"/>
      <c r="I64" s="9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24.75" customHeight="1">
      <c r="A65" s="50"/>
      <c r="B65" s="93"/>
      <c r="C65" s="93"/>
      <c r="D65" s="93"/>
      <c r="E65" s="93"/>
      <c r="F65" s="93"/>
      <c r="G65" s="93"/>
      <c r="H65" s="93"/>
      <c r="I65" s="9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24.75" customHeight="1">
      <c r="A66" s="50"/>
      <c r="B66" s="93"/>
      <c r="C66" s="93"/>
      <c r="D66" s="93"/>
      <c r="E66" s="93"/>
      <c r="F66" s="93"/>
      <c r="G66" s="93"/>
      <c r="H66" s="93"/>
      <c r="I66" s="93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24.75" customHeight="1">
      <c r="A67" s="50"/>
      <c r="B67" s="93"/>
      <c r="C67" s="93"/>
      <c r="D67" s="93"/>
      <c r="E67" s="93"/>
      <c r="F67" s="93"/>
      <c r="G67" s="93"/>
      <c r="H67" s="93"/>
      <c r="I67" s="93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24.75" customHeight="1">
      <c r="A68" s="50"/>
      <c r="B68" s="93"/>
      <c r="C68" s="93"/>
      <c r="D68" s="93"/>
      <c r="E68" s="93"/>
      <c r="F68" s="93"/>
      <c r="G68" s="93"/>
      <c r="H68" s="93"/>
      <c r="I68" s="93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24.75" customHeight="1">
      <c r="A69" s="50"/>
      <c r="B69" s="93"/>
      <c r="C69" s="93"/>
      <c r="D69" s="93"/>
      <c r="E69" s="93"/>
      <c r="F69" s="93"/>
      <c r="G69" s="93"/>
      <c r="H69" s="93"/>
      <c r="I69" s="93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24.75" customHeight="1">
      <c r="A70" s="50"/>
      <c r="B70" s="93"/>
      <c r="C70" s="93"/>
      <c r="D70" s="93"/>
      <c r="E70" s="93"/>
      <c r="F70" s="93"/>
      <c r="G70" s="93"/>
      <c r="H70" s="93"/>
      <c r="I70" s="9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24.75" customHeight="1">
      <c r="A71" s="50"/>
      <c r="B71" s="93"/>
      <c r="C71" s="93"/>
      <c r="D71" s="93"/>
      <c r="E71" s="93"/>
      <c r="F71" s="93"/>
      <c r="G71" s="93"/>
      <c r="H71" s="93"/>
      <c r="I71" s="9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24.75" customHeight="1">
      <c r="A72" s="50"/>
      <c r="B72" s="93"/>
      <c r="C72" s="93"/>
      <c r="D72" s="93"/>
      <c r="E72" s="93"/>
      <c r="F72" s="93"/>
      <c r="G72" s="93"/>
      <c r="H72" s="93"/>
      <c r="I72" s="93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24.75" customHeight="1">
      <c r="A73" s="50"/>
      <c r="B73" s="93"/>
      <c r="C73" s="93"/>
      <c r="D73" s="93"/>
      <c r="E73" s="93"/>
      <c r="F73" s="93"/>
      <c r="G73" s="93"/>
      <c r="H73" s="93"/>
      <c r="I73" s="93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24.75" customHeight="1">
      <c r="A74" s="50"/>
      <c r="B74" s="93"/>
      <c r="C74" s="93"/>
      <c r="D74" s="93"/>
      <c r="E74" s="93"/>
      <c r="F74" s="93"/>
      <c r="G74" s="93"/>
      <c r="H74" s="93"/>
      <c r="I74" s="93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24.75" customHeight="1">
      <c r="A75" s="50"/>
      <c r="B75" s="93"/>
      <c r="C75" s="93"/>
      <c r="D75" s="93"/>
      <c r="E75" s="93"/>
      <c r="F75" s="93"/>
      <c r="G75" s="93"/>
      <c r="H75" s="93"/>
      <c r="I75" s="93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24.75" customHeight="1">
      <c r="A76" s="50"/>
      <c r="B76" s="93"/>
      <c r="C76" s="93"/>
      <c r="D76" s="93"/>
      <c r="E76" s="93"/>
      <c r="F76" s="93"/>
      <c r="G76" s="93"/>
      <c r="H76" s="93"/>
      <c r="I76" s="9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24.75" customHeight="1">
      <c r="A77" s="50"/>
      <c r="B77" s="93"/>
      <c r="C77" s="93"/>
      <c r="D77" s="93"/>
      <c r="E77" s="93"/>
      <c r="F77" s="93"/>
      <c r="G77" s="93"/>
      <c r="H77" s="93"/>
      <c r="I77" s="9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24.75" customHeight="1">
      <c r="A78" s="50"/>
      <c r="B78" s="93"/>
      <c r="C78" s="93"/>
      <c r="D78" s="93"/>
      <c r="E78" s="93"/>
      <c r="F78" s="93"/>
      <c r="G78" s="93"/>
      <c r="H78" s="93"/>
      <c r="I78" s="93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24.75" customHeight="1">
      <c r="A79" s="50"/>
      <c r="B79" s="93"/>
      <c r="C79" s="93"/>
      <c r="D79" s="93"/>
      <c r="E79" s="93"/>
      <c r="F79" s="93"/>
      <c r="G79" s="93"/>
      <c r="H79" s="93"/>
      <c r="I79" s="93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24.75" customHeight="1">
      <c r="A80" s="50"/>
      <c r="B80" s="93"/>
      <c r="C80" s="93"/>
      <c r="D80" s="93"/>
      <c r="E80" s="93"/>
      <c r="F80" s="93"/>
      <c r="G80" s="93"/>
      <c r="H80" s="93"/>
      <c r="I80" s="93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24.75" customHeight="1">
      <c r="A81" s="50"/>
      <c r="B81" s="93"/>
      <c r="C81" s="93"/>
      <c r="D81" s="93"/>
      <c r="E81" s="93"/>
      <c r="F81" s="93"/>
      <c r="G81" s="93"/>
      <c r="H81" s="93"/>
      <c r="I81" s="93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24.75" customHeight="1">
      <c r="A82" s="50"/>
      <c r="B82" s="93"/>
      <c r="C82" s="93"/>
      <c r="D82" s="93"/>
      <c r="E82" s="93"/>
      <c r="F82" s="93"/>
      <c r="G82" s="93"/>
      <c r="H82" s="93"/>
      <c r="I82" s="9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24.75" customHeight="1">
      <c r="A83" s="50"/>
      <c r="B83" s="93"/>
      <c r="C83" s="93"/>
      <c r="D83" s="93"/>
      <c r="E83" s="93"/>
      <c r="F83" s="93"/>
      <c r="G83" s="93"/>
      <c r="H83" s="93"/>
      <c r="I83" s="9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24.75" customHeight="1">
      <c r="A84" s="50"/>
      <c r="B84" s="93"/>
      <c r="C84" s="93"/>
      <c r="D84" s="93"/>
      <c r="E84" s="93"/>
      <c r="F84" s="93"/>
      <c r="G84" s="93"/>
      <c r="H84" s="93"/>
      <c r="I84" s="93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24.75" customHeight="1">
      <c r="A85" s="50"/>
      <c r="B85" s="93"/>
      <c r="C85" s="93"/>
      <c r="D85" s="93"/>
      <c r="E85" s="93"/>
      <c r="F85" s="93"/>
      <c r="G85" s="93"/>
      <c r="H85" s="93"/>
      <c r="I85" s="93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24.75" customHeight="1">
      <c r="A86" s="50"/>
      <c r="B86" s="93"/>
      <c r="C86" s="93"/>
      <c r="D86" s="93"/>
      <c r="E86" s="93"/>
      <c r="F86" s="93"/>
      <c r="G86" s="93"/>
      <c r="H86" s="93"/>
      <c r="I86" s="93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24.75" customHeight="1">
      <c r="A87" s="50"/>
      <c r="B87" s="93"/>
      <c r="C87" s="93"/>
      <c r="D87" s="93"/>
      <c r="E87" s="93"/>
      <c r="F87" s="93"/>
      <c r="G87" s="93"/>
      <c r="H87" s="93"/>
      <c r="I87" s="93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24.75" customHeight="1">
      <c r="A88" s="50"/>
      <c r="B88" s="93"/>
      <c r="C88" s="93"/>
      <c r="D88" s="93"/>
      <c r="E88" s="93"/>
      <c r="F88" s="93"/>
      <c r="G88" s="93"/>
      <c r="H88" s="93"/>
      <c r="I88" s="93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24.75" customHeight="1">
      <c r="A89" s="50"/>
      <c r="B89" s="93"/>
      <c r="C89" s="93"/>
      <c r="D89" s="93"/>
      <c r="E89" s="93"/>
      <c r="F89" s="93"/>
      <c r="G89" s="93"/>
      <c r="H89" s="93"/>
      <c r="I89" s="93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24.75" customHeight="1">
      <c r="A90" s="50"/>
      <c r="B90" s="93"/>
      <c r="C90" s="93"/>
      <c r="D90" s="93"/>
      <c r="E90" s="93"/>
      <c r="F90" s="93"/>
      <c r="G90" s="93"/>
      <c r="H90" s="93"/>
      <c r="I90" s="93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24.75" customHeight="1">
      <c r="A91" s="50"/>
      <c r="B91" s="93"/>
      <c r="C91" s="93"/>
      <c r="D91" s="93"/>
      <c r="E91" s="93"/>
      <c r="F91" s="93"/>
      <c r="G91" s="93"/>
      <c r="H91" s="93"/>
      <c r="I91" s="93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24.75" customHeight="1">
      <c r="A92" s="50"/>
      <c r="B92" s="93"/>
      <c r="C92" s="93"/>
      <c r="D92" s="93"/>
      <c r="E92" s="93"/>
      <c r="F92" s="93"/>
      <c r="G92" s="93"/>
      <c r="H92" s="93"/>
      <c r="I92" s="93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24.75" customHeight="1">
      <c r="A93" s="50"/>
      <c r="B93" s="93"/>
      <c r="C93" s="93"/>
      <c r="D93" s="93"/>
      <c r="E93" s="93"/>
      <c r="F93" s="93"/>
      <c r="G93" s="93"/>
      <c r="H93" s="93"/>
      <c r="I93" s="93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24.75" customHeight="1">
      <c r="A94" s="50"/>
      <c r="B94" s="93"/>
      <c r="C94" s="93"/>
      <c r="D94" s="93"/>
      <c r="E94" s="93"/>
      <c r="F94" s="93"/>
      <c r="G94" s="93"/>
      <c r="H94" s="93"/>
      <c r="I94" s="93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24.75" customHeight="1">
      <c r="A95" s="50"/>
      <c r="B95" s="93"/>
      <c r="C95" s="93"/>
      <c r="D95" s="93"/>
      <c r="E95" s="93"/>
      <c r="F95" s="93"/>
      <c r="G95" s="93"/>
      <c r="H95" s="93"/>
      <c r="I95" s="93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24.75" customHeight="1">
      <c r="A96" s="50"/>
      <c r="B96" s="93"/>
      <c r="C96" s="93"/>
      <c r="D96" s="93"/>
      <c r="E96" s="93"/>
      <c r="F96" s="93"/>
      <c r="G96" s="93"/>
      <c r="H96" s="93"/>
      <c r="I96" s="93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24.75" customHeight="1">
      <c r="A97" s="50"/>
      <c r="B97" s="93"/>
      <c r="C97" s="93"/>
      <c r="D97" s="93"/>
      <c r="E97" s="93"/>
      <c r="F97" s="93"/>
      <c r="G97" s="93"/>
      <c r="H97" s="93"/>
      <c r="I97" s="93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24.75" customHeight="1">
      <c r="A98" s="50"/>
      <c r="B98" s="93"/>
      <c r="C98" s="93"/>
      <c r="D98" s="93"/>
      <c r="E98" s="93"/>
      <c r="F98" s="93"/>
      <c r="G98" s="93"/>
      <c r="H98" s="93"/>
      <c r="I98" s="93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24.75" customHeight="1">
      <c r="A99" s="50"/>
      <c r="B99" s="93"/>
      <c r="C99" s="93"/>
      <c r="D99" s="93"/>
      <c r="E99" s="93"/>
      <c r="F99" s="93"/>
      <c r="G99" s="93"/>
      <c r="H99" s="93"/>
      <c r="I99" s="93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24.75" customHeight="1">
      <c r="A100" s="50"/>
      <c r="B100" s="93"/>
      <c r="C100" s="93"/>
      <c r="D100" s="93"/>
      <c r="E100" s="93"/>
      <c r="F100" s="93"/>
      <c r="G100" s="93"/>
      <c r="H100" s="93"/>
      <c r="I100" s="93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24.75" customHeight="1">
      <c r="A101" s="50"/>
      <c r="B101" s="93"/>
      <c r="C101" s="93"/>
      <c r="D101" s="93"/>
      <c r="E101" s="93"/>
      <c r="F101" s="93"/>
      <c r="G101" s="93"/>
      <c r="H101" s="93"/>
      <c r="I101" s="93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24.75" customHeight="1">
      <c r="A102" s="50"/>
      <c r="B102" s="93"/>
      <c r="C102" s="93"/>
      <c r="D102" s="93"/>
      <c r="E102" s="93"/>
      <c r="F102" s="93"/>
      <c r="G102" s="93"/>
      <c r="H102" s="93"/>
      <c r="I102" s="9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24.75" customHeight="1">
      <c r="A103" s="50"/>
      <c r="B103" s="93"/>
      <c r="C103" s="93"/>
      <c r="D103" s="93"/>
      <c r="E103" s="93"/>
      <c r="F103" s="93"/>
      <c r="G103" s="93"/>
      <c r="H103" s="93"/>
      <c r="I103" s="93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24.75" customHeight="1">
      <c r="A104" s="50"/>
      <c r="B104" s="93"/>
      <c r="C104" s="93"/>
      <c r="D104" s="93"/>
      <c r="E104" s="93"/>
      <c r="F104" s="93"/>
      <c r="G104" s="93"/>
      <c r="H104" s="93"/>
      <c r="I104" s="93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24.75" customHeight="1">
      <c r="A105" s="50"/>
      <c r="B105" s="93"/>
      <c r="C105" s="93"/>
      <c r="D105" s="93"/>
      <c r="E105" s="93"/>
      <c r="F105" s="93"/>
      <c r="G105" s="93"/>
      <c r="H105" s="93"/>
      <c r="I105" s="93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24.75" customHeight="1">
      <c r="A106" s="50"/>
      <c r="B106" s="93"/>
      <c r="C106" s="93"/>
      <c r="D106" s="93"/>
      <c r="E106" s="93"/>
      <c r="F106" s="93"/>
      <c r="G106" s="93"/>
      <c r="H106" s="93"/>
      <c r="I106" s="93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24.75" customHeight="1">
      <c r="A107" s="50"/>
      <c r="B107" s="93"/>
      <c r="C107" s="93"/>
      <c r="D107" s="93"/>
      <c r="E107" s="93"/>
      <c r="F107" s="93"/>
      <c r="G107" s="93"/>
      <c r="H107" s="93"/>
      <c r="I107" s="93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24.75" customHeight="1">
      <c r="A108" s="50"/>
      <c r="B108" s="93"/>
      <c r="C108" s="93"/>
      <c r="D108" s="93"/>
      <c r="E108" s="93"/>
      <c r="F108" s="93"/>
      <c r="G108" s="93"/>
      <c r="H108" s="93"/>
      <c r="I108" s="93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24.75" customHeight="1">
      <c r="A109" s="50"/>
      <c r="B109" s="93"/>
      <c r="C109" s="93"/>
      <c r="D109" s="93"/>
      <c r="E109" s="93"/>
      <c r="F109" s="93"/>
      <c r="G109" s="93"/>
      <c r="H109" s="93"/>
      <c r="I109" s="93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24.75" customHeight="1">
      <c r="A110" s="50"/>
      <c r="B110" s="93"/>
      <c r="C110" s="93"/>
      <c r="D110" s="93"/>
      <c r="E110" s="93"/>
      <c r="F110" s="93"/>
      <c r="G110" s="93"/>
      <c r="H110" s="93"/>
      <c r="I110" s="93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24.75" customHeight="1">
      <c r="A111" s="50"/>
      <c r="B111" s="93"/>
      <c r="C111" s="93"/>
      <c r="D111" s="93"/>
      <c r="E111" s="93"/>
      <c r="F111" s="93"/>
      <c r="G111" s="93"/>
      <c r="H111" s="93"/>
      <c r="I111" s="93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24.75" customHeight="1">
      <c r="A112" s="50"/>
      <c r="B112" s="93"/>
      <c r="C112" s="93"/>
      <c r="D112" s="93"/>
      <c r="E112" s="93"/>
      <c r="F112" s="93"/>
      <c r="G112" s="93"/>
      <c r="H112" s="93"/>
      <c r="I112" s="93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24.75" customHeight="1">
      <c r="A113" s="50"/>
      <c r="B113" s="93"/>
      <c r="C113" s="93"/>
      <c r="D113" s="93"/>
      <c r="E113" s="93"/>
      <c r="F113" s="93"/>
      <c r="G113" s="93"/>
      <c r="H113" s="93"/>
      <c r="I113" s="93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24.75" customHeight="1">
      <c r="A114" s="50"/>
      <c r="B114" s="93"/>
      <c r="C114" s="93"/>
      <c r="D114" s="93"/>
      <c r="E114" s="93"/>
      <c r="F114" s="93"/>
      <c r="G114" s="93"/>
      <c r="H114" s="93"/>
      <c r="I114" s="93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24.75" customHeight="1">
      <c r="A115" s="50"/>
      <c r="B115" s="93"/>
      <c r="C115" s="93"/>
      <c r="D115" s="93"/>
      <c r="E115" s="93"/>
      <c r="F115" s="93"/>
      <c r="G115" s="93"/>
      <c r="H115" s="93"/>
      <c r="I115" s="93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24.75" customHeight="1">
      <c r="A116" s="50"/>
      <c r="B116" s="93"/>
      <c r="C116" s="93"/>
      <c r="D116" s="93"/>
      <c r="E116" s="93"/>
      <c r="F116" s="93"/>
      <c r="G116" s="93"/>
      <c r="H116" s="93"/>
      <c r="I116" s="93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24.75" customHeight="1">
      <c r="A117" s="50"/>
      <c r="B117" s="93"/>
      <c r="C117" s="93"/>
      <c r="D117" s="93"/>
      <c r="E117" s="93"/>
      <c r="F117" s="93"/>
      <c r="G117" s="93"/>
      <c r="H117" s="93"/>
      <c r="I117" s="93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24.75" customHeight="1">
      <c r="A118" s="50"/>
      <c r="B118" s="93"/>
      <c r="C118" s="93"/>
      <c r="D118" s="93"/>
      <c r="E118" s="93"/>
      <c r="F118" s="93"/>
      <c r="G118" s="93"/>
      <c r="H118" s="93"/>
      <c r="I118" s="93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24.75" customHeight="1">
      <c r="A119" s="50"/>
      <c r="B119" s="93"/>
      <c r="C119" s="93"/>
      <c r="D119" s="93"/>
      <c r="E119" s="93"/>
      <c r="F119" s="93"/>
      <c r="G119" s="93"/>
      <c r="H119" s="93"/>
      <c r="I119" s="93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24.75" customHeight="1">
      <c r="A120" s="50"/>
      <c r="B120" s="93"/>
      <c r="C120" s="93"/>
      <c r="D120" s="93"/>
      <c r="E120" s="93"/>
      <c r="F120" s="93"/>
      <c r="G120" s="93"/>
      <c r="H120" s="93"/>
      <c r="I120" s="9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24.75" customHeight="1">
      <c r="A121" s="50"/>
      <c r="B121" s="93"/>
      <c r="C121" s="93"/>
      <c r="D121" s="93"/>
      <c r="E121" s="93"/>
      <c r="F121" s="93"/>
      <c r="G121" s="93"/>
      <c r="H121" s="93"/>
      <c r="I121" s="93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24.75" customHeight="1">
      <c r="A122" s="50"/>
      <c r="B122" s="93"/>
      <c r="C122" s="93"/>
      <c r="D122" s="93"/>
      <c r="E122" s="93"/>
      <c r="F122" s="93"/>
      <c r="G122" s="93"/>
      <c r="H122" s="93"/>
      <c r="I122" s="93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24.75" customHeight="1">
      <c r="A123" s="50"/>
      <c r="B123" s="93"/>
      <c r="C123" s="93"/>
      <c r="D123" s="93"/>
      <c r="E123" s="93"/>
      <c r="F123" s="93"/>
      <c r="G123" s="93"/>
      <c r="H123" s="93"/>
      <c r="I123" s="93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24.75" customHeight="1">
      <c r="A124" s="50"/>
      <c r="B124" s="93"/>
      <c r="C124" s="93"/>
      <c r="D124" s="93"/>
      <c r="E124" s="93"/>
      <c r="F124" s="93"/>
      <c r="G124" s="93"/>
      <c r="H124" s="93"/>
      <c r="I124" s="93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24.75" customHeight="1">
      <c r="A125" s="50"/>
      <c r="B125" s="93"/>
      <c r="C125" s="93"/>
      <c r="D125" s="93"/>
      <c r="E125" s="93"/>
      <c r="F125" s="93"/>
      <c r="G125" s="93"/>
      <c r="H125" s="93"/>
      <c r="I125" s="93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24.75" customHeight="1">
      <c r="A126" s="50"/>
      <c r="B126" s="93"/>
      <c r="C126" s="93"/>
      <c r="D126" s="93"/>
      <c r="E126" s="93"/>
      <c r="F126" s="93"/>
      <c r="G126" s="93"/>
      <c r="H126" s="93"/>
      <c r="I126" s="93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24.75" customHeight="1">
      <c r="A127" s="50"/>
      <c r="B127" s="93"/>
      <c r="C127" s="93"/>
      <c r="D127" s="93"/>
      <c r="E127" s="93"/>
      <c r="F127" s="93"/>
      <c r="G127" s="93"/>
      <c r="H127" s="93"/>
      <c r="I127" s="93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24.75" customHeight="1">
      <c r="A128" s="50"/>
      <c r="B128" s="93"/>
      <c r="C128" s="93"/>
      <c r="D128" s="93"/>
      <c r="E128" s="93"/>
      <c r="F128" s="93"/>
      <c r="G128" s="93"/>
      <c r="H128" s="93"/>
      <c r="I128" s="93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24.75" customHeight="1">
      <c r="A129" s="50"/>
      <c r="B129" s="93"/>
      <c r="C129" s="93"/>
      <c r="D129" s="93"/>
      <c r="E129" s="93"/>
      <c r="F129" s="93"/>
      <c r="G129" s="93"/>
      <c r="H129" s="93"/>
      <c r="I129" s="9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24.75" customHeight="1">
      <c r="A130" s="50"/>
      <c r="B130" s="93"/>
      <c r="C130" s="93"/>
      <c r="D130" s="93"/>
      <c r="E130" s="93"/>
      <c r="F130" s="93"/>
      <c r="G130" s="93"/>
      <c r="H130" s="93"/>
      <c r="I130" s="93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24.75" customHeight="1">
      <c r="A131" s="50"/>
      <c r="B131" s="93"/>
      <c r="C131" s="93"/>
      <c r="D131" s="93"/>
      <c r="E131" s="93"/>
      <c r="F131" s="93"/>
      <c r="G131" s="93"/>
      <c r="H131" s="93"/>
      <c r="I131" s="93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24.75" customHeight="1">
      <c r="A132" s="50"/>
      <c r="B132" s="93"/>
      <c r="C132" s="93"/>
      <c r="D132" s="93"/>
      <c r="E132" s="93"/>
      <c r="F132" s="93"/>
      <c r="G132" s="93"/>
      <c r="H132" s="93"/>
      <c r="I132" s="93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24.75" customHeight="1">
      <c r="A133" s="50"/>
      <c r="B133" s="93"/>
      <c r="C133" s="93"/>
      <c r="D133" s="93"/>
      <c r="E133" s="93"/>
      <c r="F133" s="93"/>
      <c r="G133" s="93"/>
      <c r="H133" s="93"/>
      <c r="I133" s="93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24.75" customHeight="1">
      <c r="A134" s="50"/>
      <c r="B134" s="93"/>
      <c r="C134" s="93"/>
      <c r="D134" s="93"/>
      <c r="E134" s="93"/>
      <c r="F134" s="93"/>
      <c r="G134" s="93"/>
      <c r="H134" s="93"/>
      <c r="I134" s="93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24.75" customHeight="1">
      <c r="A135" s="50"/>
      <c r="B135" s="93"/>
      <c r="C135" s="93"/>
      <c r="D135" s="93"/>
      <c r="E135" s="93"/>
      <c r="F135" s="93"/>
      <c r="G135" s="93"/>
      <c r="H135" s="93"/>
      <c r="I135" s="9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24.75" customHeight="1">
      <c r="A136" s="50"/>
      <c r="B136" s="93"/>
      <c r="C136" s="93"/>
      <c r="D136" s="93"/>
      <c r="E136" s="93"/>
      <c r="F136" s="93"/>
      <c r="G136" s="93"/>
      <c r="H136" s="93"/>
      <c r="I136" s="93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24.75" customHeight="1">
      <c r="A137" s="50"/>
      <c r="B137" s="93"/>
      <c r="C137" s="93"/>
      <c r="D137" s="93"/>
      <c r="E137" s="93"/>
      <c r="F137" s="93"/>
      <c r="G137" s="93"/>
      <c r="H137" s="93"/>
      <c r="I137" s="9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24.75" customHeight="1">
      <c r="A138" s="50"/>
      <c r="B138" s="93"/>
      <c r="C138" s="93"/>
      <c r="D138" s="93"/>
      <c r="E138" s="93"/>
      <c r="F138" s="93"/>
      <c r="G138" s="93"/>
      <c r="H138" s="93"/>
      <c r="I138" s="93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24.75" customHeight="1">
      <c r="A139" s="50"/>
      <c r="B139" s="93"/>
      <c r="C139" s="93"/>
      <c r="D139" s="93"/>
      <c r="E139" s="93"/>
      <c r="F139" s="93"/>
      <c r="G139" s="93"/>
      <c r="H139" s="93"/>
      <c r="I139" s="93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24.75" customHeight="1">
      <c r="A140" s="50"/>
      <c r="B140" s="93"/>
      <c r="C140" s="93"/>
      <c r="D140" s="93"/>
      <c r="E140" s="93"/>
      <c r="F140" s="93"/>
      <c r="G140" s="93"/>
      <c r="H140" s="93"/>
      <c r="I140" s="93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24.75" customHeight="1">
      <c r="A141" s="50"/>
      <c r="B141" s="93"/>
      <c r="C141" s="93"/>
      <c r="D141" s="93"/>
      <c r="E141" s="93"/>
      <c r="F141" s="93"/>
      <c r="G141" s="93"/>
      <c r="H141" s="93"/>
      <c r="I141" s="93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24.75" customHeight="1">
      <c r="A142" s="50"/>
      <c r="B142" s="93"/>
      <c r="C142" s="93"/>
      <c r="D142" s="93"/>
      <c r="E142" s="93"/>
      <c r="F142" s="93"/>
      <c r="G142" s="93"/>
      <c r="H142" s="93"/>
      <c r="I142" s="93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24.75" customHeight="1">
      <c r="A143" s="50"/>
      <c r="B143" s="93"/>
      <c r="C143" s="93"/>
      <c r="D143" s="93"/>
      <c r="E143" s="93"/>
      <c r="F143" s="93"/>
      <c r="G143" s="93"/>
      <c r="H143" s="93"/>
      <c r="I143" s="93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24.75" customHeight="1">
      <c r="A144" s="50"/>
      <c r="B144" s="93"/>
      <c r="C144" s="93"/>
      <c r="D144" s="93"/>
      <c r="E144" s="93"/>
      <c r="F144" s="93"/>
      <c r="G144" s="93"/>
      <c r="H144" s="93"/>
      <c r="I144" s="93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24.75" customHeight="1">
      <c r="A145" s="50"/>
      <c r="B145" s="93"/>
      <c r="C145" s="93"/>
      <c r="D145" s="93"/>
      <c r="E145" s="93"/>
      <c r="F145" s="93"/>
      <c r="G145" s="93"/>
      <c r="H145" s="93"/>
      <c r="I145" s="93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24.75" customHeight="1">
      <c r="A146" s="50"/>
      <c r="B146" s="93"/>
      <c r="C146" s="93"/>
      <c r="D146" s="93"/>
      <c r="E146" s="93"/>
      <c r="F146" s="93"/>
      <c r="G146" s="93"/>
      <c r="H146" s="93"/>
      <c r="I146" s="93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24.75" customHeight="1">
      <c r="A147" s="50"/>
      <c r="B147" s="93"/>
      <c r="C147" s="93"/>
      <c r="D147" s="93"/>
      <c r="E147" s="93"/>
      <c r="F147" s="93"/>
      <c r="G147" s="93"/>
      <c r="H147" s="93"/>
      <c r="I147" s="93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24.75" customHeight="1">
      <c r="A148" s="50"/>
      <c r="B148" s="93"/>
      <c r="C148" s="93"/>
      <c r="D148" s="93"/>
      <c r="E148" s="93"/>
      <c r="F148" s="93"/>
      <c r="G148" s="93"/>
      <c r="H148" s="93"/>
      <c r="I148" s="93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24.75" customHeight="1">
      <c r="A149" s="50"/>
      <c r="B149" s="93"/>
      <c r="C149" s="93"/>
      <c r="D149" s="93"/>
      <c r="E149" s="93"/>
      <c r="F149" s="93"/>
      <c r="G149" s="93"/>
      <c r="H149" s="93"/>
      <c r="I149" s="93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24.75" customHeight="1">
      <c r="A150" s="50"/>
      <c r="B150" s="93"/>
      <c r="C150" s="93"/>
      <c r="D150" s="93"/>
      <c r="E150" s="93"/>
      <c r="F150" s="93"/>
      <c r="G150" s="93"/>
      <c r="H150" s="93"/>
      <c r="I150" s="93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24.75" customHeight="1">
      <c r="A151" s="50"/>
      <c r="B151" s="93"/>
      <c r="C151" s="93"/>
      <c r="D151" s="93"/>
      <c r="E151" s="93"/>
      <c r="F151" s="93"/>
      <c r="G151" s="93"/>
      <c r="H151" s="93"/>
      <c r="I151" s="93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24.75" customHeight="1">
      <c r="A152" s="50"/>
      <c r="B152" s="93"/>
      <c r="C152" s="93"/>
      <c r="D152" s="93"/>
      <c r="E152" s="93"/>
      <c r="F152" s="93"/>
      <c r="G152" s="93"/>
      <c r="H152" s="93"/>
      <c r="I152" s="93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24.75" customHeight="1">
      <c r="A153" s="50"/>
      <c r="B153" s="93"/>
      <c r="C153" s="93"/>
      <c r="D153" s="93"/>
      <c r="E153" s="93"/>
      <c r="F153" s="93"/>
      <c r="G153" s="93"/>
      <c r="H153" s="93"/>
      <c r="I153" s="93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24.75" customHeight="1">
      <c r="A154" s="50"/>
      <c r="B154" s="93"/>
      <c r="C154" s="93"/>
      <c r="D154" s="93"/>
      <c r="E154" s="93"/>
      <c r="F154" s="93"/>
      <c r="G154" s="93"/>
      <c r="H154" s="93"/>
      <c r="I154" s="93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24.75" customHeight="1">
      <c r="A155" s="50"/>
      <c r="B155" s="93"/>
      <c r="C155" s="93"/>
      <c r="D155" s="93"/>
      <c r="E155" s="93"/>
      <c r="F155" s="93"/>
      <c r="G155" s="93"/>
      <c r="H155" s="93"/>
      <c r="I155" s="93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24.75" customHeight="1">
      <c r="A156" s="50"/>
      <c r="B156" s="93"/>
      <c r="C156" s="93"/>
      <c r="D156" s="93"/>
      <c r="E156" s="93"/>
      <c r="F156" s="93"/>
      <c r="G156" s="93"/>
      <c r="H156" s="93"/>
      <c r="I156" s="93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24.75" customHeight="1">
      <c r="A157" s="50"/>
      <c r="B157" s="93"/>
      <c r="C157" s="93"/>
      <c r="D157" s="93"/>
      <c r="E157" s="93"/>
      <c r="F157" s="93"/>
      <c r="G157" s="93"/>
      <c r="H157" s="93"/>
      <c r="I157" s="93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24.75" customHeight="1">
      <c r="A158" s="50"/>
      <c r="B158" s="93"/>
      <c r="C158" s="93"/>
      <c r="D158" s="93"/>
      <c r="E158" s="93"/>
      <c r="F158" s="93"/>
      <c r="G158" s="93"/>
      <c r="H158" s="93"/>
      <c r="I158" s="93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24.75" customHeight="1">
      <c r="A159" s="50"/>
      <c r="B159" s="93"/>
      <c r="C159" s="93"/>
      <c r="D159" s="93"/>
      <c r="E159" s="93"/>
      <c r="F159" s="93"/>
      <c r="G159" s="93"/>
      <c r="H159" s="93"/>
      <c r="I159" s="93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24.75" customHeight="1">
      <c r="A160" s="50"/>
      <c r="B160" s="93"/>
      <c r="C160" s="93"/>
      <c r="D160" s="93"/>
      <c r="E160" s="93"/>
      <c r="F160" s="93"/>
      <c r="G160" s="93"/>
      <c r="H160" s="93"/>
      <c r="I160" s="93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24.75" customHeight="1">
      <c r="A161" s="50"/>
      <c r="B161" s="93"/>
      <c r="C161" s="93"/>
      <c r="D161" s="93"/>
      <c r="E161" s="93"/>
      <c r="F161" s="93"/>
      <c r="G161" s="93"/>
      <c r="H161" s="93"/>
      <c r="I161" s="93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24.75" customHeight="1">
      <c r="A162" s="50"/>
      <c r="B162" s="93"/>
      <c r="C162" s="93"/>
      <c r="D162" s="93"/>
      <c r="E162" s="93"/>
      <c r="F162" s="93"/>
      <c r="G162" s="93"/>
      <c r="H162" s="93"/>
      <c r="I162" s="93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24.75" customHeight="1">
      <c r="A163" s="50"/>
      <c r="B163" s="93"/>
      <c r="C163" s="93"/>
      <c r="D163" s="93"/>
      <c r="E163" s="93"/>
      <c r="F163" s="93"/>
      <c r="G163" s="93"/>
      <c r="H163" s="93"/>
      <c r="I163" s="93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24.75" customHeight="1">
      <c r="A164" s="50"/>
      <c r="B164" s="93"/>
      <c r="C164" s="93"/>
      <c r="D164" s="93"/>
      <c r="E164" s="93"/>
      <c r="F164" s="93"/>
      <c r="G164" s="93"/>
      <c r="H164" s="93"/>
      <c r="I164" s="93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24.75" customHeight="1">
      <c r="A165" s="50"/>
      <c r="B165" s="93"/>
      <c r="C165" s="93"/>
      <c r="D165" s="93"/>
      <c r="E165" s="93"/>
      <c r="F165" s="93"/>
      <c r="G165" s="93"/>
      <c r="H165" s="93"/>
      <c r="I165" s="93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24.75" customHeight="1">
      <c r="A166" s="50"/>
      <c r="B166" s="93"/>
      <c r="C166" s="93"/>
      <c r="D166" s="93"/>
      <c r="E166" s="93"/>
      <c r="F166" s="93"/>
      <c r="G166" s="93"/>
      <c r="H166" s="93"/>
      <c r="I166" s="93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24.75" customHeight="1">
      <c r="A167" s="50"/>
      <c r="B167" s="93"/>
      <c r="C167" s="93"/>
      <c r="D167" s="93"/>
      <c r="E167" s="93"/>
      <c r="F167" s="93"/>
      <c r="G167" s="93"/>
      <c r="H167" s="93"/>
      <c r="I167" s="93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24.75" customHeight="1">
      <c r="A168" s="50"/>
      <c r="B168" s="93"/>
      <c r="C168" s="93"/>
      <c r="D168" s="93"/>
      <c r="E168" s="93"/>
      <c r="F168" s="93"/>
      <c r="G168" s="93"/>
      <c r="H168" s="93"/>
      <c r="I168" s="93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24.75" customHeight="1">
      <c r="A169" s="50"/>
      <c r="B169" s="93"/>
      <c r="C169" s="93"/>
      <c r="D169" s="93"/>
      <c r="E169" s="93"/>
      <c r="F169" s="93"/>
      <c r="G169" s="93"/>
      <c r="H169" s="93"/>
      <c r="I169" s="93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24.75" customHeight="1">
      <c r="A170" s="50"/>
      <c r="B170" s="93"/>
      <c r="C170" s="93"/>
      <c r="D170" s="93"/>
      <c r="E170" s="93"/>
      <c r="F170" s="93"/>
      <c r="G170" s="93"/>
      <c r="H170" s="93"/>
      <c r="I170" s="93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24.75" customHeight="1">
      <c r="A171" s="50"/>
      <c r="B171" s="93"/>
      <c r="C171" s="93"/>
      <c r="D171" s="93"/>
      <c r="E171" s="93"/>
      <c r="F171" s="93"/>
      <c r="G171" s="93"/>
      <c r="H171" s="93"/>
      <c r="I171" s="93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24.75" customHeight="1">
      <c r="A172" s="50"/>
      <c r="B172" s="93"/>
      <c r="C172" s="93"/>
      <c r="D172" s="93"/>
      <c r="E172" s="93"/>
      <c r="F172" s="93"/>
      <c r="G172" s="93"/>
      <c r="H172" s="93"/>
      <c r="I172" s="93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24.75" customHeight="1">
      <c r="A173" s="50"/>
      <c r="B173" s="93"/>
      <c r="C173" s="93"/>
      <c r="D173" s="93"/>
      <c r="E173" s="93"/>
      <c r="F173" s="93"/>
      <c r="G173" s="93"/>
      <c r="H173" s="93"/>
      <c r="I173" s="93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24.75" customHeight="1">
      <c r="A174" s="50"/>
      <c r="B174" s="93"/>
      <c r="C174" s="93"/>
      <c r="D174" s="93"/>
      <c r="E174" s="93"/>
      <c r="F174" s="93"/>
      <c r="G174" s="93"/>
      <c r="H174" s="93"/>
      <c r="I174" s="93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24.75" customHeight="1">
      <c r="A175" s="50"/>
      <c r="B175" s="93"/>
      <c r="C175" s="93"/>
      <c r="D175" s="93"/>
      <c r="E175" s="93"/>
      <c r="F175" s="93"/>
      <c r="G175" s="93"/>
      <c r="H175" s="93"/>
      <c r="I175" s="93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24.75" customHeight="1">
      <c r="A176" s="50"/>
      <c r="B176" s="93"/>
      <c r="C176" s="93"/>
      <c r="D176" s="93"/>
      <c r="E176" s="93"/>
      <c r="F176" s="93"/>
      <c r="G176" s="93"/>
      <c r="H176" s="93"/>
      <c r="I176" s="93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24.75" customHeight="1">
      <c r="A177" s="50"/>
      <c r="B177" s="93"/>
      <c r="C177" s="93"/>
      <c r="D177" s="93"/>
      <c r="E177" s="93"/>
      <c r="F177" s="93"/>
      <c r="G177" s="93"/>
      <c r="H177" s="93"/>
      <c r="I177" s="93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24.75" customHeight="1">
      <c r="A178" s="50"/>
      <c r="B178" s="93"/>
      <c r="C178" s="93"/>
      <c r="D178" s="93"/>
      <c r="E178" s="93"/>
      <c r="F178" s="93"/>
      <c r="G178" s="93"/>
      <c r="H178" s="93"/>
      <c r="I178" s="93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24.75" customHeight="1">
      <c r="A179" s="50"/>
      <c r="B179" s="93"/>
      <c r="C179" s="93"/>
      <c r="D179" s="93"/>
      <c r="E179" s="93"/>
      <c r="F179" s="93"/>
      <c r="G179" s="93"/>
      <c r="H179" s="93"/>
      <c r="I179" s="93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24.75" customHeight="1">
      <c r="A180" s="50"/>
      <c r="B180" s="93"/>
      <c r="C180" s="93"/>
      <c r="D180" s="93"/>
      <c r="E180" s="93"/>
      <c r="F180" s="93"/>
      <c r="G180" s="93"/>
      <c r="H180" s="93"/>
      <c r="I180" s="93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24.75" customHeight="1">
      <c r="A181" s="50"/>
      <c r="B181" s="93"/>
      <c r="C181" s="93"/>
      <c r="D181" s="93"/>
      <c r="E181" s="93"/>
      <c r="F181" s="93"/>
      <c r="G181" s="93"/>
      <c r="H181" s="93"/>
      <c r="I181" s="93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24.75" customHeight="1">
      <c r="A182" s="50"/>
      <c r="B182" s="93"/>
      <c r="C182" s="93"/>
      <c r="D182" s="93"/>
      <c r="E182" s="93"/>
      <c r="F182" s="93"/>
      <c r="G182" s="93"/>
      <c r="H182" s="93"/>
      <c r="I182" s="93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24.75" customHeight="1">
      <c r="A183" s="50"/>
      <c r="B183" s="93"/>
      <c r="C183" s="93"/>
      <c r="D183" s="93"/>
      <c r="E183" s="93"/>
      <c r="F183" s="93"/>
      <c r="G183" s="93"/>
      <c r="H183" s="93"/>
      <c r="I183" s="93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24.75" customHeight="1">
      <c r="A184" s="50"/>
      <c r="B184" s="93"/>
      <c r="C184" s="93"/>
      <c r="D184" s="93"/>
      <c r="E184" s="93"/>
      <c r="F184" s="93"/>
      <c r="G184" s="93"/>
      <c r="H184" s="93"/>
      <c r="I184" s="93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24.75" customHeight="1">
      <c r="A185" s="50"/>
      <c r="B185" s="93"/>
      <c r="C185" s="93"/>
      <c r="D185" s="93"/>
      <c r="E185" s="93"/>
      <c r="F185" s="93"/>
      <c r="G185" s="93"/>
      <c r="H185" s="93"/>
      <c r="I185" s="93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24.75" customHeight="1">
      <c r="A186" s="50"/>
      <c r="B186" s="93"/>
      <c r="C186" s="93"/>
      <c r="D186" s="93"/>
      <c r="E186" s="93"/>
      <c r="F186" s="93"/>
      <c r="G186" s="93"/>
      <c r="H186" s="93"/>
      <c r="I186" s="93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24.75" customHeight="1">
      <c r="A187" s="50"/>
      <c r="B187" s="93"/>
      <c r="C187" s="93"/>
      <c r="D187" s="93"/>
      <c r="E187" s="93"/>
      <c r="F187" s="93"/>
      <c r="G187" s="93"/>
      <c r="H187" s="93"/>
      <c r="I187" s="93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24.75" customHeight="1">
      <c r="A188" s="50"/>
      <c r="B188" s="93"/>
      <c r="C188" s="93"/>
      <c r="D188" s="93"/>
      <c r="E188" s="93"/>
      <c r="F188" s="93"/>
      <c r="G188" s="93"/>
      <c r="H188" s="93"/>
      <c r="I188" s="93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24.75" customHeight="1">
      <c r="A189" s="50"/>
      <c r="B189" s="93"/>
      <c r="C189" s="93"/>
      <c r="D189" s="93"/>
      <c r="E189" s="93"/>
      <c r="F189" s="93"/>
      <c r="G189" s="93"/>
      <c r="H189" s="93"/>
      <c r="I189" s="93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24.75" customHeight="1">
      <c r="A190" s="50"/>
      <c r="B190" s="93"/>
      <c r="C190" s="93"/>
      <c r="D190" s="93"/>
      <c r="E190" s="93"/>
      <c r="F190" s="93"/>
      <c r="G190" s="93"/>
      <c r="H190" s="93"/>
      <c r="I190" s="93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24.75" customHeight="1">
      <c r="A191" s="50"/>
      <c r="B191" s="93"/>
      <c r="C191" s="93"/>
      <c r="D191" s="93"/>
      <c r="E191" s="93"/>
      <c r="F191" s="93"/>
      <c r="G191" s="93"/>
      <c r="H191" s="93"/>
      <c r="I191" s="93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24.75" customHeight="1">
      <c r="A192" s="50"/>
      <c r="B192" s="93"/>
      <c r="C192" s="93"/>
      <c r="D192" s="93"/>
      <c r="E192" s="93"/>
      <c r="F192" s="93"/>
      <c r="G192" s="93"/>
      <c r="H192" s="93"/>
      <c r="I192" s="93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24.75" customHeight="1">
      <c r="A193" s="50"/>
      <c r="B193" s="93"/>
      <c r="C193" s="93"/>
      <c r="D193" s="93"/>
      <c r="E193" s="93"/>
      <c r="F193" s="93"/>
      <c r="G193" s="93"/>
      <c r="H193" s="93"/>
      <c r="I193" s="93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24.75" customHeight="1">
      <c r="A194" s="50"/>
      <c r="B194" s="93"/>
      <c r="C194" s="93"/>
      <c r="D194" s="93"/>
      <c r="E194" s="93"/>
      <c r="F194" s="93"/>
      <c r="G194" s="93"/>
      <c r="H194" s="93"/>
      <c r="I194" s="93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24.75" customHeight="1">
      <c r="A195" s="50"/>
      <c r="B195" s="93"/>
      <c r="C195" s="93"/>
      <c r="D195" s="93"/>
      <c r="E195" s="93"/>
      <c r="F195" s="93"/>
      <c r="G195" s="93"/>
      <c r="H195" s="93"/>
      <c r="I195" s="93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24.75" customHeight="1">
      <c r="A196" s="50"/>
      <c r="B196" s="93"/>
      <c r="C196" s="93"/>
      <c r="D196" s="93"/>
      <c r="E196" s="93"/>
      <c r="F196" s="93"/>
      <c r="G196" s="93"/>
      <c r="H196" s="93"/>
      <c r="I196" s="93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24.75" customHeight="1">
      <c r="A197" s="50"/>
      <c r="B197" s="93"/>
      <c r="C197" s="93"/>
      <c r="D197" s="93"/>
      <c r="E197" s="93"/>
      <c r="F197" s="93"/>
      <c r="G197" s="93"/>
      <c r="H197" s="93"/>
      <c r="I197" s="93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24.75" customHeight="1">
      <c r="A198" s="50"/>
      <c r="B198" s="93"/>
      <c r="C198" s="93"/>
      <c r="D198" s="93"/>
      <c r="E198" s="93"/>
      <c r="F198" s="93"/>
      <c r="G198" s="93"/>
      <c r="H198" s="93"/>
      <c r="I198" s="93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24.75" customHeight="1">
      <c r="A199" s="50"/>
      <c r="B199" s="93"/>
      <c r="C199" s="93"/>
      <c r="D199" s="93"/>
      <c r="E199" s="93"/>
      <c r="F199" s="93"/>
      <c r="G199" s="93"/>
      <c r="H199" s="93"/>
      <c r="I199" s="93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24.75" customHeight="1">
      <c r="A200" s="50"/>
      <c r="B200" s="93"/>
      <c r="C200" s="93"/>
      <c r="D200" s="93"/>
      <c r="E200" s="93"/>
      <c r="F200" s="93"/>
      <c r="G200" s="93"/>
      <c r="H200" s="93"/>
      <c r="I200" s="93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24.75" customHeight="1">
      <c r="A201" s="50"/>
      <c r="B201" s="93"/>
      <c r="C201" s="93"/>
      <c r="D201" s="93"/>
      <c r="E201" s="93"/>
      <c r="F201" s="93"/>
      <c r="G201" s="93"/>
      <c r="H201" s="93"/>
      <c r="I201" s="93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24.75" customHeight="1">
      <c r="A202" s="50"/>
      <c r="B202" s="93"/>
      <c r="C202" s="93"/>
      <c r="D202" s="93"/>
      <c r="E202" s="93"/>
      <c r="F202" s="93"/>
      <c r="G202" s="93"/>
      <c r="H202" s="93"/>
      <c r="I202" s="93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24.75" customHeight="1">
      <c r="A203" s="50"/>
      <c r="B203" s="93"/>
      <c r="C203" s="93"/>
      <c r="D203" s="93"/>
      <c r="E203" s="93"/>
      <c r="F203" s="93"/>
      <c r="G203" s="93"/>
      <c r="H203" s="93"/>
      <c r="I203" s="93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24.75" customHeight="1">
      <c r="A204" s="50"/>
      <c r="B204" s="93"/>
      <c r="C204" s="93"/>
      <c r="D204" s="93"/>
      <c r="E204" s="93"/>
      <c r="F204" s="93"/>
      <c r="G204" s="93"/>
      <c r="H204" s="93"/>
      <c r="I204" s="93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24.75" customHeight="1">
      <c r="A205" s="50"/>
      <c r="B205" s="93"/>
      <c r="C205" s="93"/>
      <c r="D205" s="93"/>
      <c r="E205" s="93"/>
      <c r="F205" s="93"/>
      <c r="G205" s="93"/>
      <c r="H205" s="93"/>
      <c r="I205" s="93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24.75" customHeight="1">
      <c r="A206" s="50"/>
      <c r="B206" s="93"/>
      <c r="C206" s="93"/>
      <c r="D206" s="93"/>
      <c r="E206" s="93"/>
      <c r="F206" s="93"/>
      <c r="G206" s="93"/>
      <c r="H206" s="93"/>
      <c r="I206" s="93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24.75" customHeight="1">
      <c r="A207" s="50"/>
      <c r="B207" s="93"/>
      <c r="C207" s="93"/>
      <c r="D207" s="93"/>
      <c r="E207" s="93"/>
      <c r="F207" s="93"/>
      <c r="G207" s="93"/>
      <c r="H207" s="93"/>
      <c r="I207" s="93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24.75" customHeight="1">
      <c r="A208" s="50"/>
      <c r="B208" s="93"/>
      <c r="C208" s="93"/>
      <c r="D208" s="93"/>
      <c r="E208" s="93"/>
      <c r="F208" s="93"/>
      <c r="G208" s="93"/>
      <c r="H208" s="93"/>
      <c r="I208" s="93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24.75" customHeight="1">
      <c r="A209" s="50"/>
      <c r="B209" s="93"/>
      <c r="C209" s="93"/>
      <c r="D209" s="93"/>
      <c r="E209" s="93"/>
      <c r="F209" s="93"/>
      <c r="G209" s="93"/>
      <c r="H209" s="93"/>
      <c r="I209" s="93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24.75" customHeight="1">
      <c r="A210" s="50"/>
      <c r="B210" s="93"/>
      <c r="C210" s="93"/>
      <c r="D210" s="93"/>
      <c r="E210" s="93"/>
      <c r="F210" s="93"/>
      <c r="G210" s="93"/>
      <c r="H210" s="93"/>
      <c r="I210" s="93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24.75" customHeight="1">
      <c r="A211" s="50"/>
      <c r="B211" s="93"/>
      <c r="C211" s="93"/>
      <c r="D211" s="93"/>
      <c r="E211" s="93"/>
      <c r="F211" s="93"/>
      <c r="G211" s="93"/>
      <c r="H211" s="93"/>
      <c r="I211" s="93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24.75" customHeight="1">
      <c r="A212" s="50"/>
      <c r="B212" s="93"/>
      <c r="C212" s="93"/>
      <c r="D212" s="93"/>
      <c r="E212" s="93"/>
      <c r="F212" s="93"/>
      <c r="G212" s="93"/>
      <c r="H212" s="93"/>
      <c r="I212" s="93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24.75" customHeight="1">
      <c r="A213" s="50"/>
      <c r="B213" s="93"/>
      <c r="C213" s="93"/>
      <c r="D213" s="93"/>
      <c r="E213" s="93"/>
      <c r="F213" s="93"/>
      <c r="G213" s="93"/>
      <c r="H213" s="93"/>
      <c r="I213" s="93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24.75" customHeight="1">
      <c r="A214" s="50"/>
      <c r="B214" s="93"/>
      <c r="C214" s="93"/>
      <c r="D214" s="93"/>
      <c r="E214" s="93"/>
      <c r="F214" s="93"/>
      <c r="G214" s="93"/>
      <c r="H214" s="93"/>
      <c r="I214" s="93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24.75" customHeight="1">
      <c r="A215" s="50"/>
      <c r="B215" s="93"/>
      <c r="C215" s="93"/>
      <c r="D215" s="93"/>
      <c r="E215" s="93"/>
      <c r="F215" s="93"/>
      <c r="G215" s="93"/>
      <c r="H215" s="93"/>
      <c r="I215" s="93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24.75" customHeight="1">
      <c r="A216" s="50"/>
      <c r="B216" s="93"/>
      <c r="C216" s="93"/>
      <c r="D216" s="93"/>
      <c r="E216" s="93"/>
      <c r="F216" s="93"/>
      <c r="G216" s="93"/>
      <c r="H216" s="93"/>
      <c r="I216" s="93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24.75" customHeight="1">
      <c r="A217" s="50"/>
      <c r="B217" s="93"/>
      <c r="C217" s="93"/>
      <c r="D217" s="93"/>
      <c r="E217" s="93"/>
      <c r="F217" s="93"/>
      <c r="G217" s="93"/>
      <c r="H217" s="93"/>
      <c r="I217" s="93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24.75" customHeight="1">
      <c r="A218" s="50"/>
      <c r="B218" s="93"/>
      <c r="C218" s="93"/>
      <c r="D218" s="93"/>
      <c r="E218" s="93"/>
      <c r="F218" s="93"/>
      <c r="G218" s="93"/>
      <c r="H218" s="93"/>
      <c r="I218" s="93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24.75" customHeight="1">
      <c r="A219" s="50"/>
      <c r="B219" s="93"/>
      <c r="C219" s="93"/>
      <c r="D219" s="93"/>
      <c r="E219" s="93"/>
      <c r="F219" s="93"/>
      <c r="G219" s="93"/>
      <c r="H219" s="93"/>
      <c r="I219" s="93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24.75" customHeight="1">
      <c r="A220" s="50"/>
      <c r="B220" s="93"/>
      <c r="C220" s="93"/>
      <c r="D220" s="93"/>
      <c r="E220" s="93"/>
      <c r="F220" s="93"/>
      <c r="G220" s="93"/>
      <c r="H220" s="93"/>
      <c r="I220" s="93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24.75" customHeight="1">
      <c r="A221" s="50"/>
      <c r="B221" s="93"/>
      <c r="C221" s="93"/>
      <c r="D221" s="93"/>
      <c r="E221" s="93"/>
      <c r="F221" s="93"/>
      <c r="G221" s="93"/>
      <c r="H221" s="93"/>
      <c r="I221" s="93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24.75" customHeight="1">
      <c r="A222" s="50"/>
      <c r="B222" s="93"/>
      <c r="C222" s="93"/>
      <c r="D222" s="93"/>
      <c r="E222" s="93"/>
      <c r="F222" s="93"/>
      <c r="G222" s="93"/>
      <c r="H222" s="93"/>
      <c r="I222" s="93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24.75" customHeight="1">
      <c r="A223" s="50"/>
      <c r="B223" s="93"/>
      <c r="C223" s="93"/>
      <c r="D223" s="93"/>
      <c r="E223" s="93"/>
      <c r="F223" s="93"/>
      <c r="G223" s="93"/>
      <c r="H223" s="93"/>
      <c r="I223" s="93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24.75" customHeight="1">
      <c r="A224" s="50"/>
      <c r="B224" s="93"/>
      <c r="C224" s="93"/>
      <c r="D224" s="93"/>
      <c r="E224" s="93"/>
      <c r="F224" s="93"/>
      <c r="G224" s="93"/>
      <c r="H224" s="93"/>
      <c r="I224" s="93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24.75" customHeight="1">
      <c r="A225" s="50"/>
      <c r="B225" s="93"/>
      <c r="C225" s="93"/>
      <c r="D225" s="93"/>
      <c r="E225" s="93"/>
      <c r="F225" s="93"/>
      <c r="G225" s="93"/>
      <c r="H225" s="93"/>
      <c r="I225" s="93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24.75" customHeight="1">
      <c r="A226" s="50"/>
      <c r="B226" s="93"/>
      <c r="C226" s="93"/>
      <c r="D226" s="93"/>
      <c r="E226" s="93"/>
      <c r="F226" s="93"/>
      <c r="G226" s="93"/>
      <c r="H226" s="93"/>
      <c r="I226" s="93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24.75" customHeight="1">
      <c r="A227" s="50"/>
      <c r="B227" s="93"/>
      <c r="C227" s="93"/>
      <c r="D227" s="93"/>
      <c r="E227" s="93"/>
      <c r="F227" s="93"/>
      <c r="G227" s="93"/>
      <c r="H227" s="93"/>
      <c r="I227" s="93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24.75" customHeight="1">
      <c r="A228" s="50"/>
      <c r="B228" s="93"/>
      <c r="C228" s="93"/>
      <c r="D228" s="93"/>
      <c r="E228" s="93"/>
      <c r="F228" s="93"/>
      <c r="G228" s="93"/>
      <c r="H228" s="93"/>
      <c r="I228" s="93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24.75" customHeight="1">
      <c r="A229" s="50"/>
      <c r="B229" s="93"/>
      <c r="C229" s="93"/>
      <c r="D229" s="93"/>
      <c r="E229" s="93"/>
      <c r="F229" s="93"/>
      <c r="G229" s="93"/>
      <c r="H229" s="93"/>
      <c r="I229" s="93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24.75" customHeight="1">
      <c r="A230" s="50"/>
      <c r="B230" s="93"/>
      <c r="C230" s="93"/>
      <c r="D230" s="93"/>
      <c r="E230" s="93"/>
      <c r="F230" s="93"/>
      <c r="G230" s="93"/>
      <c r="H230" s="93"/>
      <c r="I230" s="93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24.75" customHeight="1">
      <c r="A231" s="50"/>
      <c r="B231" s="93"/>
      <c r="C231" s="93"/>
      <c r="D231" s="93"/>
      <c r="E231" s="93"/>
      <c r="F231" s="93"/>
      <c r="G231" s="93"/>
      <c r="H231" s="93"/>
      <c r="I231" s="93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24.75" customHeight="1">
      <c r="A232" s="50"/>
      <c r="B232" s="93"/>
      <c r="C232" s="93"/>
      <c r="D232" s="93"/>
      <c r="E232" s="93"/>
      <c r="F232" s="93"/>
      <c r="G232" s="93"/>
      <c r="H232" s="93"/>
      <c r="I232" s="93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24.75" customHeight="1">
      <c r="A233" s="50"/>
      <c r="B233" s="93"/>
      <c r="C233" s="93"/>
      <c r="D233" s="93"/>
      <c r="E233" s="93"/>
      <c r="F233" s="93"/>
      <c r="G233" s="93"/>
      <c r="H233" s="93"/>
      <c r="I233" s="93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24.75" customHeight="1">
      <c r="A234" s="50"/>
      <c r="B234" s="93"/>
      <c r="C234" s="93"/>
      <c r="D234" s="93"/>
      <c r="E234" s="93"/>
      <c r="F234" s="93"/>
      <c r="G234" s="93"/>
      <c r="H234" s="93"/>
      <c r="I234" s="93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24.75" customHeight="1">
      <c r="A235" s="50"/>
      <c r="B235" s="93"/>
      <c r="C235" s="93"/>
      <c r="D235" s="93"/>
      <c r="E235" s="93"/>
      <c r="F235" s="93"/>
      <c r="G235" s="93"/>
      <c r="H235" s="93"/>
      <c r="I235" s="93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24.75" customHeight="1">
      <c r="A236" s="50"/>
      <c r="B236" s="93"/>
      <c r="C236" s="93"/>
      <c r="D236" s="93"/>
      <c r="E236" s="93"/>
      <c r="F236" s="93"/>
      <c r="G236" s="93"/>
      <c r="H236" s="93"/>
      <c r="I236" s="93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24.75" customHeight="1">
      <c r="A237" s="50"/>
      <c r="B237" s="93"/>
      <c r="C237" s="93"/>
      <c r="D237" s="93"/>
      <c r="E237" s="93"/>
      <c r="F237" s="93"/>
      <c r="G237" s="93"/>
      <c r="H237" s="93"/>
      <c r="I237" s="93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24.75" customHeight="1">
      <c r="A238" s="50"/>
      <c r="B238" s="93"/>
      <c r="C238" s="93"/>
      <c r="D238" s="93"/>
      <c r="E238" s="93"/>
      <c r="F238" s="93"/>
      <c r="G238" s="93"/>
      <c r="H238" s="93"/>
      <c r="I238" s="93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24.75" customHeight="1">
      <c r="A239" s="50"/>
      <c r="B239" s="93"/>
      <c r="C239" s="93"/>
      <c r="D239" s="93"/>
      <c r="E239" s="93"/>
      <c r="F239" s="93"/>
      <c r="G239" s="93"/>
      <c r="H239" s="93"/>
      <c r="I239" s="93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24.75" customHeight="1">
      <c r="A240" s="50"/>
      <c r="B240" s="93"/>
      <c r="C240" s="93"/>
      <c r="D240" s="93"/>
      <c r="E240" s="93"/>
      <c r="F240" s="93"/>
      <c r="G240" s="93"/>
      <c r="H240" s="93"/>
      <c r="I240" s="93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24.75" customHeight="1">
      <c r="A241" s="50"/>
      <c r="B241" s="93"/>
      <c r="C241" s="93"/>
      <c r="D241" s="93"/>
      <c r="E241" s="93"/>
      <c r="F241" s="93"/>
      <c r="G241" s="93"/>
      <c r="H241" s="93"/>
      <c r="I241" s="93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24.75" customHeight="1">
      <c r="A242" s="50"/>
      <c r="B242" s="93"/>
      <c r="C242" s="93"/>
      <c r="D242" s="93"/>
      <c r="E242" s="93"/>
      <c r="F242" s="93"/>
      <c r="G242" s="93"/>
      <c r="H242" s="93"/>
      <c r="I242" s="93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24.75" customHeight="1">
      <c r="A243" s="50"/>
      <c r="B243" s="93"/>
      <c r="C243" s="93"/>
      <c r="D243" s="93"/>
      <c r="E243" s="93"/>
      <c r="F243" s="93"/>
      <c r="G243" s="93"/>
      <c r="H243" s="93"/>
      <c r="I243" s="93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24.75" customHeight="1">
      <c r="A244" s="50"/>
      <c r="B244" s="93"/>
      <c r="C244" s="93"/>
      <c r="D244" s="93"/>
      <c r="E244" s="93"/>
      <c r="F244" s="93"/>
      <c r="G244" s="93"/>
      <c r="H244" s="93"/>
      <c r="I244" s="93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24.75" customHeight="1">
      <c r="A245" s="50"/>
      <c r="B245" s="93"/>
      <c r="C245" s="93"/>
      <c r="D245" s="93"/>
      <c r="E245" s="93"/>
      <c r="F245" s="93"/>
      <c r="G245" s="93"/>
      <c r="H245" s="93"/>
      <c r="I245" s="93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24.75" customHeight="1">
      <c r="A246" s="50"/>
      <c r="B246" s="93"/>
      <c r="C246" s="93"/>
      <c r="D246" s="93"/>
      <c r="E246" s="93"/>
      <c r="F246" s="93"/>
      <c r="G246" s="93"/>
      <c r="H246" s="93"/>
      <c r="I246" s="93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24.75" customHeight="1">
      <c r="A247" s="50"/>
      <c r="B247" s="93"/>
      <c r="C247" s="93"/>
      <c r="D247" s="93"/>
      <c r="E247" s="93"/>
      <c r="F247" s="93"/>
      <c r="G247" s="93"/>
      <c r="H247" s="93"/>
      <c r="I247" s="93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24.75" customHeight="1">
      <c r="A248" s="50"/>
      <c r="B248" s="93"/>
      <c r="C248" s="93"/>
      <c r="D248" s="93"/>
      <c r="E248" s="93"/>
      <c r="F248" s="93"/>
      <c r="G248" s="93"/>
      <c r="H248" s="93"/>
      <c r="I248" s="93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24.75" customHeight="1">
      <c r="A249" s="50"/>
      <c r="B249" s="93"/>
      <c r="C249" s="93"/>
      <c r="D249" s="93"/>
      <c r="E249" s="93"/>
      <c r="F249" s="93"/>
      <c r="G249" s="93"/>
      <c r="H249" s="93"/>
      <c r="I249" s="93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24.75" customHeight="1">
      <c r="A250" s="50"/>
      <c r="B250" s="93"/>
      <c r="C250" s="93"/>
      <c r="D250" s="93"/>
      <c r="E250" s="93"/>
      <c r="F250" s="93"/>
      <c r="G250" s="93"/>
      <c r="H250" s="93"/>
      <c r="I250" s="93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24.75" customHeight="1">
      <c r="A251" s="50"/>
      <c r="B251" s="93"/>
      <c r="C251" s="93"/>
      <c r="D251" s="93"/>
      <c r="E251" s="93"/>
      <c r="F251" s="93"/>
      <c r="G251" s="93"/>
      <c r="H251" s="93"/>
      <c r="I251" s="93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24.75" customHeight="1">
      <c r="A252" s="50"/>
      <c r="B252" s="93"/>
      <c r="C252" s="93"/>
      <c r="D252" s="93"/>
      <c r="E252" s="93"/>
      <c r="F252" s="93"/>
      <c r="G252" s="93"/>
      <c r="H252" s="93"/>
      <c r="I252" s="93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24.75" customHeight="1">
      <c r="A253" s="50"/>
      <c r="B253" s="93"/>
      <c r="C253" s="93"/>
      <c r="D253" s="93"/>
      <c r="E253" s="93"/>
      <c r="F253" s="93"/>
      <c r="G253" s="93"/>
      <c r="H253" s="93"/>
      <c r="I253" s="93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24.75" customHeight="1">
      <c r="A254" s="50"/>
      <c r="B254" s="93"/>
      <c r="C254" s="93"/>
      <c r="D254" s="93"/>
      <c r="E254" s="93"/>
      <c r="F254" s="93"/>
      <c r="G254" s="93"/>
      <c r="H254" s="93"/>
      <c r="I254" s="93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24.75" customHeight="1">
      <c r="A255" s="50"/>
      <c r="B255" s="93"/>
      <c r="C255" s="93"/>
      <c r="D255" s="93"/>
      <c r="E255" s="93"/>
      <c r="F255" s="93"/>
      <c r="G255" s="93"/>
      <c r="H255" s="93"/>
      <c r="I255" s="93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24.75" customHeight="1">
      <c r="A256" s="50"/>
      <c r="B256" s="93"/>
      <c r="C256" s="93"/>
      <c r="D256" s="93"/>
      <c r="E256" s="93"/>
      <c r="F256" s="93"/>
      <c r="G256" s="93"/>
      <c r="H256" s="93"/>
      <c r="I256" s="93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24.75" customHeight="1">
      <c r="A257" s="50"/>
      <c r="B257" s="93"/>
      <c r="C257" s="93"/>
      <c r="D257" s="93"/>
      <c r="E257" s="93"/>
      <c r="F257" s="93"/>
      <c r="G257" s="93"/>
      <c r="H257" s="93"/>
      <c r="I257" s="93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24.75" customHeight="1">
      <c r="A258" s="50"/>
      <c r="B258" s="93"/>
      <c r="C258" s="93"/>
      <c r="D258" s="93"/>
      <c r="E258" s="93"/>
      <c r="F258" s="93"/>
      <c r="G258" s="93"/>
      <c r="H258" s="93"/>
      <c r="I258" s="93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24.75" customHeight="1">
      <c r="A259" s="50"/>
      <c r="B259" s="93"/>
      <c r="C259" s="93"/>
      <c r="D259" s="93"/>
      <c r="E259" s="93"/>
      <c r="F259" s="93"/>
      <c r="G259" s="93"/>
      <c r="H259" s="93"/>
      <c r="I259" s="93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24.75" customHeight="1">
      <c r="A260" s="50"/>
      <c r="B260" s="93"/>
      <c r="C260" s="93"/>
      <c r="D260" s="93"/>
      <c r="E260" s="93"/>
      <c r="F260" s="93"/>
      <c r="G260" s="93"/>
      <c r="H260" s="93"/>
      <c r="I260" s="93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24.75" customHeight="1">
      <c r="A261" s="50"/>
      <c r="B261" s="93"/>
      <c r="C261" s="93"/>
      <c r="D261" s="93"/>
      <c r="E261" s="93"/>
      <c r="F261" s="93"/>
      <c r="G261" s="93"/>
      <c r="H261" s="93"/>
      <c r="I261" s="93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24.75" customHeight="1">
      <c r="A262" s="50"/>
      <c r="B262" s="93"/>
      <c r="C262" s="93"/>
      <c r="D262" s="93"/>
      <c r="E262" s="93"/>
      <c r="F262" s="93"/>
      <c r="G262" s="93"/>
      <c r="H262" s="93"/>
      <c r="I262" s="93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24.75" customHeight="1">
      <c r="A263" s="50"/>
      <c r="B263" s="93"/>
      <c r="C263" s="93"/>
      <c r="D263" s="93"/>
      <c r="E263" s="93"/>
      <c r="F263" s="93"/>
      <c r="G263" s="93"/>
      <c r="H263" s="93"/>
      <c r="I263" s="93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24.75" customHeight="1">
      <c r="A264" s="50"/>
      <c r="B264" s="93"/>
      <c r="C264" s="93"/>
      <c r="D264" s="93"/>
      <c r="E264" s="93"/>
      <c r="F264" s="93"/>
      <c r="G264" s="93"/>
      <c r="H264" s="93"/>
      <c r="I264" s="93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24.75" customHeight="1">
      <c r="A265" s="50"/>
      <c r="B265" s="93"/>
      <c r="C265" s="93"/>
      <c r="D265" s="93"/>
      <c r="E265" s="93"/>
      <c r="F265" s="93"/>
      <c r="G265" s="93"/>
      <c r="H265" s="93"/>
      <c r="I265" s="93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24.75" customHeight="1">
      <c r="A266" s="50"/>
      <c r="B266" s="93"/>
      <c r="C266" s="93"/>
      <c r="D266" s="93"/>
      <c r="E266" s="93"/>
      <c r="F266" s="93"/>
      <c r="G266" s="93"/>
      <c r="H266" s="93"/>
      <c r="I266" s="93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24.75" customHeight="1">
      <c r="A267" s="50"/>
      <c r="B267" s="93"/>
      <c r="C267" s="93"/>
      <c r="D267" s="93"/>
      <c r="E267" s="93"/>
      <c r="F267" s="93"/>
      <c r="G267" s="93"/>
      <c r="H267" s="93"/>
      <c r="I267" s="93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24.75" customHeight="1">
      <c r="A268" s="50"/>
      <c r="B268" s="93"/>
      <c r="C268" s="93"/>
      <c r="D268" s="93"/>
      <c r="E268" s="93"/>
      <c r="F268" s="93"/>
      <c r="G268" s="93"/>
      <c r="H268" s="93"/>
      <c r="I268" s="93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24.75" customHeight="1">
      <c r="A269" s="50"/>
      <c r="B269" s="93"/>
      <c r="C269" s="93"/>
      <c r="D269" s="93"/>
      <c r="E269" s="93"/>
      <c r="F269" s="93"/>
      <c r="G269" s="93"/>
      <c r="H269" s="93"/>
      <c r="I269" s="93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24.75" customHeight="1">
      <c r="A270" s="50"/>
      <c r="B270" s="93"/>
      <c r="C270" s="93"/>
      <c r="D270" s="93"/>
      <c r="E270" s="93"/>
      <c r="F270" s="93"/>
      <c r="G270" s="93"/>
      <c r="H270" s="93"/>
      <c r="I270" s="93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24.75" customHeight="1">
      <c r="A271" s="50"/>
      <c r="B271" s="93"/>
      <c r="C271" s="93"/>
      <c r="D271" s="93"/>
      <c r="E271" s="93"/>
      <c r="F271" s="93"/>
      <c r="G271" s="93"/>
      <c r="H271" s="93"/>
      <c r="I271" s="93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24.75" customHeight="1">
      <c r="A272" s="50"/>
      <c r="B272" s="93"/>
      <c r="C272" s="93"/>
      <c r="D272" s="93"/>
      <c r="E272" s="93"/>
      <c r="F272" s="93"/>
      <c r="G272" s="93"/>
      <c r="H272" s="93"/>
      <c r="I272" s="93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24.75" customHeight="1">
      <c r="A273" s="50"/>
      <c r="B273" s="93"/>
      <c r="C273" s="93"/>
      <c r="D273" s="93"/>
      <c r="E273" s="93"/>
      <c r="F273" s="93"/>
      <c r="G273" s="93"/>
      <c r="H273" s="93"/>
      <c r="I273" s="93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24.75" customHeight="1">
      <c r="A274" s="50"/>
      <c r="B274" s="93"/>
      <c r="C274" s="93"/>
      <c r="D274" s="93"/>
      <c r="E274" s="93"/>
      <c r="F274" s="93"/>
      <c r="G274" s="93"/>
      <c r="H274" s="93"/>
      <c r="I274" s="93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24.75" customHeight="1">
      <c r="A275" s="50"/>
      <c r="B275" s="93"/>
      <c r="C275" s="93"/>
      <c r="D275" s="93"/>
      <c r="E275" s="93"/>
      <c r="F275" s="93"/>
      <c r="G275" s="93"/>
      <c r="H275" s="93"/>
      <c r="I275" s="93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24.75" customHeight="1">
      <c r="A276" s="50"/>
      <c r="B276" s="93"/>
      <c r="C276" s="93"/>
      <c r="D276" s="93"/>
      <c r="E276" s="93"/>
      <c r="F276" s="93"/>
      <c r="G276" s="93"/>
      <c r="H276" s="93"/>
      <c r="I276" s="93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24.75" customHeight="1">
      <c r="A277" s="50"/>
      <c r="B277" s="93"/>
      <c r="C277" s="93"/>
      <c r="D277" s="93"/>
      <c r="E277" s="93"/>
      <c r="F277" s="93"/>
      <c r="G277" s="93"/>
      <c r="H277" s="93"/>
      <c r="I277" s="93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24.75" customHeight="1">
      <c r="A278" s="50"/>
      <c r="B278" s="93"/>
      <c r="C278" s="93"/>
      <c r="D278" s="93"/>
      <c r="E278" s="93"/>
      <c r="F278" s="93"/>
      <c r="G278" s="93"/>
      <c r="H278" s="93"/>
      <c r="I278" s="93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24.75" customHeight="1">
      <c r="A279" s="50"/>
      <c r="B279" s="93"/>
      <c r="C279" s="93"/>
      <c r="D279" s="93"/>
      <c r="E279" s="93"/>
      <c r="F279" s="93"/>
      <c r="G279" s="93"/>
      <c r="H279" s="93"/>
      <c r="I279" s="93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24.75" customHeight="1">
      <c r="A280" s="50"/>
      <c r="B280" s="93"/>
      <c r="C280" s="93"/>
      <c r="D280" s="93"/>
      <c r="E280" s="93"/>
      <c r="F280" s="93"/>
      <c r="G280" s="93"/>
      <c r="H280" s="93"/>
      <c r="I280" s="93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24.75" customHeight="1">
      <c r="A281" s="50"/>
      <c r="B281" s="93"/>
      <c r="C281" s="93"/>
      <c r="D281" s="93"/>
      <c r="E281" s="93"/>
      <c r="F281" s="93"/>
      <c r="G281" s="93"/>
      <c r="H281" s="93"/>
      <c r="I281" s="93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24.75" customHeight="1">
      <c r="A282" s="50"/>
      <c r="B282" s="93"/>
      <c r="C282" s="93"/>
      <c r="D282" s="93"/>
      <c r="E282" s="93"/>
      <c r="F282" s="93"/>
      <c r="G282" s="93"/>
      <c r="H282" s="93"/>
      <c r="I282" s="93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24.75" customHeight="1">
      <c r="A283" s="50"/>
      <c r="B283" s="93"/>
      <c r="C283" s="93"/>
      <c r="D283" s="93"/>
      <c r="E283" s="93"/>
      <c r="F283" s="93"/>
      <c r="G283" s="93"/>
      <c r="H283" s="93"/>
      <c r="I283" s="93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24.75" customHeight="1">
      <c r="A284" s="50"/>
      <c r="B284" s="93"/>
      <c r="C284" s="93"/>
      <c r="D284" s="93"/>
      <c r="E284" s="93"/>
      <c r="F284" s="93"/>
      <c r="G284" s="93"/>
      <c r="H284" s="93"/>
      <c r="I284" s="93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24.75" customHeight="1">
      <c r="A285" s="50"/>
      <c r="B285" s="93"/>
      <c r="C285" s="93"/>
      <c r="D285" s="93"/>
      <c r="E285" s="93"/>
      <c r="F285" s="93"/>
      <c r="G285" s="93"/>
      <c r="H285" s="93"/>
      <c r="I285" s="93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24.75" customHeight="1">
      <c r="A286" s="50"/>
      <c r="B286" s="93"/>
      <c r="C286" s="93"/>
      <c r="D286" s="93"/>
      <c r="E286" s="93"/>
      <c r="F286" s="93"/>
      <c r="G286" s="93"/>
      <c r="H286" s="93"/>
      <c r="I286" s="93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24.75" customHeight="1">
      <c r="A287" s="50"/>
      <c r="B287" s="93"/>
      <c r="C287" s="93"/>
      <c r="D287" s="93"/>
      <c r="E287" s="93"/>
      <c r="F287" s="93"/>
      <c r="G287" s="93"/>
      <c r="H287" s="93"/>
      <c r="I287" s="93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24.75" customHeight="1">
      <c r="A288" s="50"/>
      <c r="B288" s="93"/>
      <c r="C288" s="93"/>
      <c r="D288" s="93"/>
      <c r="E288" s="93"/>
      <c r="F288" s="93"/>
      <c r="G288" s="93"/>
      <c r="H288" s="93"/>
      <c r="I288" s="93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24.75" customHeight="1">
      <c r="A289" s="50"/>
      <c r="B289" s="93"/>
      <c r="C289" s="93"/>
      <c r="D289" s="93"/>
      <c r="E289" s="93"/>
      <c r="F289" s="93"/>
      <c r="G289" s="93"/>
      <c r="H289" s="93"/>
      <c r="I289" s="93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24.75" customHeight="1">
      <c r="A290" s="50"/>
      <c r="B290" s="93"/>
      <c r="C290" s="93"/>
      <c r="D290" s="93"/>
      <c r="E290" s="93"/>
      <c r="F290" s="93"/>
      <c r="G290" s="93"/>
      <c r="H290" s="93"/>
      <c r="I290" s="93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24.75" customHeight="1">
      <c r="A291" s="50"/>
      <c r="B291" s="93"/>
      <c r="C291" s="93"/>
      <c r="D291" s="93"/>
      <c r="E291" s="93"/>
      <c r="F291" s="93"/>
      <c r="G291" s="93"/>
      <c r="H291" s="93"/>
      <c r="I291" s="93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24.75" customHeight="1">
      <c r="A292" s="50"/>
      <c r="B292" s="93"/>
      <c r="C292" s="93"/>
      <c r="D292" s="93"/>
      <c r="E292" s="93"/>
      <c r="F292" s="93"/>
      <c r="G292" s="93"/>
      <c r="H292" s="93"/>
      <c r="I292" s="93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24.75" customHeight="1">
      <c r="A293" s="50"/>
      <c r="B293" s="93"/>
      <c r="C293" s="93"/>
      <c r="D293" s="93"/>
      <c r="E293" s="93"/>
      <c r="F293" s="93"/>
      <c r="G293" s="93"/>
      <c r="H293" s="93"/>
      <c r="I293" s="93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24.75" customHeight="1">
      <c r="A294" s="50"/>
      <c r="B294" s="93"/>
      <c r="C294" s="93"/>
      <c r="D294" s="93"/>
      <c r="E294" s="93"/>
      <c r="F294" s="93"/>
      <c r="G294" s="93"/>
      <c r="H294" s="93"/>
      <c r="I294" s="93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24.75" customHeight="1">
      <c r="A295" s="50"/>
      <c r="B295" s="93"/>
      <c r="C295" s="93"/>
      <c r="D295" s="93"/>
      <c r="E295" s="93"/>
      <c r="F295" s="93"/>
      <c r="G295" s="93"/>
      <c r="H295" s="93"/>
      <c r="I295" s="93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24.75" customHeight="1">
      <c r="A296" s="50"/>
      <c r="B296" s="93"/>
      <c r="C296" s="93"/>
      <c r="D296" s="93"/>
      <c r="E296" s="93"/>
      <c r="F296" s="93"/>
      <c r="G296" s="93"/>
      <c r="H296" s="93"/>
      <c r="I296" s="93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24.75" customHeight="1">
      <c r="A297" s="50"/>
      <c r="B297" s="93"/>
      <c r="C297" s="93"/>
      <c r="D297" s="93"/>
      <c r="E297" s="93"/>
      <c r="F297" s="93"/>
      <c r="G297" s="93"/>
      <c r="H297" s="93"/>
      <c r="I297" s="93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24.75" customHeight="1">
      <c r="A298" s="50"/>
      <c r="B298" s="93"/>
      <c r="C298" s="93"/>
      <c r="D298" s="93"/>
      <c r="E298" s="93"/>
      <c r="F298" s="93"/>
      <c r="G298" s="93"/>
      <c r="H298" s="93"/>
      <c r="I298" s="93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24.75" customHeight="1">
      <c r="A299" s="50"/>
      <c r="B299" s="93"/>
      <c r="C299" s="93"/>
      <c r="D299" s="93"/>
      <c r="E299" s="93"/>
      <c r="F299" s="93"/>
      <c r="G299" s="93"/>
      <c r="H299" s="93"/>
      <c r="I299" s="93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24.75" customHeight="1">
      <c r="A300" s="50"/>
      <c r="B300" s="93"/>
      <c r="C300" s="93"/>
      <c r="D300" s="93"/>
      <c r="E300" s="93"/>
      <c r="F300" s="93"/>
      <c r="G300" s="93"/>
      <c r="H300" s="93"/>
      <c r="I300" s="93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24.75" customHeight="1">
      <c r="A301" s="50"/>
      <c r="B301" s="93"/>
      <c r="C301" s="93"/>
      <c r="D301" s="93"/>
      <c r="E301" s="93"/>
      <c r="F301" s="93"/>
      <c r="G301" s="93"/>
      <c r="H301" s="93"/>
      <c r="I301" s="93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24.75" customHeight="1">
      <c r="A302" s="50"/>
      <c r="B302" s="93"/>
      <c r="C302" s="93"/>
      <c r="D302" s="93"/>
      <c r="E302" s="93"/>
      <c r="F302" s="93"/>
      <c r="G302" s="93"/>
      <c r="H302" s="93"/>
      <c r="I302" s="93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24.75" customHeight="1">
      <c r="A303" s="50"/>
      <c r="B303" s="93"/>
      <c r="C303" s="93"/>
      <c r="D303" s="93"/>
      <c r="E303" s="93"/>
      <c r="F303" s="93"/>
      <c r="G303" s="93"/>
      <c r="H303" s="93"/>
      <c r="I303" s="93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24.75" customHeight="1">
      <c r="A304" s="50"/>
      <c r="B304" s="93"/>
      <c r="C304" s="93"/>
      <c r="D304" s="93"/>
      <c r="E304" s="93"/>
      <c r="F304" s="93"/>
      <c r="G304" s="93"/>
      <c r="H304" s="93"/>
      <c r="I304" s="93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24.75" customHeight="1">
      <c r="A305" s="50"/>
      <c r="B305" s="93"/>
      <c r="C305" s="93"/>
      <c r="D305" s="93"/>
      <c r="E305" s="93"/>
      <c r="F305" s="93"/>
      <c r="G305" s="93"/>
      <c r="H305" s="93"/>
      <c r="I305" s="93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24.75" customHeight="1">
      <c r="A306" s="50"/>
      <c r="B306" s="93"/>
      <c r="C306" s="93"/>
      <c r="D306" s="93"/>
      <c r="E306" s="93"/>
      <c r="F306" s="93"/>
      <c r="G306" s="93"/>
      <c r="H306" s="93"/>
      <c r="I306" s="93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24.75" customHeight="1">
      <c r="A307" s="50"/>
      <c r="B307" s="93"/>
      <c r="C307" s="93"/>
      <c r="D307" s="93"/>
      <c r="E307" s="93"/>
      <c r="F307" s="93"/>
      <c r="G307" s="93"/>
      <c r="H307" s="93"/>
      <c r="I307" s="93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24.75" customHeight="1">
      <c r="A308" s="50"/>
      <c r="B308" s="93"/>
      <c r="C308" s="93"/>
      <c r="D308" s="93"/>
      <c r="E308" s="93"/>
      <c r="F308" s="93"/>
      <c r="G308" s="93"/>
      <c r="H308" s="93"/>
      <c r="I308" s="93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24.75" customHeight="1">
      <c r="A309" s="50"/>
      <c r="B309" s="93"/>
      <c r="C309" s="93"/>
      <c r="D309" s="93"/>
      <c r="E309" s="93"/>
      <c r="F309" s="93"/>
      <c r="G309" s="93"/>
      <c r="H309" s="93"/>
      <c r="I309" s="93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24.75" customHeight="1">
      <c r="A310" s="50"/>
      <c r="B310" s="93"/>
      <c r="C310" s="93"/>
      <c r="D310" s="93"/>
      <c r="E310" s="93"/>
      <c r="F310" s="93"/>
      <c r="G310" s="93"/>
      <c r="H310" s="93"/>
      <c r="I310" s="93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24.75" customHeight="1">
      <c r="A311" s="50"/>
      <c r="B311" s="93"/>
      <c r="C311" s="93"/>
      <c r="D311" s="93"/>
      <c r="E311" s="93"/>
      <c r="F311" s="93"/>
      <c r="G311" s="93"/>
      <c r="H311" s="93"/>
      <c r="I311" s="93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24.75" customHeight="1">
      <c r="A312" s="50"/>
      <c r="B312" s="93"/>
      <c r="C312" s="93"/>
      <c r="D312" s="93"/>
      <c r="E312" s="93"/>
      <c r="F312" s="93"/>
      <c r="G312" s="93"/>
      <c r="H312" s="93"/>
      <c r="I312" s="93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24.75" customHeight="1">
      <c r="A313" s="50"/>
      <c r="B313" s="93"/>
      <c r="C313" s="93"/>
      <c r="D313" s="93"/>
      <c r="E313" s="93"/>
      <c r="F313" s="93"/>
      <c r="G313" s="93"/>
      <c r="H313" s="93"/>
      <c r="I313" s="93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24.75" customHeight="1">
      <c r="A314" s="50"/>
      <c r="B314" s="93"/>
      <c r="C314" s="93"/>
      <c r="D314" s="93"/>
      <c r="E314" s="93"/>
      <c r="F314" s="93"/>
      <c r="G314" s="93"/>
      <c r="H314" s="93"/>
      <c r="I314" s="93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24.75" customHeight="1">
      <c r="A315" s="50"/>
      <c r="B315" s="93"/>
      <c r="C315" s="93"/>
      <c r="D315" s="93"/>
      <c r="E315" s="93"/>
      <c r="F315" s="93"/>
      <c r="G315" s="93"/>
      <c r="H315" s="93"/>
      <c r="I315" s="93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24.75" customHeight="1">
      <c r="A316" s="50"/>
      <c r="B316" s="93"/>
      <c r="C316" s="93"/>
      <c r="D316" s="93"/>
      <c r="E316" s="93"/>
      <c r="F316" s="93"/>
      <c r="G316" s="93"/>
      <c r="H316" s="93"/>
      <c r="I316" s="93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24.75" customHeight="1">
      <c r="A317" s="50"/>
      <c r="B317" s="93"/>
      <c r="C317" s="93"/>
      <c r="D317" s="93"/>
      <c r="E317" s="93"/>
      <c r="F317" s="93"/>
      <c r="G317" s="93"/>
      <c r="H317" s="93"/>
      <c r="I317" s="93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24.75" customHeight="1">
      <c r="A318" s="50"/>
      <c r="B318" s="93"/>
      <c r="C318" s="93"/>
      <c r="D318" s="93"/>
      <c r="E318" s="93"/>
      <c r="F318" s="93"/>
      <c r="G318" s="93"/>
      <c r="H318" s="93"/>
      <c r="I318" s="93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24.75" customHeight="1">
      <c r="A319" s="50"/>
      <c r="B319" s="93"/>
      <c r="C319" s="93"/>
      <c r="D319" s="93"/>
      <c r="E319" s="93"/>
      <c r="F319" s="93"/>
      <c r="G319" s="93"/>
      <c r="H319" s="93"/>
      <c r="I319" s="93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24.75" customHeight="1">
      <c r="A320" s="50"/>
      <c r="B320" s="93"/>
      <c r="C320" s="93"/>
      <c r="D320" s="93"/>
      <c r="E320" s="93"/>
      <c r="F320" s="93"/>
      <c r="G320" s="93"/>
      <c r="H320" s="93"/>
      <c r="I320" s="93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24.75" customHeight="1">
      <c r="A321" s="50"/>
      <c r="B321" s="93"/>
      <c r="C321" s="93"/>
      <c r="D321" s="93"/>
      <c r="E321" s="93"/>
      <c r="F321" s="93"/>
      <c r="G321" s="93"/>
      <c r="H321" s="93"/>
      <c r="I321" s="93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24.75" customHeight="1">
      <c r="A322" s="50"/>
      <c r="B322" s="93"/>
      <c r="C322" s="93"/>
      <c r="D322" s="93"/>
      <c r="E322" s="93"/>
      <c r="F322" s="93"/>
      <c r="G322" s="93"/>
      <c r="H322" s="93"/>
      <c r="I322" s="93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24.75" customHeight="1">
      <c r="A323" s="50"/>
      <c r="B323" s="93"/>
      <c r="C323" s="93"/>
      <c r="D323" s="93"/>
      <c r="E323" s="93"/>
      <c r="F323" s="93"/>
      <c r="G323" s="93"/>
      <c r="H323" s="93"/>
      <c r="I323" s="93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24.75" customHeight="1">
      <c r="A324" s="50"/>
      <c r="B324" s="93"/>
      <c r="C324" s="93"/>
      <c r="D324" s="93"/>
      <c r="E324" s="93"/>
      <c r="F324" s="93"/>
      <c r="G324" s="93"/>
      <c r="H324" s="93"/>
      <c r="I324" s="93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24.75" customHeight="1">
      <c r="A325" s="50"/>
      <c r="B325" s="93"/>
      <c r="C325" s="93"/>
      <c r="D325" s="93"/>
      <c r="E325" s="93"/>
      <c r="F325" s="93"/>
      <c r="G325" s="93"/>
      <c r="H325" s="93"/>
      <c r="I325" s="93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24.75" customHeight="1">
      <c r="A326" s="50"/>
      <c r="B326" s="93"/>
      <c r="C326" s="93"/>
      <c r="D326" s="93"/>
      <c r="E326" s="93"/>
      <c r="F326" s="93"/>
      <c r="G326" s="93"/>
      <c r="H326" s="93"/>
      <c r="I326" s="93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24.75" customHeight="1">
      <c r="A327" s="50"/>
      <c r="B327" s="93"/>
      <c r="C327" s="93"/>
      <c r="D327" s="93"/>
      <c r="E327" s="93"/>
      <c r="F327" s="93"/>
      <c r="G327" s="93"/>
      <c r="H327" s="93"/>
      <c r="I327" s="93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24.75" customHeight="1">
      <c r="A328" s="50"/>
      <c r="B328" s="93"/>
      <c r="C328" s="93"/>
      <c r="D328" s="93"/>
      <c r="E328" s="93"/>
      <c r="F328" s="93"/>
      <c r="G328" s="93"/>
      <c r="H328" s="93"/>
      <c r="I328" s="93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24.75" customHeight="1">
      <c r="A329" s="50"/>
      <c r="B329" s="93"/>
      <c r="C329" s="93"/>
      <c r="D329" s="93"/>
      <c r="E329" s="93"/>
      <c r="F329" s="93"/>
      <c r="G329" s="93"/>
      <c r="H329" s="93"/>
      <c r="I329" s="93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24.75" customHeight="1">
      <c r="A330" s="50"/>
      <c r="B330" s="93"/>
      <c r="C330" s="93"/>
      <c r="D330" s="93"/>
      <c r="E330" s="93"/>
      <c r="F330" s="93"/>
      <c r="G330" s="93"/>
      <c r="H330" s="93"/>
      <c r="I330" s="93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24.75" customHeight="1">
      <c r="A331" s="50"/>
      <c r="B331" s="93"/>
      <c r="C331" s="93"/>
      <c r="D331" s="93"/>
      <c r="E331" s="93"/>
      <c r="F331" s="93"/>
      <c r="G331" s="93"/>
      <c r="H331" s="93"/>
      <c r="I331" s="93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24.75" customHeight="1">
      <c r="A332" s="50"/>
      <c r="B332" s="93"/>
      <c r="C332" s="93"/>
      <c r="D332" s="93"/>
      <c r="E332" s="93"/>
      <c r="F332" s="93"/>
      <c r="G332" s="93"/>
      <c r="H332" s="93"/>
      <c r="I332" s="93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24.75" customHeight="1">
      <c r="A333" s="50"/>
      <c r="B333" s="93"/>
      <c r="C333" s="93"/>
      <c r="D333" s="93"/>
      <c r="E333" s="93"/>
      <c r="F333" s="93"/>
      <c r="G333" s="93"/>
      <c r="H333" s="93"/>
      <c r="I333" s="93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24.75" customHeight="1">
      <c r="A334" s="50"/>
      <c r="B334" s="93"/>
      <c r="C334" s="93"/>
      <c r="D334" s="93"/>
      <c r="E334" s="93"/>
      <c r="F334" s="93"/>
      <c r="G334" s="93"/>
      <c r="H334" s="93"/>
      <c r="I334" s="93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24.75" customHeight="1">
      <c r="A335" s="50"/>
      <c r="B335" s="93"/>
      <c r="C335" s="93"/>
      <c r="D335" s="93"/>
      <c r="E335" s="93"/>
      <c r="F335" s="93"/>
      <c r="G335" s="93"/>
      <c r="H335" s="93"/>
      <c r="I335" s="93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24.75" customHeight="1">
      <c r="A336" s="50"/>
      <c r="B336" s="93"/>
      <c r="C336" s="93"/>
      <c r="D336" s="93"/>
      <c r="E336" s="93"/>
      <c r="F336" s="93"/>
      <c r="G336" s="93"/>
      <c r="H336" s="93"/>
      <c r="I336" s="93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24.75" customHeight="1">
      <c r="A337" s="50"/>
      <c r="B337" s="93"/>
      <c r="C337" s="93"/>
      <c r="D337" s="93"/>
      <c r="E337" s="93"/>
      <c r="F337" s="93"/>
      <c r="G337" s="93"/>
      <c r="H337" s="93"/>
      <c r="I337" s="93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24.75" customHeight="1">
      <c r="A338" s="50"/>
      <c r="B338" s="93"/>
      <c r="C338" s="93"/>
      <c r="D338" s="93"/>
      <c r="E338" s="93"/>
      <c r="F338" s="93"/>
      <c r="G338" s="93"/>
      <c r="H338" s="93"/>
      <c r="I338" s="93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24.75" customHeight="1">
      <c r="A339" s="50"/>
      <c r="B339" s="93"/>
      <c r="C339" s="93"/>
      <c r="D339" s="93"/>
      <c r="E339" s="93"/>
      <c r="F339" s="93"/>
      <c r="G339" s="93"/>
      <c r="H339" s="93"/>
      <c r="I339" s="93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24.75" customHeight="1">
      <c r="A340" s="50"/>
      <c r="B340" s="93"/>
      <c r="C340" s="93"/>
      <c r="D340" s="93"/>
      <c r="E340" s="93"/>
      <c r="F340" s="93"/>
      <c r="G340" s="93"/>
      <c r="H340" s="93"/>
      <c r="I340" s="93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24.75" customHeight="1">
      <c r="A341" s="50"/>
      <c r="B341" s="93"/>
      <c r="C341" s="93"/>
      <c r="D341" s="93"/>
      <c r="E341" s="93"/>
      <c r="F341" s="93"/>
      <c r="G341" s="93"/>
      <c r="H341" s="93"/>
      <c r="I341" s="93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24.75" customHeight="1">
      <c r="A342" s="50"/>
      <c r="B342" s="93"/>
      <c r="C342" s="93"/>
      <c r="D342" s="93"/>
      <c r="E342" s="93"/>
      <c r="F342" s="93"/>
      <c r="G342" s="93"/>
      <c r="H342" s="93"/>
      <c r="I342" s="93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24.75" customHeight="1">
      <c r="A343" s="50"/>
      <c r="B343" s="93"/>
      <c r="C343" s="93"/>
      <c r="D343" s="93"/>
      <c r="E343" s="93"/>
      <c r="F343" s="93"/>
      <c r="G343" s="93"/>
      <c r="H343" s="93"/>
      <c r="I343" s="93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24.75" customHeight="1">
      <c r="A344" s="50"/>
      <c r="B344" s="93"/>
      <c r="C344" s="93"/>
      <c r="D344" s="93"/>
      <c r="E344" s="93"/>
      <c r="F344" s="93"/>
      <c r="G344" s="93"/>
      <c r="H344" s="93"/>
      <c r="I344" s="93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24.75" customHeight="1">
      <c r="A345" s="50"/>
      <c r="B345" s="93"/>
      <c r="C345" s="93"/>
      <c r="D345" s="93"/>
      <c r="E345" s="93"/>
      <c r="F345" s="93"/>
      <c r="G345" s="93"/>
      <c r="H345" s="93"/>
      <c r="I345" s="93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24.75" customHeight="1">
      <c r="A346" s="50"/>
      <c r="B346" s="93"/>
      <c r="C346" s="93"/>
      <c r="D346" s="93"/>
      <c r="E346" s="93"/>
      <c r="F346" s="93"/>
      <c r="G346" s="93"/>
      <c r="H346" s="93"/>
      <c r="I346" s="93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24.75" customHeight="1">
      <c r="A347" s="50"/>
      <c r="B347" s="93"/>
      <c r="C347" s="93"/>
      <c r="D347" s="93"/>
      <c r="E347" s="93"/>
      <c r="F347" s="93"/>
      <c r="G347" s="93"/>
      <c r="H347" s="93"/>
      <c r="I347" s="93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24.75" customHeight="1">
      <c r="A348" s="50"/>
      <c r="B348" s="93"/>
      <c r="C348" s="93"/>
      <c r="D348" s="93"/>
      <c r="E348" s="93"/>
      <c r="F348" s="93"/>
      <c r="G348" s="93"/>
      <c r="H348" s="93"/>
      <c r="I348" s="93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24.75" customHeight="1">
      <c r="A349" s="50"/>
      <c r="B349" s="93"/>
      <c r="C349" s="93"/>
      <c r="D349" s="93"/>
      <c r="E349" s="93"/>
      <c r="F349" s="93"/>
      <c r="G349" s="93"/>
      <c r="H349" s="93"/>
      <c r="I349" s="93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24.75" customHeight="1">
      <c r="A350" s="50"/>
      <c r="B350" s="93"/>
      <c r="C350" s="93"/>
      <c r="D350" s="93"/>
      <c r="E350" s="93"/>
      <c r="F350" s="93"/>
      <c r="G350" s="93"/>
      <c r="H350" s="93"/>
      <c r="I350" s="93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24.75" customHeight="1">
      <c r="A351" s="50"/>
      <c r="B351" s="93"/>
      <c r="C351" s="93"/>
      <c r="D351" s="93"/>
      <c r="E351" s="93"/>
      <c r="F351" s="93"/>
      <c r="G351" s="93"/>
      <c r="H351" s="93"/>
      <c r="I351" s="93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24.75" customHeight="1">
      <c r="A352" s="50"/>
      <c r="B352" s="93"/>
      <c r="C352" s="93"/>
      <c r="D352" s="93"/>
      <c r="E352" s="93"/>
      <c r="F352" s="93"/>
      <c r="G352" s="93"/>
      <c r="H352" s="93"/>
      <c r="I352" s="93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24.75" customHeight="1">
      <c r="A353" s="50"/>
      <c r="B353" s="93"/>
      <c r="C353" s="93"/>
      <c r="D353" s="93"/>
      <c r="E353" s="93"/>
      <c r="F353" s="93"/>
      <c r="G353" s="93"/>
      <c r="H353" s="93"/>
      <c r="I353" s="93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24.75" customHeight="1">
      <c r="A354" s="50"/>
      <c r="B354" s="93"/>
      <c r="C354" s="93"/>
      <c r="D354" s="93"/>
      <c r="E354" s="93"/>
      <c r="F354" s="93"/>
      <c r="G354" s="93"/>
      <c r="H354" s="93"/>
      <c r="I354" s="93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24.75" customHeight="1">
      <c r="A355" s="50"/>
      <c r="B355" s="93"/>
      <c r="C355" s="93"/>
      <c r="D355" s="93"/>
      <c r="E355" s="93"/>
      <c r="F355" s="93"/>
      <c r="G355" s="93"/>
      <c r="H355" s="93"/>
      <c r="I355" s="93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24.75" customHeight="1">
      <c r="A356" s="50"/>
      <c r="B356" s="93"/>
      <c r="C356" s="93"/>
      <c r="D356" s="93"/>
      <c r="E356" s="93"/>
      <c r="F356" s="93"/>
      <c r="G356" s="93"/>
      <c r="H356" s="93"/>
      <c r="I356" s="93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24.75" customHeight="1">
      <c r="A357" s="50"/>
      <c r="B357" s="93"/>
      <c r="C357" s="93"/>
      <c r="D357" s="93"/>
      <c r="E357" s="93"/>
      <c r="F357" s="93"/>
      <c r="G357" s="93"/>
      <c r="H357" s="93"/>
      <c r="I357" s="93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24.75" customHeight="1">
      <c r="A358" s="50"/>
      <c r="B358" s="93"/>
      <c r="C358" s="93"/>
      <c r="D358" s="93"/>
      <c r="E358" s="93"/>
      <c r="F358" s="93"/>
      <c r="G358" s="93"/>
      <c r="H358" s="93"/>
      <c r="I358" s="93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24.75" customHeight="1">
      <c r="A359" s="50"/>
      <c r="B359" s="93"/>
      <c r="C359" s="93"/>
      <c r="D359" s="93"/>
      <c r="E359" s="93"/>
      <c r="F359" s="93"/>
      <c r="G359" s="93"/>
      <c r="H359" s="93"/>
      <c r="I359" s="93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24.75" customHeight="1">
      <c r="A360" s="50"/>
      <c r="B360" s="93"/>
      <c r="C360" s="93"/>
      <c r="D360" s="93"/>
      <c r="E360" s="93"/>
      <c r="F360" s="93"/>
      <c r="G360" s="93"/>
      <c r="H360" s="93"/>
      <c r="I360" s="93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24.75" customHeight="1">
      <c r="A361" s="50"/>
      <c r="B361" s="93"/>
      <c r="C361" s="93"/>
      <c r="D361" s="93"/>
      <c r="E361" s="93"/>
      <c r="F361" s="93"/>
      <c r="G361" s="93"/>
      <c r="H361" s="93"/>
      <c r="I361" s="93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24.75" customHeight="1">
      <c r="A362" s="50"/>
      <c r="B362" s="93"/>
      <c r="C362" s="93"/>
      <c r="D362" s="93"/>
      <c r="E362" s="93"/>
      <c r="F362" s="93"/>
      <c r="G362" s="93"/>
      <c r="H362" s="93"/>
      <c r="I362" s="93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24.75" customHeight="1">
      <c r="A363" s="50"/>
      <c r="B363" s="93"/>
      <c r="C363" s="93"/>
      <c r="D363" s="93"/>
      <c r="E363" s="93"/>
      <c r="F363" s="93"/>
      <c r="G363" s="93"/>
      <c r="H363" s="93"/>
      <c r="I363" s="93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24.75" customHeight="1">
      <c r="A364" s="50"/>
      <c r="B364" s="93"/>
      <c r="C364" s="93"/>
      <c r="D364" s="93"/>
      <c r="E364" s="93"/>
      <c r="F364" s="93"/>
      <c r="G364" s="93"/>
      <c r="H364" s="93"/>
      <c r="I364" s="93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24.75" customHeight="1">
      <c r="A365" s="50"/>
      <c r="B365" s="93"/>
      <c r="C365" s="93"/>
      <c r="D365" s="93"/>
      <c r="E365" s="93"/>
      <c r="F365" s="93"/>
      <c r="G365" s="93"/>
      <c r="H365" s="93"/>
      <c r="I365" s="93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24.75" customHeight="1">
      <c r="A366" s="50"/>
      <c r="B366" s="93"/>
      <c r="C366" s="93"/>
      <c r="D366" s="93"/>
      <c r="E366" s="93"/>
      <c r="F366" s="93"/>
      <c r="G366" s="93"/>
      <c r="H366" s="93"/>
      <c r="I366" s="93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24.75" customHeight="1">
      <c r="A367" s="50"/>
      <c r="B367" s="93"/>
      <c r="C367" s="93"/>
      <c r="D367" s="93"/>
      <c r="E367" s="93"/>
      <c r="F367" s="93"/>
      <c r="G367" s="93"/>
      <c r="H367" s="93"/>
      <c r="I367" s="93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24.75" customHeight="1">
      <c r="A368" s="50"/>
      <c r="B368" s="93"/>
      <c r="C368" s="93"/>
      <c r="D368" s="93"/>
      <c r="E368" s="93"/>
      <c r="F368" s="93"/>
      <c r="G368" s="93"/>
      <c r="H368" s="93"/>
      <c r="I368" s="93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24.75" customHeight="1">
      <c r="A369" s="50"/>
      <c r="B369" s="93"/>
      <c r="C369" s="93"/>
      <c r="D369" s="93"/>
      <c r="E369" s="93"/>
      <c r="F369" s="93"/>
      <c r="G369" s="93"/>
      <c r="H369" s="93"/>
      <c r="I369" s="93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24.75" customHeight="1">
      <c r="A370" s="50"/>
      <c r="B370" s="93"/>
      <c r="C370" s="93"/>
      <c r="D370" s="93"/>
      <c r="E370" s="93"/>
      <c r="F370" s="93"/>
      <c r="G370" s="93"/>
      <c r="H370" s="93"/>
      <c r="I370" s="93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24.75" customHeight="1">
      <c r="A371" s="50"/>
      <c r="B371" s="93"/>
      <c r="C371" s="93"/>
      <c r="D371" s="93"/>
      <c r="E371" s="93"/>
      <c r="F371" s="93"/>
      <c r="G371" s="93"/>
      <c r="H371" s="93"/>
      <c r="I371" s="93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24.75" customHeight="1">
      <c r="A372" s="50"/>
      <c r="B372" s="93"/>
      <c r="C372" s="93"/>
      <c r="D372" s="93"/>
      <c r="E372" s="93"/>
      <c r="F372" s="93"/>
      <c r="G372" s="93"/>
      <c r="H372" s="93"/>
      <c r="I372" s="93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24.75" customHeight="1">
      <c r="A373" s="50"/>
      <c r="B373" s="93"/>
      <c r="C373" s="93"/>
      <c r="D373" s="93"/>
      <c r="E373" s="93"/>
      <c r="F373" s="93"/>
      <c r="G373" s="93"/>
      <c r="H373" s="93"/>
      <c r="I373" s="93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24.75" customHeight="1">
      <c r="A374" s="50"/>
      <c r="B374" s="93"/>
      <c r="C374" s="93"/>
      <c r="D374" s="93"/>
      <c r="E374" s="93"/>
      <c r="F374" s="93"/>
      <c r="G374" s="93"/>
      <c r="H374" s="93"/>
      <c r="I374" s="93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24.75" customHeight="1">
      <c r="A375" s="50"/>
      <c r="B375" s="93"/>
      <c r="C375" s="93"/>
      <c r="D375" s="93"/>
      <c r="E375" s="93"/>
      <c r="F375" s="93"/>
      <c r="G375" s="93"/>
      <c r="H375" s="93"/>
      <c r="I375" s="93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24.75" customHeight="1">
      <c r="A376" s="50"/>
      <c r="B376" s="93"/>
      <c r="C376" s="93"/>
      <c r="D376" s="93"/>
      <c r="E376" s="93"/>
      <c r="F376" s="93"/>
      <c r="G376" s="93"/>
      <c r="H376" s="93"/>
      <c r="I376" s="93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24.75" customHeight="1">
      <c r="A377" s="50"/>
      <c r="B377" s="93"/>
      <c r="C377" s="93"/>
      <c r="D377" s="93"/>
      <c r="E377" s="93"/>
      <c r="F377" s="93"/>
      <c r="G377" s="93"/>
      <c r="H377" s="93"/>
      <c r="I377" s="93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24.75" customHeight="1">
      <c r="A378" s="50"/>
      <c r="B378" s="93"/>
      <c r="C378" s="93"/>
      <c r="D378" s="93"/>
      <c r="E378" s="93"/>
      <c r="F378" s="93"/>
      <c r="G378" s="93"/>
      <c r="H378" s="93"/>
      <c r="I378" s="93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24.75" customHeight="1">
      <c r="A379" s="50"/>
      <c r="B379" s="93"/>
      <c r="C379" s="93"/>
      <c r="D379" s="93"/>
      <c r="E379" s="93"/>
      <c r="F379" s="93"/>
      <c r="G379" s="93"/>
      <c r="H379" s="93"/>
      <c r="I379" s="93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24.75" customHeight="1">
      <c r="A380" s="50"/>
      <c r="B380" s="93"/>
      <c r="C380" s="93"/>
      <c r="D380" s="93"/>
      <c r="E380" s="93"/>
      <c r="F380" s="93"/>
      <c r="G380" s="93"/>
      <c r="H380" s="93"/>
      <c r="I380" s="93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24.75" customHeight="1">
      <c r="A381" s="50"/>
      <c r="B381" s="93"/>
      <c r="C381" s="93"/>
      <c r="D381" s="93"/>
      <c r="E381" s="93"/>
      <c r="F381" s="93"/>
      <c r="G381" s="93"/>
      <c r="H381" s="93"/>
      <c r="I381" s="93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24.75" customHeight="1">
      <c r="A382" s="50"/>
      <c r="B382" s="93"/>
      <c r="C382" s="93"/>
      <c r="D382" s="93"/>
      <c r="E382" s="93"/>
      <c r="F382" s="93"/>
      <c r="G382" s="93"/>
      <c r="H382" s="93"/>
      <c r="I382" s="93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24.75" customHeight="1">
      <c r="A383" s="50"/>
      <c r="B383" s="93"/>
      <c r="C383" s="93"/>
      <c r="D383" s="93"/>
      <c r="E383" s="93"/>
      <c r="F383" s="93"/>
      <c r="G383" s="93"/>
      <c r="H383" s="93"/>
      <c r="I383" s="93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24.75" customHeight="1">
      <c r="A384" s="50"/>
      <c r="B384" s="93"/>
      <c r="C384" s="93"/>
      <c r="D384" s="93"/>
      <c r="E384" s="93"/>
      <c r="F384" s="93"/>
      <c r="G384" s="93"/>
      <c r="H384" s="93"/>
      <c r="I384" s="93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24.75" customHeight="1">
      <c r="A385" s="50"/>
      <c r="B385" s="93"/>
      <c r="C385" s="93"/>
      <c r="D385" s="93"/>
      <c r="E385" s="93"/>
      <c r="F385" s="93"/>
      <c r="G385" s="93"/>
      <c r="H385" s="93"/>
      <c r="I385" s="93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24.75" customHeight="1">
      <c r="A386" s="50"/>
      <c r="B386" s="93"/>
      <c r="C386" s="93"/>
      <c r="D386" s="93"/>
      <c r="E386" s="93"/>
      <c r="F386" s="93"/>
      <c r="G386" s="93"/>
      <c r="H386" s="93"/>
      <c r="I386" s="93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24.75" customHeight="1">
      <c r="A387" s="50"/>
      <c r="B387" s="93"/>
      <c r="C387" s="93"/>
      <c r="D387" s="93"/>
      <c r="E387" s="93"/>
      <c r="F387" s="93"/>
      <c r="G387" s="93"/>
      <c r="H387" s="93"/>
      <c r="I387" s="93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24.75" customHeight="1">
      <c r="A388" s="50"/>
      <c r="B388" s="93"/>
      <c r="C388" s="93"/>
      <c r="D388" s="93"/>
      <c r="E388" s="93"/>
      <c r="F388" s="93"/>
      <c r="G388" s="93"/>
      <c r="H388" s="93"/>
      <c r="I388" s="93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24.75" customHeight="1">
      <c r="A389" s="50"/>
      <c r="B389" s="93"/>
      <c r="C389" s="93"/>
      <c r="D389" s="93"/>
      <c r="E389" s="93"/>
      <c r="F389" s="93"/>
      <c r="G389" s="93"/>
      <c r="H389" s="93"/>
      <c r="I389" s="93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24.75" customHeight="1">
      <c r="A390" s="50"/>
      <c r="B390" s="93"/>
      <c r="C390" s="93"/>
      <c r="D390" s="93"/>
      <c r="E390" s="93"/>
      <c r="F390" s="93"/>
      <c r="G390" s="93"/>
      <c r="H390" s="93"/>
      <c r="I390" s="93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24.75" customHeight="1">
      <c r="A391" s="50"/>
      <c r="B391" s="93"/>
      <c r="C391" s="93"/>
      <c r="D391" s="93"/>
      <c r="E391" s="93"/>
      <c r="F391" s="93"/>
      <c r="G391" s="93"/>
      <c r="H391" s="93"/>
      <c r="I391" s="93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24.75" customHeight="1">
      <c r="A392" s="50"/>
      <c r="B392" s="93"/>
      <c r="C392" s="93"/>
      <c r="D392" s="93"/>
      <c r="E392" s="93"/>
      <c r="F392" s="93"/>
      <c r="G392" s="93"/>
      <c r="H392" s="93"/>
      <c r="I392" s="93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24.75" customHeight="1">
      <c r="A393" s="50"/>
      <c r="B393" s="93"/>
      <c r="C393" s="93"/>
      <c r="D393" s="93"/>
      <c r="E393" s="93"/>
      <c r="F393" s="93"/>
      <c r="G393" s="93"/>
      <c r="H393" s="93"/>
      <c r="I393" s="93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24.75" customHeight="1">
      <c r="A394" s="50"/>
      <c r="B394" s="93"/>
      <c r="C394" s="93"/>
      <c r="D394" s="93"/>
      <c r="E394" s="93"/>
      <c r="F394" s="93"/>
      <c r="G394" s="93"/>
      <c r="H394" s="93"/>
      <c r="I394" s="93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24.75" customHeight="1">
      <c r="A395" s="50"/>
      <c r="B395" s="93"/>
      <c r="C395" s="93"/>
      <c r="D395" s="93"/>
      <c r="E395" s="93"/>
      <c r="F395" s="93"/>
      <c r="G395" s="93"/>
      <c r="H395" s="93"/>
      <c r="I395" s="93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24.75" customHeight="1">
      <c r="A396" s="50"/>
      <c r="B396" s="93"/>
      <c r="C396" s="93"/>
      <c r="D396" s="93"/>
      <c r="E396" s="93"/>
      <c r="F396" s="93"/>
      <c r="G396" s="93"/>
      <c r="H396" s="93"/>
      <c r="I396" s="93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24.75" customHeight="1">
      <c r="A397" s="50"/>
      <c r="B397" s="93"/>
      <c r="C397" s="93"/>
      <c r="D397" s="93"/>
      <c r="E397" s="93"/>
      <c r="F397" s="93"/>
      <c r="G397" s="93"/>
      <c r="H397" s="93"/>
      <c r="I397" s="93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24.75" customHeight="1">
      <c r="A398" s="50"/>
      <c r="B398" s="93"/>
      <c r="C398" s="93"/>
      <c r="D398" s="93"/>
      <c r="E398" s="93"/>
      <c r="F398" s="93"/>
      <c r="G398" s="93"/>
      <c r="H398" s="93"/>
      <c r="I398" s="93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24.75" customHeight="1">
      <c r="A399" s="50"/>
      <c r="B399" s="93"/>
      <c r="C399" s="93"/>
      <c r="D399" s="93"/>
      <c r="E399" s="93"/>
      <c r="F399" s="93"/>
      <c r="G399" s="93"/>
      <c r="H399" s="93"/>
      <c r="I399" s="93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24.75" customHeight="1">
      <c r="A400" s="50"/>
      <c r="B400" s="93"/>
      <c r="C400" s="93"/>
      <c r="D400" s="93"/>
      <c r="E400" s="93"/>
      <c r="F400" s="93"/>
      <c r="G400" s="93"/>
      <c r="H400" s="93"/>
      <c r="I400" s="93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24.75" customHeight="1">
      <c r="A401" s="50"/>
      <c r="B401" s="93"/>
      <c r="C401" s="93"/>
      <c r="D401" s="93"/>
      <c r="E401" s="93"/>
      <c r="F401" s="93"/>
      <c r="G401" s="93"/>
      <c r="H401" s="93"/>
      <c r="I401" s="93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24.75" customHeight="1">
      <c r="A402" s="50"/>
      <c r="B402" s="93"/>
      <c r="C402" s="93"/>
      <c r="D402" s="93"/>
      <c r="E402" s="93"/>
      <c r="F402" s="93"/>
      <c r="G402" s="93"/>
      <c r="H402" s="93"/>
      <c r="I402" s="93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24.75" customHeight="1">
      <c r="A403" s="50"/>
      <c r="B403" s="93"/>
      <c r="C403" s="93"/>
      <c r="D403" s="93"/>
      <c r="E403" s="93"/>
      <c r="F403" s="93"/>
      <c r="G403" s="93"/>
      <c r="H403" s="93"/>
      <c r="I403" s="93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24.75" customHeight="1">
      <c r="A404" s="50"/>
      <c r="B404" s="93"/>
      <c r="C404" s="93"/>
      <c r="D404" s="93"/>
      <c r="E404" s="93"/>
      <c r="F404" s="93"/>
      <c r="G404" s="93"/>
      <c r="H404" s="93"/>
      <c r="I404" s="93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24.75" customHeight="1">
      <c r="A405" s="50"/>
      <c r="B405" s="93"/>
      <c r="C405" s="93"/>
      <c r="D405" s="93"/>
      <c r="E405" s="93"/>
      <c r="F405" s="93"/>
      <c r="G405" s="93"/>
      <c r="H405" s="93"/>
      <c r="I405" s="93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24.75" customHeight="1">
      <c r="A406" s="50"/>
      <c r="B406" s="93"/>
      <c r="C406" s="93"/>
      <c r="D406" s="93"/>
      <c r="E406" s="93"/>
      <c r="F406" s="93"/>
      <c r="G406" s="93"/>
      <c r="H406" s="93"/>
      <c r="I406" s="93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24.75" customHeight="1">
      <c r="A407" s="50"/>
      <c r="B407" s="93"/>
      <c r="C407" s="93"/>
      <c r="D407" s="93"/>
      <c r="E407" s="93"/>
      <c r="F407" s="93"/>
      <c r="G407" s="93"/>
      <c r="H407" s="93"/>
      <c r="I407" s="93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24.75" customHeight="1">
      <c r="A408" s="50"/>
      <c r="B408" s="93"/>
      <c r="C408" s="93"/>
      <c r="D408" s="93"/>
      <c r="E408" s="93"/>
      <c r="F408" s="93"/>
      <c r="G408" s="93"/>
      <c r="H408" s="93"/>
      <c r="I408" s="93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24.75" customHeight="1">
      <c r="A409" s="50"/>
      <c r="B409" s="93"/>
      <c r="C409" s="93"/>
      <c r="D409" s="93"/>
      <c r="E409" s="93"/>
      <c r="F409" s="93"/>
      <c r="G409" s="93"/>
      <c r="H409" s="93"/>
      <c r="I409" s="93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24.75" customHeight="1">
      <c r="A410" s="50"/>
      <c r="B410" s="93"/>
      <c r="C410" s="93"/>
      <c r="D410" s="93"/>
      <c r="E410" s="93"/>
      <c r="F410" s="93"/>
      <c r="G410" s="93"/>
      <c r="H410" s="93"/>
      <c r="I410" s="93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24.75" customHeight="1">
      <c r="A411" s="50"/>
      <c r="B411" s="93"/>
      <c r="C411" s="93"/>
      <c r="D411" s="93"/>
      <c r="E411" s="93"/>
      <c r="F411" s="93"/>
      <c r="G411" s="93"/>
      <c r="H411" s="93"/>
      <c r="I411" s="93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24.75" customHeight="1">
      <c r="A412" s="50"/>
      <c r="B412" s="93"/>
      <c r="C412" s="93"/>
      <c r="D412" s="93"/>
      <c r="E412" s="93"/>
      <c r="F412" s="93"/>
      <c r="G412" s="93"/>
      <c r="H412" s="93"/>
      <c r="I412" s="93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24.75" customHeight="1">
      <c r="A413" s="50"/>
      <c r="B413" s="93"/>
      <c r="C413" s="93"/>
      <c r="D413" s="93"/>
      <c r="E413" s="93"/>
      <c r="F413" s="93"/>
      <c r="G413" s="93"/>
      <c r="H413" s="93"/>
      <c r="I413" s="93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24.75" customHeight="1">
      <c r="A414" s="50"/>
      <c r="B414" s="93"/>
      <c r="C414" s="93"/>
      <c r="D414" s="93"/>
      <c r="E414" s="93"/>
      <c r="F414" s="93"/>
      <c r="G414" s="93"/>
      <c r="H414" s="93"/>
      <c r="I414" s="93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24.75" customHeight="1">
      <c r="A415" s="50"/>
      <c r="B415" s="93"/>
      <c r="C415" s="93"/>
      <c r="D415" s="93"/>
      <c r="E415" s="93"/>
      <c r="F415" s="93"/>
      <c r="G415" s="93"/>
      <c r="H415" s="93"/>
      <c r="I415" s="93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24.75" customHeight="1">
      <c r="A416" s="50"/>
      <c r="B416" s="93"/>
      <c r="C416" s="93"/>
      <c r="D416" s="93"/>
      <c r="E416" s="93"/>
      <c r="F416" s="93"/>
      <c r="G416" s="93"/>
      <c r="H416" s="93"/>
      <c r="I416" s="93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24.75" customHeight="1">
      <c r="A417" s="50"/>
      <c r="B417" s="93"/>
      <c r="C417" s="93"/>
      <c r="D417" s="93"/>
      <c r="E417" s="93"/>
      <c r="F417" s="93"/>
      <c r="G417" s="93"/>
      <c r="H417" s="93"/>
      <c r="I417" s="93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24.75" customHeight="1">
      <c r="A418" s="50"/>
      <c r="B418" s="93"/>
      <c r="C418" s="93"/>
      <c r="D418" s="93"/>
      <c r="E418" s="93"/>
      <c r="F418" s="93"/>
      <c r="G418" s="93"/>
      <c r="H418" s="93"/>
      <c r="I418" s="93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24.75" customHeight="1">
      <c r="A419" s="50"/>
      <c r="B419" s="93"/>
      <c r="C419" s="93"/>
      <c r="D419" s="93"/>
      <c r="E419" s="93"/>
      <c r="F419" s="93"/>
      <c r="G419" s="93"/>
      <c r="H419" s="93"/>
      <c r="I419" s="9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24.75" customHeight="1">
      <c r="A420" s="50"/>
      <c r="B420" s="93"/>
      <c r="C420" s="93"/>
      <c r="D420" s="93"/>
      <c r="E420" s="93"/>
      <c r="F420" s="93"/>
      <c r="G420" s="93"/>
      <c r="H420" s="93"/>
      <c r="I420" s="9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24.75" customHeight="1">
      <c r="A421" s="50"/>
      <c r="B421" s="93"/>
      <c r="C421" s="93"/>
      <c r="D421" s="93"/>
      <c r="E421" s="93"/>
      <c r="F421" s="93"/>
      <c r="G421" s="93"/>
      <c r="H421" s="93"/>
      <c r="I421" s="9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24.75" customHeight="1">
      <c r="A422" s="50"/>
      <c r="B422" s="93"/>
      <c r="C422" s="93"/>
      <c r="D422" s="93"/>
      <c r="E422" s="93"/>
      <c r="F422" s="93"/>
      <c r="G422" s="93"/>
      <c r="H422" s="93"/>
      <c r="I422" s="9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24.75" customHeight="1">
      <c r="A423" s="50"/>
      <c r="B423" s="93"/>
      <c r="C423" s="93"/>
      <c r="D423" s="93"/>
      <c r="E423" s="93"/>
      <c r="F423" s="93"/>
      <c r="G423" s="93"/>
      <c r="H423" s="93"/>
      <c r="I423" s="9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24.75" customHeight="1">
      <c r="A424" s="50"/>
      <c r="B424" s="93"/>
      <c r="C424" s="93"/>
      <c r="D424" s="93"/>
      <c r="E424" s="93"/>
      <c r="F424" s="93"/>
      <c r="G424" s="93"/>
      <c r="H424" s="93"/>
      <c r="I424" s="9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24.75" customHeight="1">
      <c r="A425" s="50"/>
      <c r="B425" s="93"/>
      <c r="C425" s="93"/>
      <c r="D425" s="93"/>
      <c r="E425" s="93"/>
      <c r="F425" s="93"/>
      <c r="G425" s="93"/>
      <c r="H425" s="93"/>
      <c r="I425" s="9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24.75" customHeight="1">
      <c r="A426" s="50"/>
      <c r="B426" s="93"/>
      <c r="C426" s="93"/>
      <c r="D426" s="93"/>
      <c r="E426" s="93"/>
      <c r="F426" s="93"/>
      <c r="G426" s="93"/>
      <c r="H426" s="93"/>
      <c r="I426" s="9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24.75" customHeight="1">
      <c r="A427" s="50"/>
      <c r="B427" s="93"/>
      <c r="C427" s="93"/>
      <c r="D427" s="93"/>
      <c r="E427" s="93"/>
      <c r="F427" s="93"/>
      <c r="G427" s="93"/>
      <c r="H427" s="93"/>
      <c r="I427" s="9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24.75" customHeight="1">
      <c r="A428" s="50"/>
      <c r="B428" s="93"/>
      <c r="C428" s="93"/>
      <c r="D428" s="93"/>
      <c r="E428" s="93"/>
      <c r="F428" s="93"/>
      <c r="G428" s="93"/>
      <c r="H428" s="93"/>
      <c r="I428" s="9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24.75" customHeight="1">
      <c r="A429" s="50"/>
      <c r="B429" s="93"/>
      <c r="C429" s="93"/>
      <c r="D429" s="93"/>
      <c r="E429" s="93"/>
      <c r="F429" s="93"/>
      <c r="G429" s="93"/>
      <c r="H429" s="93"/>
      <c r="I429" s="9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24.75" customHeight="1">
      <c r="A430" s="50"/>
      <c r="B430" s="93"/>
      <c r="C430" s="93"/>
      <c r="D430" s="93"/>
      <c r="E430" s="93"/>
      <c r="F430" s="93"/>
      <c r="G430" s="93"/>
      <c r="H430" s="93"/>
      <c r="I430" s="9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24.75" customHeight="1">
      <c r="A431" s="50"/>
      <c r="B431" s="93"/>
      <c r="C431" s="93"/>
      <c r="D431" s="93"/>
      <c r="E431" s="93"/>
      <c r="F431" s="93"/>
      <c r="G431" s="93"/>
      <c r="H431" s="93"/>
      <c r="I431" s="9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24.75" customHeight="1">
      <c r="A432" s="50"/>
      <c r="B432" s="93"/>
      <c r="C432" s="93"/>
      <c r="D432" s="93"/>
      <c r="E432" s="93"/>
      <c r="F432" s="93"/>
      <c r="G432" s="93"/>
      <c r="H432" s="93"/>
      <c r="I432" s="9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24.75" customHeight="1">
      <c r="A433" s="50"/>
      <c r="B433" s="93"/>
      <c r="C433" s="93"/>
      <c r="D433" s="93"/>
      <c r="E433" s="93"/>
      <c r="F433" s="93"/>
      <c r="G433" s="93"/>
      <c r="H433" s="93"/>
      <c r="I433" s="9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24.75" customHeight="1">
      <c r="A434" s="50"/>
      <c r="B434" s="93"/>
      <c r="C434" s="93"/>
      <c r="D434" s="93"/>
      <c r="E434" s="93"/>
      <c r="F434" s="93"/>
      <c r="G434" s="93"/>
      <c r="H434" s="93"/>
      <c r="I434" s="9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24.75" customHeight="1">
      <c r="A435" s="50"/>
      <c r="B435" s="93"/>
      <c r="C435" s="93"/>
      <c r="D435" s="93"/>
      <c r="E435" s="93"/>
      <c r="F435" s="93"/>
      <c r="G435" s="93"/>
      <c r="H435" s="93"/>
      <c r="I435" s="9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24.75" customHeight="1">
      <c r="A436" s="50"/>
      <c r="B436" s="93"/>
      <c r="C436" s="93"/>
      <c r="D436" s="93"/>
      <c r="E436" s="93"/>
      <c r="F436" s="93"/>
      <c r="G436" s="93"/>
      <c r="H436" s="93"/>
      <c r="I436" s="9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24.75" customHeight="1">
      <c r="A437" s="50"/>
      <c r="B437" s="93"/>
      <c r="C437" s="93"/>
      <c r="D437" s="93"/>
      <c r="E437" s="93"/>
      <c r="F437" s="93"/>
      <c r="G437" s="93"/>
      <c r="H437" s="93"/>
      <c r="I437" s="9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24.75" customHeight="1">
      <c r="A438" s="50"/>
      <c r="B438" s="93"/>
      <c r="C438" s="93"/>
      <c r="D438" s="93"/>
      <c r="E438" s="93"/>
      <c r="F438" s="93"/>
      <c r="G438" s="93"/>
      <c r="H438" s="93"/>
      <c r="I438" s="9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24.75" customHeight="1">
      <c r="A439" s="50"/>
      <c r="B439" s="93"/>
      <c r="C439" s="93"/>
      <c r="D439" s="93"/>
      <c r="E439" s="93"/>
      <c r="F439" s="93"/>
      <c r="G439" s="93"/>
      <c r="H439" s="93"/>
      <c r="I439" s="9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24.75" customHeight="1">
      <c r="A440" s="50"/>
      <c r="B440" s="93"/>
      <c r="C440" s="93"/>
      <c r="D440" s="93"/>
      <c r="E440" s="93"/>
      <c r="F440" s="93"/>
      <c r="G440" s="93"/>
      <c r="H440" s="93"/>
      <c r="I440" s="9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24.75" customHeight="1">
      <c r="A441" s="50"/>
      <c r="B441" s="93"/>
      <c r="C441" s="93"/>
      <c r="D441" s="93"/>
      <c r="E441" s="93"/>
      <c r="F441" s="93"/>
      <c r="G441" s="93"/>
      <c r="H441" s="93"/>
      <c r="I441" s="9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24.75" customHeight="1">
      <c r="A442" s="50"/>
      <c r="B442" s="93"/>
      <c r="C442" s="93"/>
      <c r="D442" s="93"/>
      <c r="E442" s="93"/>
      <c r="F442" s="93"/>
      <c r="G442" s="93"/>
      <c r="H442" s="93"/>
      <c r="I442" s="9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24.75" customHeight="1">
      <c r="A443" s="50"/>
      <c r="B443" s="93"/>
      <c r="C443" s="93"/>
      <c r="D443" s="93"/>
      <c r="E443" s="93"/>
      <c r="F443" s="93"/>
      <c r="G443" s="93"/>
      <c r="H443" s="93"/>
      <c r="I443" s="9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24.75" customHeight="1">
      <c r="A444" s="50"/>
      <c r="B444" s="93"/>
      <c r="C444" s="93"/>
      <c r="D444" s="93"/>
      <c r="E444" s="93"/>
      <c r="F444" s="93"/>
      <c r="G444" s="93"/>
      <c r="H444" s="93"/>
      <c r="I444" s="9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24.75" customHeight="1">
      <c r="A445" s="50"/>
      <c r="B445" s="93"/>
      <c r="C445" s="93"/>
      <c r="D445" s="93"/>
      <c r="E445" s="93"/>
      <c r="F445" s="93"/>
      <c r="G445" s="93"/>
      <c r="H445" s="93"/>
      <c r="I445" s="9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24.75" customHeight="1">
      <c r="A446" s="50"/>
      <c r="B446" s="93"/>
      <c r="C446" s="93"/>
      <c r="D446" s="93"/>
      <c r="E446" s="93"/>
      <c r="F446" s="93"/>
      <c r="G446" s="93"/>
      <c r="H446" s="93"/>
      <c r="I446" s="9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24.75" customHeight="1">
      <c r="A447" s="50"/>
      <c r="B447" s="93"/>
      <c r="C447" s="93"/>
      <c r="D447" s="93"/>
      <c r="E447" s="93"/>
      <c r="F447" s="93"/>
      <c r="G447" s="93"/>
      <c r="H447" s="93"/>
      <c r="I447" s="9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24.75" customHeight="1">
      <c r="A448" s="50"/>
      <c r="B448" s="93"/>
      <c r="C448" s="93"/>
      <c r="D448" s="93"/>
      <c r="E448" s="93"/>
      <c r="F448" s="93"/>
      <c r="G448" s="93"/>
      <c r="H448" s="93"/>
      <c r="I448" s="9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24.75" customHeight="1">
      <c r="A449" s="50"/>
      <c r="B449" s="93"/>
      <c r="C449" s="93"/>
      <c r="D449" s="93"/>
      <c r="E449" s="93"/>
      <c r="F449" s="93"/>
      <c r="G449" s="93"/>
      <c r="H449" s="93"/>
      <c r="I449" s="9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24.75" customHeight="1">
      <c r="A450" s="50"/>
      <c r="B450" s="93"/>
      <c r="C450" s="93"/>
      <c r="D450" s="93"/>
      <c r="E450" s="93"/>
      <c r="F450" s="93"/>
      <c r="G450" s="93"/>
      <c r="H450" s="93"/>
      <c r="I450" s="9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24.75" customHeight="1">
      <c r="A451" s="50"/>
      <c r="B451" s="93"/>
      <c r="C451" s="93"/>
      <c r="D451" s="93"/>
      <c r="E451" s="93"/>
      <c r="F451" s="93"/>
      <c r="G451" s="93"/>
      <c r="H451" s="93"/>
      <c r="I451" s="9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24.75" customHeight="1">
      <c r="A452" s="50"/>
      <c r="B452" s="93"/>
      <c r="C452" s="93"/>
      <c r="D452" s="93"/>
      <c r="E452" s="93"/>
      <c r="F452" s="93"/>
      <c r="G452" s="93"/>
      <c r="H452" s="93"/>
      <c r="I452" s="9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24.75" customHeight="1">
      <c r="A453" s="50"/>
      <c r="B453" s="93"/>
      <c r="C453" s="93"/>
      <c r="D453" s="93"/>
      <c r="E453" s="93"/>
      <c r="F453" s="93"/>
      <c r="G453" s="93"/>
      <c r="H453" s="93"/>
      <c r="I453" s="9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24.75" customHeight="1">
      <c r="A454" s="50"/>
      <c r="B454" s="93"/>
      <c r="C454" s="93"/>
      <c r="D454" s="93"/>
      <c r="E454" s="93"/>
      <c r="F454" s="93"/>
      <c r="G454" s="93"/>
      <c r="H454" s="93"/>
      <c r="I454" s="9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24.75" customHeight="1">
      <c r="A455" s="50"/>
      <c r="B455" s="93"/>
      <c r="C455" s="93"/>
      <c r="D455" s="93"/>
      <c r="E455" s="93"/>
      <c r="F455" s="93"/>
      <c r="G455" s="93"/>
      <c r="H455" s="93"/>
      <c r="I455" s="9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24.75" customHeight="1">
      <c r="A456" s="50"/>
      <c r="B456" s="93"/>
      <c r="C456" s="93"/>
      <c r="D456" s="93"/>
      <c r="E456" s="93"/>
      <c r="F456" s="93"/>
      <c r="G456" s="93"/>
      <c r="H456" s="93"/>
      <c r="I456" s="9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24.75" customHeight="1">
      <c r="A457" s="50"/>
      <c r="B457" s="93"/>
      <c r="C457" s="93"/>
      <c r="D457" s="93"/>
      <c r="E457" s="93"/>
      <c r="F457" s="93"/>
      <c r="G457" s="93"/>
      <c r="H457" s="93"/>
      <c r="I457" s="9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24.75" customHeight="1">
      <c r="A458" s="50"/>
      <c r="B458" s="93"/>
      <c r="C458" s="93"/>
      <c r="D458" s="93"/>
      <c r="E458" s="93"/>
      <c r="F458" s="93"/>
      <c r="G458" s="93"/>
      <c r="H458" s="93"/>
      <c r="I458" s="9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24.75" customHeight="1">
      <c r="A459" s="50"/>
      <c r="B459" s="93"/>
      <c r="C459" s="93"/>
      <c r="D459" s="93"/>
      <c r="E459" s="93"/>
      <c r="F459" s="93"/>
      <c r="G459" s="93"/>
      <c r="H459" s="93"/>
      <c r="I459" s="9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24.75" customHeight="1">
      <c r="A460" s="50"/>
      <c r="B460" s="93"/>
      <c r="C460" s="93"/>
      <c r="D460" s="93"/>
      <c r="E460" s="93"/>
      <c r="F460" s="93"/>
      <c r="G460" s="93"/>
      <c r="H460" s="93"/>
      <c r="I460" s="9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24.75" customHeight="1">
      <c r="A461" s="50"/>
      <c r="B461" s="93"/>
      <c r="C461" s="93"/>
      <c r="D461" s="93"/>
      <c r="E461" s="93"/>
      <c r="F461" s="93"/>
      <c r="G461" s="93"/>
      <c r="H461" s="93"/>
      <c r="I461" s="9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24.75" customHeight="1">
      <c r="A462" s="50"/>
      <c r="B462" s="93"/>
      <c r="C462" s="93"/>
      <c r="D462" s="93"/>
      <c r="E462" s="93"/>
      <c r="F462" s="93"/>
      <c r="G462" s="93"/>
      <c r="H462" s="93"/>
      <c r="I462" s="9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24.75" customHeight="1">
      <c r="A463" s="50"/>
      <c r="B463" s="93"/>
      <c r="C463" s="93"/>
      <c r="D463" s="93"/>
      <c r="E463" s="93"/>
      <c r="F463" s="93"/>
      <c r="G463" s="93"/>
      <c r="H463" s="93"/>
      <c r="I463" s="9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24.75" customHeight="1">
      <c r="A464" s="50"/>
      <c r="B464" s="93"/>
      <c r="C464" s="93"/>
      <c r="D464" s="93"/>
      <c r="E464" s="93"/>
      <c r="F464" s="93"/>
      <c r="G464" s="93"/>
      <c r="H464" s="93"/>
      <c r="I464" s="9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24.75" customHeight="1">
      <c r="A465" s="50"/>
      <c r="B465" s="93"/>
      <c r="C465" s="93"/>
      <c r="D465" s="93"/>
      <c r="E465" s="93"/>
      <c r="F465" s="93"/>
      <c r="G465" s="93"/>
      <c r="H465" s="93"/>
      <c r="I465" s="9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24.75" customHeight="1">
      <c r="A466" s="50"/>
      <c r="B466" s="93"/>
      <c r="C466" s="93"/>
      <c r="D466" s="93"/>
      <c r="E466" s="93"/>
      <c r="F466" s="93"/>
      <c r="G466" s="93"/>
      <c r="H466" s="93"/>
      <c r="I466" s="9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24.75" customHeight="1">
      <c r="A467" s="50"/>
      <c r="B467" s="93"/>
      <c r="C467" s="93"/>
      <c r="D467" s="93"/>
      <c r="E467" s="93"/>
      <c r="F467" s="93"/>
      <c r="G467" s="93"/>
      <c r="H467" s="93"/>
      <c r="I467" s="9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24.75" customHeight="1">
      <c r="A468" s="50"/>
      <c r="B468" s="93"/>
      <c r="C468" s="93"/>
      <c r="D468" s="93"/>
      <c r="E468" s="93"/>
      <c r="F468" s="93"/>
      <c r="G468" s="93"/>
      <c r="H468" s="93"/>
      <c r="I468" s="9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24.75" customHeight="1">
      <c r="A469" s="50"/>
      <c r="B469" s="93"/>
      <c r="C469" s="93"/>
      <c r="D469" s="93"/>
      <c r="E469" s="93"/>
      <c r="F469" s="93"/>
      <c r="G469" s="93"/>
      <c r="H469" s="93"/>
      <c r="I469" s="9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24.75" customHeight="1">
      <c r="A470" s="50"/>
      <c r="B470" s="93"/>
      <c r="C470" s="93"/>
      <c r="D470" s="93"/>
      <c r="E470" s="93"/>
      <c r="F470" s="93"/>
      <c r="G470" s="93"/>
      <c r="H470" s="93"/>
      <c r="I470" s="9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24.75" customHeight="1">
      <c r="A471" s="50"/>
      <c r="B471" s="93"/>
      <c r="C471" s="93"/>
      <c r="D471" s="93"/>
      <c r="E471" s="93"/>
      <c r="F471" s="93"/>
      <c r="G471" s="93"/>
      <c r="H471" s="93"/>
      <c r="I471" s="9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24.75" customHeight="1">
      <c r="A472" s="50"/>
      <c r="B472" s="93"/>
      <c r="C472" s="93"/>
      <c r="D472" s="93"/>
      <c r="E472" s="93"/>
      <c r="F472" s="93"/>
      <c r="G472" s="93"/>
      <c r="H472" s="93"/>
      <c r="I472" s="9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24.75" customHeight="1">
      <c r="A473" s="50"/>
      <c r="B473" s="93"/>
      <c r="C473" s="93"/>
      <c r="D473" s="93"/>
      <c r="E473" s="93"/>
      <c r="F473" s="93"/>
      <c r="G473" s="93"/>
      <c r="H473" s="93"/>
      <c r="I473" s="9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24.75" customHeight="1">
      <c r="A474" s="50"/>
      <c r="B474" s="93"/>
      <c r="C474" s="93"/>
      <c r="D474" s="93"/>
      <c r="E474" s="93"/>
      <c r="F474" s="93"/>
      <c r="G474" s="93"/>
      <c r="H474" s="93"/>
      <c r="I474" s="9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24.75" customHeight="1">
      <c r="A475" s="50"/>
      <c r="B475" s="93"/>
      <c r="C475" s="93"/>
      <c r="D475" s="93"/>
      <c r="E475" s="93"/>
      <c r="F475" s="93"/>
      <c r="G475" s="93"/>
      <c r="H475" s="93"/>
      <c r="I475" s="9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24.75" customHeight="1">
      <c r="A476" s="50"/>
      <c r="B476" s="93"/>
      <c r="C476" s="93"/>
      <c r="D476" s="93"/>
      <c r="E476" s="93"/>
      <c r="F476" s="93"/>
      <c r="G476" s="93"/>
      <c r="H476" s="93"/>
      <c r="I476" s="9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24.75" customHeight="1">
      <c r="A477" s="50"/>
      <c r="B477" s="93"/>
      <c r="C477" s="93"/>
      <c r="D477" s="93"/>
      <c r="E477" s="93"/>
      <c r="F477" s="93"/>
      <c r="G477" s="93"/>
      <c r="H477" s="93"/>
      <c r="I477" s="9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24.75" customHeight="1">
      <c r="A478" s="50"/>
      <c r="B478" s="93"/>
      <c r="C478" s="93"/>
      <c r="D478" s="93"/>
      <c r="E478" s="93"/>
      <c r="F478" s="93"/>
      <c r="G478" s="93"/>
      <c r="H478" s="93"/>
      <c r="I478" s="9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24.75" customHeight="1">
      <c r="A479" s="50"/>
      <c r="B479" s="93"/>
      <c r="C479" s="93"/>
      <c r="D479" s="93"/>
      <c r="E479" s="93"/>
      <c r="F479" s="93"/>
      <c r="G479" s="93"/>
      <c r="H479" s="93"/>
      <c r="I479" s="9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24.75" customHeight="1">
      <c r="A480" s="50"/>
      <c r="B480" s="93"/>
      <c r="C480" s="93"/>
      <c r="D480" s="93"/>
      <c r="E480" s="93"/>
      <c r="F480" s="93"/>
      <c r="G480" s="93"/>
      <c r="H480" s="93"/>
      <c r="I480" s="9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24.75" customHeight="1">
      <c r="A481" s="50"/>
      <c r="B481" s="93"/>
      <c r="C481" s="93"/>
      <c r="D481" s="93"/>
      <c r="E481" s="93"/>
      <c r="F481" s="93"/>
      <c r="G481" s="93"/>
      <c r="H481" s="93"/>
      <c r="I481" s="9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24.75" customHeight="1">
      <c r="A482" s="50"/>
      <c r="B482" s="93"/>
      <c r="C482" s="93"/>
      <c r="D482" s="93"/>
      <c r="E482" s="93"/>
      <c r="F482" s="93"/>
      <c r="G482" s="93"/>
      <c r="H482" s="93"/>
      <c r="I482" s="9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24.75" customHeight="1">
      <c r="A483" s="50"/>
      <c r="B483" s="93"/>
      <c r="C483" s="93"/>
      <c r="D483" s="93"/>
      <c r="E483" s="93"/>
      <c r="F483" s="93"/>
      <c r="G483" s="93"/>
      <c r="H483" s="93"/>
      <c r="I483" s="9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24.75" customHeight="1">
      <c r="A484" s="50"/>
      <c r="B484" s="93"/>
      <c r="C484" s="93"/>
      <c r="D484" s="93"/>
      <c r="E484" s="93"/>
      <c r="F484" s="93"/>
      <c r="G484" s="93"/>
      <c r="H484" s="93"/>
      <c r="I484" s="9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24.75" customHeight="1">
      <c r="A485" s="50"/>
      <c r="B485" s="93"/>
      <c r="C485" s="93"/>
      <c r="D485" s="93"/>
      <c r="E485" s="93"/>
      <c r="F485" s="93"/>
      <c r="G485" s="93"/>
      <c r="H485" s="93"/>
      <c r="I485" s="9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24.75" customHeight="1">
      <c r="A486" s="50"/>
      <c r="B486" s="93"/>
      <c r="C486" s="93"/>
      <c r="D486" s="93"/>
      <c r="E486" s="93"/>
      <c r="F486" s="93"/>
      <c r="G486" s="93"/>
      <c r="H486" s="93"/>
      <c r="I486" s="9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24.75" customHeight="1">
      <c r="A487" s="50"/>
      <c r="B487" s="93"/>
      <c r="C487" s="93"/>
      <c r="D487" s="93"/>
      <c r="E487" s="93"/>
      <c r="F487" s="93"/>
      <c r="G487" s="93"/>
      <c r="H487" s="93"/>
      <c r="I487" s="9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24.75" customHeight="1">
      <c r="A488" s="50"/>
      <c r="B488" s="93"/>
      <c r="C488" s="93"/>
      <c r="D488" s="93"/>
      <c r="E488" s="93"/>
      <c r="F488" s="93"/>
      <c r="G488" s="93"/>
      <c r="H488" s="93"/>
      <c r="I488" s="9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24.75" customHeight="1">
      <c r="A489" s="50"/>
      <c r="B489" s="93"/>
      <c r="C489" s="93"/>
      <c r="D489" s="93"/>
      <c r="E489" s="93"/>
      <c r="F489" s="93"/>
      <c r="G489" s="93"/>
      <c r="H489" s="93"/>
      <c r="I489" s="9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24.75" customHeight="1">
      <c r="A490" s="50"/>
      <c r="B490" s="93"/>
      <c r="C490" s="93"/>
      <c r="D490" s="93"/>
      <c r="E490" s="93"/>
      <c r="F490" s="93"/>
      <c r="G490" s="93"/>
      <c r="H490" s="93"/>
      <c r="I490" s="9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24.75" customHeight="1">
      <c r="A491" s="50"/>
      <c r="B491" s="93"/>
      <c r="C491" s="93"/>
      <c r="D491" s="93"/>
      <c r="E491" s="93"/>
      <c r="F491" s="93"/>
      <c r="G491" s="93"/>
      <c r="H491" s="93"/>
      <c r="I491" s="9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24.75" customHeight="1">
      <c r="A492" s="50"/>
      <c r="B492" s="93"/>
      <c r="C492" s="93"/>
      <c r="D492" s="93"/>
      <c r="E492" s="93"/>
      <c r="F492" s="93"/>
      <c r="G492" s="93"/>
      <c r="H492" s="93"/>
      <c r="I492" s="9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24.75" customHeight="1">
      <c r="A493" s="50"/>
      <c r="B493" s="93"/>
      <c r="C493" s="93"/>
      <c r="D493" s="93"/>
      <c r="E493" s="93"/>
      <c r="F493" s="93"/>
      <c r="G493" s="93"/>
      <c r="H493" s="93"/>
      <c r="I493" s="9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24.75" customHeight="1">
      <c r="A494" s="50"/>
      <c r="B494" s="93"/>
      <c r="C494" s="93"/>
      <c r="D494" s="93"/>
      <c r="E494" s="93"/>
      <c r="F494" s="93"/>
      <c r="G494" s="93"/>
      <c r="H494" s="93"/>
      <c r="I494" s="9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24.75" customHeight="1">
      <c r="A495" s="50"/>
      <c r="B495" s="93"/>
      <c r="C495" s="93"/>
      <c r="D495" s="93"/>
      <c r="E495" s="93"/>
      <c r="F495" s="93"/>
      <c r="G495" s="93"/>
      <c r="H495" s="93"/>
      <c r="I495" s="9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24.75" customHeight="1">
      <c r="A496" s="50"/>
      <c r="B496" s="93"/>
      <c r="C496" s="93"/>
      <c r="D496" s="93"/>
      <c r="E496" s="93"/>
      <c r="F496" s="93"/>
      <c r="G496" s="93"/>
      <c r="H496" s="93"/>
      <c r="I496" s="9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24.75" customHeight="1">
      <c r="A497" s="50"/>
      <c r="B497" s="93"/>
      <c r="C497" s="93"/>
      <c r="D497" s="93"/>
      <c r="E497" s="93"/>
      <c r="F497" s="93"/>
      <c r="G497" s="93"/>
      <c r="H497" s="93"/>
      <c r="I497" s="9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24.75" customHeight="1">
      <c r="A498" s="50"/>
      <c r="B498" s="93"/>
      <c r="C498" s="93"/>
      <c r="D498" s="93"/>
      <c r="E498" s="93"/>
      <c r="F498" s="93"/>
      <c r="G498" s="93"/>
      <c r="H498" s="93"/>
      <c r="I498" s="9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24.75" customHeight="1">
      <c r="A499" s="50"/>
      <c r="B499" s="93"/>
      <c r="C499" s="93"/>
      <c r="D499" s="93"/>
      <c r="E499" s="93"/>
      <c r="F499" s="93"/>
      <c r="G499" s="93"/>
      <c r="H499" s="93"/>
      <c r="I499" s="9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24.75" customHeight="1">
      <c r="A500" s="50"/>
      <c r="B500" s="93"/>
      <c r="C500" s="93"/>
      <c r="D500" s="93"/>
      <c r="E500" s="93"/>
      <c r="F500" s="93"/>
      <c r="G500" s="93"/>
      <c r="H500" s="93"/>
      <c r="I500" s="9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24.75" customHeight="1">
      <c r="A501" s="50"/>
      <c r="B501" s="93"/>
      <c r="C501" s="93"/>
      <c r="D501" s="93"/>
      <c r="E501" s="93"/>
      <c r="F501" s="93"/>
      <c r="G501" s="93"/>
      <c r="H501" s="93"/>
      <c r="I501" s="9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24.75" customHeight="1">
      <c r="A502" s="50"/>
      <c r="B502" s="93"/>
      <c r="C502" s="93"/>
      <c r="D502" s="93"/>
      <c r="E502" s="93"/>
      <c r="F502" s="93"/>
      <c r="G502" s="93"/>
      <c r="H502" s="93"/>
      <c r="I502" s="9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24.75" customHeight="1">
      <c r="A503" s="50"/>
      <c r="B503" s="93"/>
      <c r="C503" s="93"/>
      <c r="D503" s="93"/>
      <c r="E503" s="93"/>
      <c r="F503" s="93"/>
      <c r="G503" s="93"/>
      <c r="H503" s="93"/>
      <c r="I503" s="9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24.75" customHeight="1">
      <c r="A504" s="50"/>
      <c r="B504" s="93"/>
      <c r="C504" s="93"/>
      <c r="D504" s="93"/>
      <c r="E504" s="93"/>
      <c r="F504" s="93"/>
      <c r="G504" s="93"/>
      <c r="H504" s="93"/>
      <c r="I504" s="9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24.75" customHeight="1">
      <c r="A505" s="50"/>
      <c r="B505" s="93"/>
      <c r="C505" s="93"/>
      <c r="D505" s="93"/>
      <c r="E505" s="93"/>
      <c r="F505" s="93"/>
      <c r="G505" s="93"/>
      <c r="H505" s="93"/>
      <c r="I505" s="9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24.75" customHeight="1">
      <c r="A506" s="50"/>
      <c r="B506" s="93"/>
      <c r="C506" s="93"/>
      <c r="D506" s="93"/>
      <c r="E506" s="93"/>
      <c r="F506" s="93"/>
      <c r="G506" s="93"/>
      <c r="H506" s="93"/>
      <c r="I506" s="9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24.75" customHeight="1">
      <c r="A507" s="50"/>
      <c r="B507" s="93"/>
      <c r="C507" s="93"/>
      <c r="D507" s="93"/>
      <c r="E507" s="93"/>
      <c r="F507" s="93"/>
      <c r="G507" s="93"/>
      <c r="H507" s="93"/>
      <c r="I507" s="9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24.75" customHeight="1">
      <c r="A508" s="50"/>
      <c r="B508" s="93"/>
      <c r="C508" s="93"/>
      <c r="D508" s="93"/>
      <c r="E508" s="93"/>
      <c r="F508" s="93"/>
      <c r="G508" s="93"/>
      <c r="H508" s="93"/>
      <c r="I508" s="9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24.75" customHeight="1">
      <c r="A509" s="50"/>
      <c r="B509" s="93"/>
      <c r="C509" s="93"/>
      <c r="D509" s="93"/>
      <c r="E509" s="93"/>
      <c r="F509" s="93"/>
      <c r="G509" s="93"/>
      <c r="H509" s="93"/>
      <c r="I509" s="9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24.75" customHeight="1">
      <c r="A510" s="50"/>
      <c r="B510" s="93"/>
      <c r="C510" s="93"/>
      <c r="D510" s="93"/>
      <c r="E510" s="93"/>
      <c r="F510" s="93"/>
      <c r="G510" s="93"/>
      <c r="H510" s="93"/>
      <c r="I510" s="9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24.75" customHeight="1">
      <c r="A511" s="50"/>
      <c r="B511" s="93"/>
      <c r="C511" s="93"/>
      <c r="D511" s="93"/>
      <c r="E511" s="93"/>
      <c r="F511" s="93"/>
      <c r="G511" s="93"/>
      <c r="H511" s="93"/>
      <c r="I511" s="9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24.75" customHeight="1">
      <c r="A512" s="50"/>
      <c r="B512" s="93"/>
      <c r="C512" s="93"/>
      <c r="D512" s="93"/>
      <c r="E512" s="93"/>
      <c r="F512" s="93"/>
      <c r="G512" s="93"/>
      <c r="H512" s="93"/>
      <c r="I512" s="9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24.75" customHeight="1">
      <c r="A513" s="50"/>
      <c r="B513" s="93"/>
      <c r="C513" s="93"/>
      <c r="D513" s="93"/>
      <c r="E513" s="93"/>
      <c r="F513" s="93"/>
      <c r="G513" s="93"/>
      <c r="H513" s="93"/>
      <c r="I513" s="9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24.75" customHeight="1">
      <c r="A514" s="50"/>
      <c r="B514" s="93"/>
      <c r="C514" s="93"/>
      <c r="D514" s="93"/>
      <c r="E514" s="93"/>
      <c r="F514" s="93"/>
      <c r="G514" s="93"/>
      <c r="H514" s="93"/>
      <c r="I514" s="9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24.75" customHeight="1">
      <c r="A515" s="50"/>
      <c r="B515" s="93"/>
      <c r="C515" s="93"/>
      <c r="D515" s="93"/>
      <c r="E515" s="93"/>
      <c r="F515" s="93"/>
      <c r="G515" s="93"/>
      <c r="H515" s="93"/>
      <c r="I515" s="9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24.75" customHeight="1">
      <c r="A516" s="50"/>
      <c r="B516" s="93"/>
      <c r="C516" s="93"/>
      <c r="D516" s="93"/>
      <c r="E516" s="93"/>
      <c r="F516" s="93"/>
      <c r="G516" s="93"/>
      <c r="H516" s="93"/>
      <c r="I516" s="9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24.75" customHeight="1">
      <c r="A517" s="50"/>
      <c r="B517" s="93"/>
      <c r="C517" s="93"/>
      <c r="D517" s="93"/>
      <c r="E517" s="93"/>
      <c r="F517" s="93"/>
      <c r="G517" s="93"/>
      <c r="H517" s="93"/>
      <c r="I517" s="9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24.75" customHeight="1">
      <c r="A518" s="50"/>
      <c r="B518" s="93"/>
      <c r="C518" s="93"/>
      <c r="D518" s="93"/>
      <c r="E518" s="93"/>
      <c r="F518" s="93"/>
      <c r="G518" s="93"/>
      <c r="H518" s="93"/>
      <c r="I518" s="9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24.75" customHeight="1">
      <c r="A519" s="50"/>
      <c r="B519" s="93"/>
      <c r="C519" s="93"/>
      <c r="D519" s="93"/>
      <c r="E519" s="93"/>
      <c r="F519" s="93"/>
      <c r="G519" s="93"/>
      <c r="H519" s="93"/>
      <c r="I519" s="9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24.75" customHeight="1">
      <c r="A520" s="50"/>
      <c r="B520" s="93"/>
      <c r="C520" s="93"/>
      <c r="D520" s="93"/>
      <c r="E520" s="93"/>
      <c r="F520" s="93"/>
      <c r="G520" s="93"/>
      <c r="H520" s="93"/>
      <c r="I520" s="9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24.75" customHeight="1">
      <c r="A521" s="50"/>
      <c r="B521" s="93"/>
      <c r="C521" s="93"/>
      <c r="D521" s="93"/>
      <c r="E521" s="93"/>
      <c r="F521" s="93"/>
      <c r="G521" s="93"/>
      <c r="H521" s="93"/>
      <c r="I521" s="9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24.75" customHeight="1">
      <c r="A522" s="50"/>
      <c r="B522" s="93"/>
      <c r="C522" s="93"/>
      <c r="D522" s="93"/>
      <c r="E522" s="93"/>
      <c r="F522" s="93"/>
      <c r="G522" s="93"/>
      <c r="H522" s="93"/>
      <c r="I522" s="9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24.75" customHeight="1">
      <c r="A523" s="50"/>
      <c r="B523" s="93"/>
      <c r="C523" s="93"/>
      <c r="D523" s="93"/>
      <c r="E523" s="93"/>
      <c r="F523" s="93"/>
      <c r="G523" s="93"/>
      <c r="H523" s="93"/>
      <c r="I523" s="9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24.75" customHeight="1">
      <c r="A524" s="50"/>
      <c r="B524" s="93"/>
      <c r="C524" s="93"/>
      <c r="D524" s="93"/>
      <c r="E524" s="93"/>
      <c r="F524" s="93"/>
      <c r="G524" s="93"/>
      <c r="H524" s="93"/>
      <c r="I524" s="9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24.75" customHeight="1">
      <c r="A525" s="50"/>
      <c r="B525" s="93"/>
      <c r="C525" s="93"/>
      <c r="D525" s="93"/>
      <c r="E525" s="93"/>
      <c r="F525" s="93"/>
      <c r="G525" s="93"/>
      <c r="H525" s="93"/>
      <c r="I525" s="9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24.75" customHeight="1">
      <c r="A526" s="50"/>
      <c r="B526" s="93"/>
      <c r="C526" s="93"/>
      <c r="D526" s="93"/>
      <c r="E526" s="93"/>
      <c r="F526" s="93"/>
      <c r="G526" s="93"/>
      <c r="H526" s="93"/>
      <c r="I526" s="9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24.75" customHeight="1">
      <c r="A527" s="50"/>
      <c r="B527" s="93"/>
      <c r="C527" s="93"/>
      <c r="D527" s="93"/>
      <c r="E527" s="93"/>
      <c r="F527" s="93"/>
      <c r="G527" s="93"/>
      <c r="H527" s="93"/>
      <c r="I527" s="9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24.75" customHeight="1">
      <c r="A528" s="50"/>
      <c r="B528" s="93"/>
      <c r="C528" s="93"/>
      <c r="D528" s="93"/>
      <c r="E528" s="93"/>
      <c r="F528" s="93"/>
      <c r="G528" s="93"/>
      <c r="H528" s="93"/>
      <c r="I528" s="9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24.75" customHeight="1">
      <c r="A529" s="50"/>
      <c r="B529" s="93"/>
      <c r="C529" s="93"/>
      <c r="D529" s="93"/>
      <c r="E529" s="93"/>
      <c r="F529" s="93"/>
      <c r="G529" s="93"/>
      <c r="H529" s="93"/>
      <c r="I529" s="9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24.75" customHeight="1">
      <c r="A530" s="50"/>
      <c r="B530" s="93"/>
      <c r="C530" s="93"/>
      <c r="D530" s="93"/>
      <c r="E530" s="93"/>
      <c r="F530" s="93"/>
      <c r="G530" s="93"/>
      <c r="H530" s="93"/>
      <c r="I530" s="9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24.75" customHeight="1">
      <c r="A531" s="50"/>
      <c r="B531" s="93"/>
      <c r="C531" s="93"/>
      <c r="D531" s="93"/>
      <c r="E531" s="93"/>
      <c r="F531" s="93"/>
      <c r="G531" s="93"/>
      <c r="H531" s="93"/>
      <c r="I531" s="9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24.75" customHeight="1">
      <c r="A532" s="50"/>
      <c r="B532" s="93"/>
      <c r="C532" s="93"/>
      <c r="D532" s="93"/>
      <c r="E532" s="93"/>
      <c r="F532" s="93"/>
      <c r="G532" s="93"/>
      <c r="H532" s="93"/>
      <c r="I532" s="9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24.75" customHeight="1">
      <c r="A533" s="50"/>
      <c r="B533" s="93"/>
      <c r="C533" s="93"/>
      <c r="D533" s="93"/>
      <c r="E533" s="93"/>
      <c r="F533" s="93"/>
      <c r="G533" s="93"/>
      <c r="H533" s="93"/>
      <c r="I533" s="9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24.75" customHeight="1">
      <c r="A534" s="50"/>
      <c r="B534" s="93"/>
      <c r="C534" s="93"/>
      <c r="D534" s="93"/>
      <c r="E534" s="93"/>
      <c r="F534" s="93"/>
      <c r="G534" s="93"/>
      <c r="H534" s="93"/>
      <c r="I534" s="9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24.75" customHeight="1">
      <c r="A535" s="50"/>
      <c r="B535" s="93"/>
      <c r="C535" s="93"/>
      <c r="D535" s="93"/>
      <c r="E535" s="93"/>
      <c r="F535" s="93"/>
      <c r="G535" s="93"/>
      <c r="H535" s="93"/>
      <c r="I535" s="9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24.75" customHeight="1">
      <c r="A536" s="50"/>
      <c r="B536" s="93"/>
      <c r="C536" s="93"/>
      <c r="D536" s="93"/>
      <c r="E536" s="93"/>
      <c r="F536" s="93"/>
      <c r="G536" s="93"/>
      <c r="H536" s="93"/>
      <c r="I536" s="9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24.75" customHeight="1">
      <c r="A537" s="50"/>
      <c r="B537" s="93"/>
      <c r="C537" s="93"/>
      <c r="D537" s="93"/>
      <c r="E537" s="93"/>
      <c r="F537" s="93"/>
      <c r="G537" s="93"/>
      <c r="H537" s="93"/>
      <c r="I537" s="9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24.75" customHeight="1">
      <c r="A538" s="50"/>
      <c r="B538" s="93"/>
      <c r="C538" s="93"/>
      <c r="D538" s="93"/>
      <c r="E538" s="93"/>
      <c r="F538" s="93"/>
      <c r="G538" s="93"/>
      <c r="H538" s="93"/>
      <c r="I538" s="9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24.75" customHeight="1">
      <c r="A539" s="50"/>
      <c r="B539" s="93"/>
      <c r="C539" s="93"/>
      <c r="D539" s="93"/>
      <c r="E539" s="93"/>
      <c r="F539" s="93"/>
      <c r="G539" s="93"/>
      <c r="H539" s="93"/>
      <c r="I539" s="9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24.75" customHeight="1">
      <c r="A540" s="50"/>
      <c r="B540" s="93"/>
      <c r="C540" s="93"/>
      <c r="D540" s="93"/>
      <c r="E540" s="93"/>
      <c r="F540" s="93"/>
      <c r="G540" s="93"/>
      <c r="H540" s="93"/>
      <c r="I540" s="9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24.75" customHeight="1">
      <c r="A541" s="50"/>
      <c r="B541" s="93"/>
      <c r="C541" s="93"/>
      <c r="D541" s="93"/>
      <c r="E541" s="93"/>
      <c r="F541" s="93"/>
      <c r="G541" s="93"/>
      <c r="H541" s="93"/>
      <c r="I541" s="9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24.75" customHeight="1">
      <c r="A542" s="50"/>
      <c r="B542" s="93"/>
      <c r="C542" s="93"/>
      <c r="D542" s="93"/>
      <c r="E542" s="93"/>
      <c r="F542" s="93"/>
      <c r="G542" s="93"/>
      <c r="H542" s="93"/>
      <c r="I542" s="9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24.75" customHeight="1">
      <c r="A543" s="50"/>
      <c r="B543" s="93"/>
      <c r="C543" s="93"/>
      <c r="D543" s="93"/>
      <c r="E543" s="93"/>
      <c r="F543" s="93"/>
      <c r="G543" s="93"/>
      <c r="H543" s="93"/>
      <c r="I543" s="9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24.75" customHeight="1">
      <c r="A544" s="50"/>
      <c r="B544" s="93"/>
      <c r="C544" s="93"/>
      <c r="D544" s="93"/>
      <c r="E544" s="93"/>
      <c r="F544" s="93"/>
      <c r="G544" s="93"/>
      <c r="H544" s="93"/>
      <c r="I544" s="9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24.75" customHeight="1">
      <c r="A545" s="50"/>
      <c r="B545" s="93"/>
      <c r="C545" s="93"/>
      <c r="D545" s="93"/>
      <c r="E545" s="93"/>
      <c r="F545" s="93"/>
      <c r="G545" s="93"/>
      <c r="H545" s="93"/>
      <c r="I545" s="9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24.75" customHeight="1">
      <c r="A546" s="50"/>
      <c r="B546" s="93"/>
      <c r="C546" s="93"/>
      <c r="D546" s="93"/>
      <c r="E546" s="93"/>
      <c r="F546" s="93"/>
      <c r="G546" s="93"/>
      <c r="H546" s="93"/>
      <c r="I546" s="9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24.75" customHeight="1">
      <c r="A547" s="50"/>
      <c r="B547" s="93"/>
      <c r="C547" s="93"/>
      <c r="D547" s="93"/>
      <c r="E547" s="93"/>
      <c r="F547" s="93"/>
      <c r="G547" s="93"/>
      <c r="H547" s="93"/>
      <c r="I547" s="9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24.75" customHeight="1">
      <c r="A548" s="50"/>
      <c r="B548" s="93"/>
      <c r="C548" s="93"/>
      <c r="D548" s="93"/>
      <c r="E548" s="93"/>
      <c r="F548" s="93"/>
      <c r="G548" s="93"/>
      <c r="H548" s="93"/>
      <c r="I548" s="9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24.75" customHeight="1">
      <c r="A549" s="50"/>
      <c r="B549" s="93"/>
      <c r="C549" s="93"/>
      <c r="D549" s="93"/>
      <c r="E549" s="93"/>
      <c r="F549" s="93"/>
      <c r="G549" s="93"/>
      <c r="H549" s="93"/>
      <c r="I549" s="9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24.75" customHeight="1">
      <c r="A550" s="50"/>
      <c r="B550" s="93"/>
      <c r="C550" s="93"/>
      <c r="D550" s="93"/>
      <c r="E550" s="93"/>
      <c r="F550" s="93"/>
      <c r="G550" s="93"/>
      <c r="H550" s="93"/>
      <c r="I550" s="9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24.75" customHeight="1">
      <c r="A551" s="50"/>
      <c r="B551" s="93"/>
      <c r="C551" s="93"/>
      <c r="D551" s="93"/>
      <c r="E551" s="93"/>
      <c r="F551" s="93"/>
      <c r="G551" s="93"/>
      <c r="H551" s="93"/>
      <c r="I551" s="9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24.75" customHeight="1">
      <c r="A552" s="50"/>
      <c r="B552" s="93"/>
      <c r="C552" s="93"/>
      <c r="D552" s="93"/>
      <c r="E552" s="93"/>
      <c r="F552" s="93"/>
      <c r="G552" s="93"/>
      <c r="H552" s="93"/>
      <c r="I552" s="9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24.75" customHeight="1">
      <c r="A553" s="50"/>
      <c r="B553" s="93"/>
      <c r="C553" s="93"/>
      <c r="D553" s="93"/>
      <c r="E553" s="93"/>
      <c r="F553" s="93"/>
      <c r="G553" s="93"/>
      <c r="H553" s="93"/>
      <c r="I553" s="9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24.75" customHeight="1">
      <c r="A554" s="50"/>
      <c r="B554" s="93"/>
      <c r="C554" s="93"/>
      <c r="D554" s="93"/>
      <c r="E554" s="93"/>
      <c r="F554" s="93"/>
      <c r="G554" s="93"/>
      <c r="H554" s="93"/>
      <c r="I554" s="9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24.75" customHeight="1">
      <c r="A555" s="50"/>
      <c r="B555" s="93"/>
      <c r="C555" s="93"/>
      <c r="D555" s="93"/>
      <c r="E555" s="93"/>
      <c r="F555" s="93"/>
      <c r="G555" s="93"/>
      <c r="H555" s="93"/>
      <c r="I555" s="9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24.75" customHeight="1">
      <c r="A556" s="50"/>
      <c r="B556" s="93"/>
      <c r="C556" s="93"/>
      <c r="D556" s="93"/>
      <c r="E556" s="93"/>
      <c r="F556" s="93"/>
      <c r="G556" s="93"/>
      <c r="H556" s="93"/>
      <c r="I556" s="9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24.75" customHeight="1">
      <c r="A557" s="50"/>
      <c r="B557" s="93"/>
      <c r="C557" s="93"/>
      <c r="D557" s="93"/>
      <c r="E557" s="93"/>
      <c r="F557" s="93"/>
      <c r="G557" s="93"/>
      <c r="H557" s="93"/>
      <c r="I557" s="9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24.75" customHeight="1">
      <c r="A558" s="50"/>
      <c r="B558" s="93"/>
      <c r="C558" s="93"/>
      <c r="D558" s="93"/>
      <c r="E558" s="93"/>
      <c r="F558" s="93"/>
      <c r="G558" s="93"/>
      <c r="H558" s="93"/>
      <c r="I558" s="9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24.75" customHeight="1">
      <c r="A559" s="50"/>
      <c r="B559" s="93"/>
      <c r="C559" s="93"/>
      <c r="D559" s="93"/>
      <c r="E559" s="93"/>
      <c r="F559" s="93"/>
      <c r="G559" s="93"/>
      <c r="H559" s="93"/>
      <c r="I559" s="9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24.75" customHeight="1">
      <c r="A560" s="50"/>
      <c r="B560" s="93"/>
      <c r="C560" s="93"/>
      <c r="D560" s="93"/>
      <c r="E560" s="93"/>
      <c r="F560" s="93"/>
      <c r="G560" s="93"/>
      <c r="H560" s="93"/>
      <c r="I560" s="9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24.75" customHeight="1">
      <c r="A561" s="50"/>
      <c r="B561" s="93"/>
      <c r="C561" s="93"/>
      <c r="D561" s="93"/>
      <c r="E561" s="93"/>
      <c r="F561" s="93"/>
      <c r="G561" s="93"/>
      <c r="H561" s="93"/>
      <c r="I561" s="9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24.75" customHeight="1">
      <c r="A562" s="50"/>
      <c r="B562" s="93"/>
      <c r="C562" s="93"/>
      <c r="D562" s="93"/>
      <c r="E562" s="93"/>
      <c r="F562" s="93"/>
      <c r="G562" s="93"/>
      <c r="H562" s="93"/>
      <c r="I562" s="9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24.75" customHeight="1">
      <c r="A563" s="50"/>
      <c r="B563" s="93"/>
      <c r="C563" s="93"/>
      <c r="D563" s="93"/>
      <c r="E563" s="93"/>
      <c r="F563" s="93"/>
      <c r="G563" s="93"/>
      <c r="H563" s="93"/>
      <c r="I563" s="9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24.75" customHeight="1">
      <c r="A564" s="50"/>
      <c r="B564" s="93"/>
      <c r="C564" s="93"/>
      <c r="D564" s="93"/>
      <c r="E564" s="93"/>
      <c r="F564" s="93"/>
      <c r="G564" s="93"/>
      <c r="H564" s="93"/>
      <c r="I564" s="9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24.75" customHeight="1">
      <c r="A565" s="50"/>
      <c r="B565" s="93"/>
      <c r="C565" s="93"/>
      <c r="D565" s="93"/>
      <c r="E565" s="93"/>
      <c r="F565" s="93"/>
      <c r="G565" s="93"/>
      <c r="H565" s="93"/>
      <c r="I565" s="9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24.75" customHeight="1">
      <c r="A566" s="50"/>
      <c r="B566" s="93"/>
      <c r="C566" s="93"/>
      <c r="D566" s="93"/>
      <c r="E566" s="93"/>
      <c r="F566" s="93"/>
      <c r="G566" s="93"/>
      <c r="H566" s="93"/>
      <c r="I566" s="9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24.75" customHeight="1">
      <c r="A567" s="50"/>
      <c r="B567" s="93"/>
      <c r="C567" s="93"/>
      <c r="D567" s="93"/>
      <c r="E567" s="93"/>
      <c r="F567" s="93"/>
      <c r="G567" s="93"/>
      <c r="H567" s="93"/>
      <c r="I567" s="9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24.75" customHeight="1">
      <c r="A568" s="50"/>
      <c r="B568" s="93"/>
      <c r="C568" s="93"/>
      <c r="D568" s="93"/>
      <c r="E568" s="93"/>
      <c r="F568" s="93"/>
      <c r="G568" s="93"/>
      <c r="H568" s="93"/>
      <c r="I568" s="9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24.75" customHeight="1">
      <c r="A569" s="50"/>
      <c r="B569" s="93"/>
      <c r="C569" s="93"/>
      <c r="D569" s="93"/>
      <c r="E569" s="93"/>
      <c r="F569" s="93"/>
      <c r="G569" s="93"/>
      <c r="H569" s="93"/>
      <c r="I569" s="9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24.75" customHeight="1">
      <c r="A570" s="50"/>
      <c r="B570" s="93"/>
      <c r="C570" s="93"/>
      <c r="D570" s="93"/>
      <c r="E570" s="93"/>
      <c r="F570" s="93"/>
      <c r="G570" s="93"/>
      <c r="H570" s="93"/>
      <c r="I570" s="9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24.75" customHeight="1">
      <c r="A571" s="50"/>
      <c r="B571" s="93"/>
      <c r="C571" s="93"/>
      <c r="D571" s="93"/>
      <c r="E571" s="93"/>
      <c r="F571" s="93"/>
      <c r="G571" s="93"/>
      <c r="H571" s="93"/>
      <c r="I571" s="9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24.75" customHeight="1">
      <c r="A572" s="50"/>
      <c r="B572" s="93"/>
      <c r="C572" s="93"/>
      <c r="D572" s="93"/>
      <c r="E572" s="93"/>
      <c r="F572" s="93"/>
      <c r="G572" s="93"/>
      <c r="H572" s="93"/>
      <c r="I572" s="9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24.75" customHeight="1">
      <c r="A573" s="50"/>
      <c r="B573" s="93"/>
      <c r="C573" s="93"/>
      <c r="D573" s="93"/>
      <c r="E573" s="93"/>
      <c r="F573" s="93"/>
      <c r="G573" s="93"/>
      <c r="H573" s="93"/>
      <c r="I573" s="9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24.75" customHeight="1">
      <c r="A574" s="50"/>
      <c r="B574" s="93"/>
      <c r="C574" s="93"/>
      <c r="D574" s="93"/>
      <c r="E574" s="93"/>
      <c r="F574" s="93"/>
      <c r="G574" s="93"/>
      <c r="H574" s="93"/>
      <c r="I574" s="9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24.75" customHeight="1">
      <c r="A575" s="50"/>
      <c r="B575" s="93"/>
      <c r="C575" s="93"/>
      <c r="D575" s="93"/>
      <c r="E575" s="93"/>
      <c r="F575" s="93"/>
      <c r="G575" s="93"/>
      <c r="H575" s="93"/>
      <c r="I575" s="9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24.75" customHeight="1">
      <c r="A576" s="50"/>
      <c r="B576" s="93"/>
      <c r="C576" s="93"/>
      <c r="D576" s="93"/>
      <c r="E576" s="93"/>
      <c r="F576" s="93"/>
      <c r="G576" s="93"/>
      <c r="H576" s="93"/>
      <c r="I576" s="9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24.75" customHeight="1">
      <c r="A577" s="50"/>
      <c r="B577" s="93"/>
      <c r="C577" s="93"/>
      <c r="D577" s="93"/>
      <c r="E577" s="93"/>
      <c r="F577" s="93"/>
      <c r="G577" s="93"/>
      <c r="H577" s="93"/>
      <c r="I577" s="9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24.75" customHeight="1">
      <c r="A578" s="50"/>
      <c r="B578" s="93"/>
      <c r="C578" s="93"/>
      <c r="D578" s="93"/>
      <c r="E578" s="93"/>
      <c r="F578" s="93"/>
      <c r="G578" s="93"/>
      <c r="H578" s="93"/>
      <c r="I578" s="9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24.75" customHeight="1">
      <c r="A579" s="50"/>
      <c r="B579" s="93"/>
      <c r="C579" s="93"/>
      <c r="D579" s="93"/>
      <c r="E579" s="93"/>
      <c r="F579" s="93"/>
      <c r="G579" s="93"/>
      <c r="H579" s="93"/>
      <c r="I579" s="9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24.75" customHeight="1">
      <c r="A580" s="50"/>
      <c r="B580" s="93"/>
      <c r="C580" s="93"/>
      <c r="D580" s="93"/>
      <c r="E580" s="93"/>
      <c r="F580" s="93"/>
      <c r="G580" s="93"/>
      <c r="H580" s="93"/>
      <c r="I580" s="9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24.75" customHeight="1">
      <c r="A581" s="50"/>
      <c r="B581" s="93"/>
      <c r="C581" s="93"/>
      <c r="D581" s="93"/>
      <c r="E581" s="93"/>
      <c r="F581" s="93"/>
      <c r="G581" s="93"/>
      <c r="H581" s="93"/>
      <c r="I581" s="9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24.75" customHeight="1">
      <c r="A582" s="50"/>
      <c r="B582" s="93"/>
      <c r="C582" s="93"/>
      <c r="D582" s="93"/>
      <c r="E582" s="93"/>
      <c r="F582" s="93"/>
      <c r="G582" s="93"/>
      <c r="H582" s="93"/>
      <c r="I582" s="9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24.75" customHeight="1">
      <c r="A583" s="50"/>
      <c r="B583" s="93"/>
      <c r="C583" s="93"/>
      <c r="D583" s="93"/>
      <c r="E583" s="93"/>
      <c r="F583" s="93"/>
      <c r="G583" s="93"/>
      <c r="H583" s="93"/>
      <c r="I583" s="9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24.75" customHeight="1">
      <c r="A584" s="50"/>
      <c r="B584" s="93"/>
      <c r="C584" s="93"/>
      <c r="D584" s="93"/>
      <c r="E584" s="93"/>
      <c r="F584" s="93"/>
      <c r="G584" s="93"/>
      <c r="H584" s="93"/>
      <c r="I584" s="9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24.75" customHeight="1">
      <c r="A585" s="50"/>
      <c r="B585" s="93"/>
      <c r="C585" s="93"/>
      <c r="D585" s="93"/>
      <c r="E585" s="93"/>
      <c r="F585" s="93"/>
      <c r="G585" s="93"/>
      <c r="H585" s="93"/>
      <c r="I585" s="9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24.75" customHeight="1">
      <c r="A586" s="50"/>
      <c r="B586" s="93"/>
      <c r="C586" s="93"/>
      <c r="D586" s="93"/>
      <c r="E586" s="93"/>
      <c r="F586" s="93"/>
      <c r="G586" s="93"/>
      <c r="H586" s="93"/>
      <c r="I586" s="9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24.75" customHeight="1">
      <c r="A587" s="50"/>
      <c r="B587" s="93"/>
      <c r="C587" s="93"/>
      <c r="D587" s="93"/>
      <c r="E587" s="93"/>
      <c r="F587" s="93"/>
      <c r="G587" s="93"/>
      <c r="H587" s="93"/>
      <c r="I587" s="9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24.75" customHeight="1">
      <c r="A588" s="50"/>
      <c r="B588" s="93"/>
      <c r="C588" s="93"/>
      <c r="D588" s="93"/>
      <c r="E588" s="93"/>
      <c r="F588" s="93"/>
      <c r="G588" s="93"/>
      <c r="H588" s="93"/>
      <c r="I588" s="9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24.75" customHeight="1">
      <c r="A589" s="50"/>
      <c r="B589" s="93"/>
      <c r="C589" s="93"/>
      <c r="D589" s="93"/>
      <c r="E589" s="93"/>
      <c r="F589" s="93"/>
      <c r="G589" s="93"/>
      <c r="H589" s="93"/>
      <c r="I589" s="9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24.75" customHeight="1">
      <c r="A590" s="50"/>
      <c r="B590" s="93"/>
      <c r="C590" s="93"/>
      <c r="D590" s="93"/>
      <c r="E590" s="93"/>
      <c r="F590" s="93"/>
      <c r="G590" s="93"/>
      <c r="H590" s="93"/>
      <c r="I590" s="9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24.75" customHeight="1">
      <c r="A591" s="50"/>
      <c r="B591" s="93"/>
      <c r="C591" s="93"/>
      <c r="D591" s="93"/>
      <c r="E591" s="93"/>
      <c r="F591" s="93"/>
      <c r="G591" s="93"/>
      <c r="H591" s="93"/>
      <c r="I591" s="9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24.75" customHeight="1">
      <c r="A592" s="50"/>
      <c r="B592" s="93"/>
      <c r="C592" s="93"/>
      <c r="D592" s="93"/>
      <c r="E592" s="93"/>
      <c r="F592" s="93"/>
      <c r="G592" s="93"/>
      <c r="H592" s="93"/>
      <c r="I592" s="9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24.75" customHeight="1">
      <c r="A593" s="50"/>
      <c r="B593" s="93"/>
      <c r="C593" s="93"/>
      <c r="D593" s="93"/>
      <c r="E593" s="93"/>
      <c r="F593" s="93"/>
      <c r="G593" s="93"/>
      <c r="H593" s="93"/>
      <c r="I593" s="9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24.75" customHeight="1">
      <c r="A594" s="50"/>
      <c r="B594" s="93"/>
      <c r="C594" s="93"/>
      <c r="D594" s="93"/>
      <c r="E594" s="93"/>
      <c r="F594" s="93"/>
      <c r="G594" s="93"/>
      <c r="H594" s="93"/>
      <c r="I594" s="9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24.75" customHeight="1">
      <c r="A595" s="50"/>
      <c r="B595" s="93"/>
      <c r="C595" s="93"/>
      <c r="D595" s="93"/>
      <c r="E595" s="93"/>
      <c r="F595" s="93"/>
      <c r="G595" s="93"/>
      <c r="H595" s="93"/>
      <c r="I595" s="9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24.75" customHeight="1">
      <c r="A596" s="50"/>
      <c r="B596" s="93"/>
      <c r="C596" s="93"/>
      <c r="D596" s="93"/>
      <c r="E596" s="93"/>
      <c r="F596" s="93"/>
      <c r="G596" s="93"/>
      <c r="H596" s="93"/>
      <c r="I596" s="9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24.75" customHeight="1">
      <c r="A597" s="50"/>
      <c r="B597" s="93"/>
      <c r="C597" s="93"/>
      <c r="D597" s="93"/>
      <c r="E597" s="93"/>
      <c r="F597" s="93"/>
      <c r="G597" s="93"/>
      <c r="H597" s="93"/>
      <c r="I597" s="9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24.75" customHeight="1">
      <c r="A598" s="50"/>
      <c r="B598" s="93"/>
      <c r="C598" s="93"/>
      <c r="D598" s="93"/>
      <c r="E598" s="93"/>
      <c r="F598" s="93"/>
      <c r="G598" s="93"/>
      <c r="H598" s="93"/>
      <c r="I598" s="9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24.75" customHeight="1">
      <c r="A599" s="50"/>
      <c r="B599" s="93"/>
      <c r="C599" s="93"/>
      <c r="D599" s="93"/>
      <c r="E599" s="93"/>
      <c r="F599" s="93"/>
      <c r="G599" s="93"/>
      <c r="H599" s="93"/>
      <c r="I599" s="9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24.75" customHeight="1">
      <c r="A600" s="50"/>
      <c r="B600" s="93"/>
      <c r="C600" s="93"/>
      <c r="D600" s="93"/>
      <c r="E600" s="93"/>
      <c r="F600" s="93"/>
      <c r="G600" s="93"/>
      <c r="H600" s="93"/>
      <c r="I600" s="9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24.75" customHeight="1">
      <c r="A601" s="50"/>
      <c r="B601" s="93"/>
      <c r="C601" s="93"/>
      <c r="D601" s="93"/>
      <c r="E601" s="93"/>
      <c r="F601" s="93"/>
      <c r="G601" s="93"/>
      <c r="H601" s="93"/>
      <c r="I601" s="9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24.75" customHeight="1">
      <c r="A602" s="50"/>
      <c r="B602" s="93"/>
      <c r="C602" s="93"/>
      <c r="D602" s="93"/>
      <c r="E602" s="93"/>
      <c r="F602" s="93"/>
      <c r="G602" s="93"/>
      <c r="H602" s="93"/>
      <c r="I602" s="9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24.75" customHeight="1">
      <c r="A603" s="50"/>
      <c r="B603" s="93"/>
      <c r="C603" s="93"/>
      <c r="D603" s="93"/>
      <c r="E603" s="93"/>
      <c r="F603" s="93"/>
      <c r="G603" s="93"/>
      <c r="H603" s="93"/>
      <c r="I603" s="9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24.75" customHeight="1">
      <c r="A604" s="50"/>
      <c r="B604" s="93"/>
      <c r="C604" s="93"/>
      <c r="D604" s="93"/>
      <c r="E604" s="93"/>
      <c r="F604" s="93"/>
      <c r="G604" s="93"/>
      <c r="H604" s="93"/>
      <c r="I604" s="9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24.75" customHeight="1">
      <c r="A605" s="50"/>
      <c r="B605" s="93"/>
      <c r="C605" s="93"/>
      <c r="D605" s="93"/>
      <c r="E605" s="93"/>
      <c r="F605" s="93"/>
      <c r="G605" s="93"/>
      <c r="H605" s="93"/>
      <c r="I605" s="9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24.75" customHeight="1">
      <c r="A606" s="50"/>
      <c r="B606" s="93"/>
      <c r="C606" s="93"/>
      <c r="D606" s="93"/>
      <c r="E606" s="93"/>
      <c r="F606" s="93"/>
      <c r="G606" s="93"/>
      <c r="H606" s="93"/>
      <c r="I606" s="9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24.75" customHeight="1">
      <c r="A607" s="50"/>
      <c r="B607" s="93"/>
      <c r="C607" s="93"/>
      <c r="D607" s="93"/>
      <c r="E607" s="93"/>
      <c r="F607" s="93"/>
      <c r="G607" s="93"/>
      <c r="H607" s="93"/>
      <c r="I607" s="9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24.75" customHeight="1">
      <c r="A608" s="50"/>
      <c r="B608" s="93"/>
      <c r="C608" s="93"/>
      <c r="D608" s="93"/>
      <c r="E608" s="93"/>
      <c r="F608" s="93"/>
      <c r="G608" s="93"/>
      <c r="H608" s="93"/>
      <c r="I608" s="9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24.75" customHeight="1">
      <c r="A609" s="50"/>
      <c r="B609" s="93"/>
      <c r="C609" s="93"/>
      <c r="D609" s="93"/>
      <c r="E609" s="93"/>
      <c r="F609" s="93"/>
      <c r="G609" s="93"/>
      <c r="H609" s="93"/>
      <c r="I609" s="9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24.75" customHeight="1">
      <c r="A610" s="50"/>
      <c r="B610" s="93"/>
      <c r="C610" s="93"/>
      <c r="D610" s="93"/>
      <c r="E610" s="93"/>
      <c r="F610" s="93"/>
      <c r="G610" s="93"/>
      <c r="H610" s="93"/>
      <c r="I610" s="9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24.75" customHeight="1">
      <c r="A611" s="50"/>
      <c r="B611" s="93"/>
      <c r="C611" s="93"/>
      <c r="D611" s="93"/>
      <c r="E611" s="93"/>
      <c r="F611" s="93"/>
      <c r="G611" s="93"/>
      <c r="H611" s="93"/>
      <c r="I611" s="9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24.75" customHeight="1">
      <c r="A612" s="50"/>
      <c r="B612" s="93"/>
      <c r="C612" s="93"/>
      <c r="D612" s="93"/>
      <c r="E612" s="93"/>
      <c r="F612" s="93"/>
      <c r="G612" s="93"/>
      <c r="H612" s="93"/>
      <c r="I612" s="9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24.75" customHeight="1">
      <c r="A613" s="50"/>
      <c r="B613" s="93"/>
      <c r="C613" s="93"/>
      <c r="D613" s="93"/>
      <c r="E613" s="93"/>
      <c r="F613" s="93"/>
      <c r="G613" s="93"/>
      <c r="H613" s="93"/>
      <c r="I613" s="9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24.75" customHeight="1">
      <c r="A614" s="50"/>
      <c r="B614" s="93"/>
      <c r="C614" s="93"/>
      <c r="D614" s="93"/>
      <c r="E614" s="93"/>
      <c r="F614" s="93"/>
      <c r="G614" s="93"/>
      <c r="H614" s="93"/>
      <c r="I614" s="9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24.75" customHeight="1">
      <c r="A615" s="50"/>
      <c r="B615" s="93"/>
      <c r="C615" s="93"/>
      <c r="D615" s="93"/>
      <c r="E615" s="93"/>
      <c r="F615" s="93"/>
      <c r="G615" s="93"/>
      <c r="H615" s="93"/>
      <c r="I615" s="9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24.75" customHeight="1">
      <c r="A616" s="50"/>
      <c r="B616" s="93"/>
      <c r="C616" s="93"/>
      <c r="D616" s="93"/>
      <c r="E616" s="93"/>
      <c r="F616" s="93"/>
      <c r="G616" s="93"/>
      <c r="H616" s="93"/>
      <c r="I616" s="9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24.75" customHeight="1">
      <c r="A617" s="50"/>
      <c r="B617" s="93"/>
      <c r="C617" s="93"/>
      <c r="D617" s="93"/>
      <c r="E617" s="93"/>
      <c r="F617" s="93"/>
      <c r="G617" s="93"/>
      <c r="H617" s="93"/>
      <c r="I617" s="9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24.75" customHeight="1">
      <c r="A618" s="50"/>
      <c r="B618" s="93"/>
      <c r="C618" s="93"/>
      <c r="D618" s="93"/>
      <c r="E618" s="93"/>
      <c r="F618" s="93"/>
      <c r="G618" s="93"/>
      <c r="H618" s="93"/>
      <c r="I618" s="9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 ht="24.75" customHeight="1">
      <c r="A619" s="50"/>
      <c r="B619" s="93"/>
      <c r="C619" s="93"/>
      <c r="D619" s="93"/>
      <c r="E619" s="93"/>
      <c r="F619" s="93"/>
      <c r="G619" s="93"/>
      <c r="H619" s="93"/>
      <c r="I619" s="93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 ht="24.75" customHeight="1">
      <c r="A620" s="50"/>
      <c r="B620" s="93"/>
      <c r="C620" s="93"/>
      <c r="D620" s="93"/>
      <c r="E620" s="93"/>
      <c r="F620" s="93"/>
      <c r="G620" s="93"/>
      <c r="H620" s="93"/>
      <c r="I620" s="93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 ht="24.75" customHeight="1">
      <c r="A621" s="50"/>
      <c r="B621" s="93"/>
      <c r="C621" s="93"/>
      <c r="D621" s="93"/>
      <c r="E621" s="93"/>
      <c r="F621" s="93"/>
      <c r="G621" s="93"/>
      <c r="H621" s="93"/>
      <c r="I621" s="93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 ht="24.75" customHeight="1">
      <c r="A622" s="50"/>
      <c r="B622" s="93"/>
      <c r="C622" s="93"/>
      <c r="D622" s="93"/>
      <c r="E622" s="93"/>
      <c r="F622" s="93"/>
      <c r="G622" s="93"/>
      <c r="H622" s="93"/>
      <c r="I622" s="93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 ht="24.75" customHeight="1">
      <c r="A623" s="50"/>
      <c r="B623" s="93"/>
      <c r="C623" s="93"/>
      <c r="D623" s="93"/>
      <c r="E623" s="93"/>
      <c r="F623" s="93"/>
      <c r="G623" s="93"/>
      <c r="H623" s="93"/>
      <c r="I623" s="93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 ht="24.75" customHeight="1">
      <c r="A624" s="50"/>
      <c r="B624" s="93"/>
      <c r="C624" s="93"/>
      <c r="D624" s="93"/>
      <c r="E624" s="93"/>
      <c r="F624" s="93"/>
      <c r="G624" s="93"/>
      <c r="H624" s="93"/>
      <c r="I624" s="93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 ht="24.75" customHeight="1">
      <c r="A625" s="50"/>
      <c r="B625" s="93"/>
      <c r="C625" s="93"/>
      <c r="D625" s="93"/>
      <c r="E625" s="93"/>
      <c r="F625" s="93"/>
      <c r="G625" s="93"/>
      <c r="H625" s="93"/>
      <c r="I625" s="93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 ht="24.75" customHeight="1">
      <c r="A626" s="50"/>
      <c r="B626" s="93"/>
      <c r="C626" s="93"/>
      <c r="D626" s="93"/>
      <c r="E626" s="93"/>
      <c r="F626" s="93"/>
      <c r="G626" s="93"/>
      <c r="H626" s="93"/>
      <c r="I626" s="93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 ht="24.75" customHeight="1">
      <c r="A627" s="50"/>
      <c r="B627" s="93"/>
      <c r="C627" s="93"/>
      <c r="D627" s="93"/>
      <c r="E627" s="93"/>
      <c r="F627" s="93"/>
      <c r="G627" s="93"/>
      <c r="H627" s="93"/>
      <c r="I627" s="93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 ht="24.75" customHeight="1">
      <c r="A628" s="50"/>
      <c r="B628" s="93"/>
      <c r="C628" s="93"/>
      <c r="D628" s="93"/>
      <c r="E628" s="93"/>
      <c r="F628" s="93"/>
      <c r="G628" s="93"/>
      <c r="H628" s="93"/>
      <c r="I628" s="93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 ht="24.75" customHeight="1">
      <c r="A629" s="50"/>
      <c r="B629" s="93"/>
      <c r="C629" s="93"/>
      <c r="D629" s="93"/>
      <c r="E629" s="93"/>
      <c r="F629" s="93"/>
      <c r="G629" s="93"/>
      <c r="H629" s="93"/>
      <c r="I629" s="93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 ht="24.75" customHeight="1">
      <c r="A630" s="50"/>
      <c r="B630" s="93"/>
      <c r="C630" s="93"/>
      <c r="D630" s="93"/>
      <c r="E630" s="93"/>
      <c r="F630" s="93"/>
      <c r="G630" s="93"/>
      <c r="H630" s="93"/>
      <c r="I630" s="93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 ht="24.75" customHeight="1">
      <c r="A631" s="50"/>
      <c r="B631" s="93"/>
      <c r="C631" s="93"/>
      <c r="D631" s="93"/>
      <c r="E631" s="93"/>
      <c r="F631" s="93"/>
      <c r="G631" s="93"/>
      <c r="H631" s="93"/>
      <c r="I631" s="93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 ht="24.75" customHeight="1">
      <c r="A632" s="50"/>
      <c r="B632" s="93"/>
      <c r="C632" s="93"/>
      <c r="D632" s="93"/>
      <c r="E632" s="93"/>
      <c r="F632" s="93"/>
      <c r="G632" s="93"/>
      <c r="H632" s="93"/>
      <c r="I632" s="93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 ht="24.75" customHeight="1">
      <c r="A633" s="50"/>
      <c r="B633" s="93"/>
      <c r="C633" s="93"/>
      <c r="D633" s="93"/>
      <c r="E633" s="93"/>
      <c r="F633" s="93"/>
      <c r="G633" s="93"/>
      <c r="H633" s="93"/>
      <c r="I633" s="93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 ht="24.75" customHeight="1">
      <c r="A634" s="50"/>
      <c r="B634" s="93"/>
      <c r="C634" s="93"/>
      <c r="D634" s="93"/>
      <c r="E634" s="93"/>
      <c r="F634" s="93"/>
      <c r="G634" s="93"/>
      <c r="H634" s="93"/>
      <c r="I634" s="93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 ht="24.75" customHeight="1">
      <c r="A635" s="50"/>
      <c r="B635" s="93"/>
      <c r="C635" s="93"/>
      <c r="D635" s="93"/>
      <c r="E635" s="93"/>
      <c r="F635" s="93"/>
      <c r="G635" s="93"/>
      <c r="H635" s="93"/>
      <c r="I635" s="93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 ht="24.75" customHeight="1">
      <c r="A636" s="50"/>
      <c r="B636" s="93"/>
      <c r="C636" s="93"/>
      <c r="D636" s="93"/>
      <c r="E636" s="93"/>
      <c r="F636" s="93"/>
      <c r="G636" s="93"/>
      <c r="H636" s="93"/>
      <c r="I636" s="93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 ht="24.75" customHeight="1">
      <c r="A637" s="50"/>
      <c r="B637" s="93"/>
      <c r="C637" s="93"/>
      <c r="D637" s="93"/>
      <c r="E637" s="93"/>
      <c r="F637" s="93"/>
      <c r="G637" s="93"/>
      <c r="H637" s="93"/>
      <c r="I637" s="93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 ht="24.75" customHeight="1">
      <c r="A638" s="50"/>
      <c r="B638" s="93"/>
      <c r="C638" s="93"/>
      <c r="D638" s="93"/>
      <c r="E638" s="93"/>
      <c r="F638" s="93"/>
      <c r="G638" s="93"/>
      <c r="H638" s="93"/>
      <c r="I638" s="93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 ht="24.75" customHeight="1">
      <c r="A639" s="50"/>
      <c r="B639" s="93"/>
      <c r="C639" s="93"/>
      <c r="D639" s="93"/>
      <c r="E639" s="93"/>
      <c r="F639" s="93"/>
      <c r="G639" s="93"/>
      <c r="H639" s="93"/>
      <c r="I639" s="93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 ht="24.75" customHeight="1">
      <c r="A640" s="50"/>
      <c r="B640" s="93"/>
      <c r="C640" s="93"/>
      <c r="D640" s="93"/>
      <c r="E640" s="93"/>
      <c r="F640" s="93"/>
      <c r="G640" s="93"/>
      <c r="H640" s="93"/>
      <c r="I640" s="93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 ht="24.75" customHeight="1">
      <c r="A641" s="50"/>
      <c r="B641" s="93"/>
      <c r="C641" s="93"/>
      <c r="D641" s="93"/>
      <c r="E641" s="93"/>
      <c r="F641" s="93"/>
      <c r="G641" s="93"/>
      <c r="H641" s="93"/>
      <c r="I641" s="93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 ht="24.75" customHeight="1">
      <c r="A642" s="50"/>
      <c r="B642" s="93"/>
      <c r="C642" s="93"/>
      <c r="D642" s="93"/>
      <c r="E642" s="93"/>
      <c r="F642" s="93"/>
      <c r="G642" s="93"/>
      <c r="H642" s="93"/>
      <c r="I642" s="93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 ht="24.75" customHeight="1">
      <c r="A643" s="50"/>
      <c r="B643" s="93"/>
      <c r="C643" s="93"/>
      <c r="D643" s="93"/>
      <c r="E643" s="93"/>
      <c r="F643" s="93"/>
      <c r="G643" s="93"/>
      <c r="H643" s="93"/>
      <c r="I643" s="93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 ht="24.75" customHeight="1">
      <c r="A644" s="50"/>
      <c r="B644" s="93"/>
      <c r="C644" s="93"/>
      <c r="D644" s="93"/>
      <c r="E644" s="93"/>
      <c r="F644" s="93"/>
      <c r="G644" s="93"/>
      <c r="H644" s="93"/>
      <c r="I644" s="93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 ht="24.75" customHeight="1">
      <c r="A645" s="50"/>
      <c r="B645" s="93"/>
      <c r="C645" s="93"/>
      <c r="D645" s="93"/>
      <c r="E645" s="93"/>
      <c r="F645" s="93"/>
      <c r="G645" s="93"/>
      <c r="H645" s="93"/>
      <c r="I645" s="93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 ht="24.75" customHeight="1">
      <c r="A646" s="50"/>
      <c r="B646" s="93"/>
      <c r="C646" s="93"/>
      <c r="D646" s="93"/>
      <c r="E646" s="93"/>
      <c r="F646" s="93"/>
      <c r="G646" s="93"/>
      <c r="H646" s="93"/>
      <c r="I646" s="93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 ht="24.75" customHeight="1">
      <c r="A647" s="50"/>
      <c r="B647" s="93"/>
      <c r="C647" s="93"/>
      <c r="D647" s="93"/>
      <c r="E647" s="93"/>
      <c r="F647" s="93"/>
      <c r="G647" s="93"/>
      <c r="H647" s="93"/>
      <c r="I647" s="93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 ht="24.75" customHeight="1">
      <c r="A648" s="50"/>
      <c r="B648" s="93"/>
      <c r="C648" s="93"/>
      <c r="D648" s="93"/>
      <c r="E648" s="93"/>
      <c r="F648" s="93"/>
      <c r="G648" s="93"/>
      <c r="H648" s="93"/>
      <c r="I648" s="93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 ht="24.75" customHeight="1">
      <c r="A649" s="50"/>
      <c r="B649" s="93"/>
      <c r="C649" s="93"/>
      <c r="D649" s="93"/>
      <c r="E649" s="93"/>
      <c r="F649" s="93"/>
      <c r="G649" s="93"/>
      <c r="H649" s="93"/>
      <c r="I649" s="93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 ht="24.75" customHeight="1">
      <c r="A650" s="50"/>
      <c r="B650" s="93"/>
      <c r="C650" s="93"/>
      <c r="D650" s="93"/>
      <c r="E650" s="93"/>
      <c r="F650" s="93"/>
      <c r="G650" s="93"/>
      <c r="H650" s="93"/>
      <c r="I650" s="93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 ht="24.75" customHeight="1">
      <c r="A651" s="50"/>
      <c r="B651" s="93"/>
      <c r="C651" s="93"/>
      <c r="D651" s="93"/>
      <c r="E651" s="93"/>
      <c r="F651" s="93"/>
      <c r="G651" s="93"/>
      <c r="H651" s="93"/>
      <c r="I651" s="93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 ht="24.75" customHeight="1">
      <c r="A652" s="50"/>
      <c r="B652" s="93"/>
      <c r="C652" s="93"/>
      <c r="D652" s="93"/>
      <c r="E652" s="93"/>
      <c r="F652" s="93"/>
      <c r="G652" s="93"/>
      <c r="H652" s="93"/>
      <c r="I652" s="93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 ht="24.75" customHeight="1">
      <c r="A653" s="50"/>
      <c r="B653" s="93"/>
      <c r="C653" s="93"/>
      <c r="D653" s="93"/>
      <c r="E653" s="93"/>
      <c r="F653" s="93"/>
      <c r="G653" s="93"/>
      <c r="H653" s="93"/>
      <c r="I653" s="93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 ht="24.75" customHeight="1">
      <c r="A654" s="50"/>
      <c r="B654" s="93"/>
      <c r="C654" s="93"/>
      <c r="D654" s="93"/>
      <c r="E654" s="93"/>
      <c r="F654" s="93"/>
      <c r="G654" s="93"/>
      <c r="H654" s="93"/>
      <c r="I654" s="93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 ht="24.75" customHeight="1">
      <c r="A655" s="50"/>
      <c r="B655" s="93"/>
      <c r="C655" s="93"/>
      <c r="D655" s="93"/>
      <c r="E655" s="93"/>
      <c r="F655" s="93"/>
      <c r="G655" s="93"/>
      <c r="H655" s="93"/>
      <c r="I655" s="93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 ht="24.75" customHeight="1">
      <c r="A656" s="50"/>
      <c r="B656" s="93"/>
      <c r="C656" s="93"/>
      <c r="D656" s="93"/>
      <c r="E656" s="93"/>
      <c r="F656" s="93"/>
      <c r="G656" s="93"/>
      <c r="H656" s="93"/>
      <c r="I656" s="93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 ht="24.75" customHeight="1">
      <c r="A657" s="50"/>
      <c r="B657" s="93"/>
      <c r="C657" s="93"/>
      <c r="D657" s="93"/>
      <c r="E657" s="93"/>
      <c r="F657" s="93"/>
      <c r="G657" s="93"/>
      <c r="H657" s="93"/>
      <c r="I657" s="93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 ht="24.75" customHeight="1">
      <c r="A658" s="50"/>
      <c r="B658" s="93"/>
      <c r="C658" s="93"/>
      <c r="D658" s="93"/>
      <c r="E658" s="93"/>
      <c r="F658" s="93"/>
      <c r="G658" s="93"/>
      <c r="H658" s="93"/>
      <c r="I658" s="93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 ht="24.75" customHeight="1">
      <c r="A659" s="50"/>
      <c r="B659" s="93"/>
      <c r="C659" s="93"/>
      <c r="D659" s="93"/>
      <c r="E659" s="93"/>
      <c r="F659" s="93"/>
      <c r="G659" s="93"/>
      <c r="H659" s="93"/>
      <c r="I659" s="93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 ht="24.75" customHeight="1">
      <c r="A660" s="50"/>
      <c r="B660" s="93"/>
      <c r="C660" s="93"/>
      <c r="D660" s="93"/>
      <c r="E660" s="93"/>
      <c r="F660" s="93"/>
      <c r="G660" s="93"/>
      <c r="H660" s="93"/>
      <c r="I660" s="93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 ht="24.75" customHeight="1">
      <c r="A661" s="50"/>
      <c r="B661" s="93"/>
      <c r="C661" s="93"/>
      <c r="D661" s="93"/>
      <c r="E661" s="93"/>
      <c r="F661" s="93"/>
      <c r="G661" s="93"/>
      <c r="H661" s="93"/>
      <c r="I661" s="93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 ht="24.75" customHeight="1">
      <c r="A662" s="50"/>
      <c r="B662" s="93"/>
      <c r="C662" s="93"/>
      <c r="D662" s="93"/>
      <c r="E662" s="93"/>
      <c r="F662" s="93"/>
      <c r="G662" s="93"/>
      <c r="H662" s="93"/>
      <c r="I662" s="93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ht="24.75" customHeight="1">
      <c r="A663" s="50"/>
      <c r="B663" s="93"/>
      <c r="C663" s="93"/>
      <c r="D663" s="93"/>
      <c r="E663" s="93"/>
      <c r="F663" s="93"/>
      <c r="G663" s="93"/>
      <c r="H663" s="93"/>
      <c r="I663" s="93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 ht="24.75" customHeight="1">
      <c r="A664" s="50"/>
      <c r="B664" s="93"/>
      <c r="C664" s="93"/>
      <c r="D664" s="93"/>
      <c r="E664" s="93"/>
      <c r="F664" s="93"/>
      <c r="G664" s="93"/>
      <c r="H664" s="93"/>
      <c r="I664" s="93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 ht="24.75" customHeight="1">
      <c r="A665" s="50"/>
      <c r="B665" s="93"/>
      <c r="C665" s="93"/>
      <c r="D665" s="93"/>
      <c r="E665" s="93"/>
      <c r="F665" s="93"/>
      <c r="G665" s="93"/>
      <c r="H665" s="93"/>
      <c r="I665" s="93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ht="24.75" customHeight="1">
      <c r="A666" s="50"/>
      <c r="B666" s="93"/>
      <c r="C666" s="93"/>
      <c r="D666" s="93"/>
      <c r="E666" s="93"/>
      <c r="F666" s="93"/>
      <c r="G666" s="93"/>
      <c r="H666" s="93"/>
      <c r="I666" s="93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ht="24.75" customHeight="1">
      <c r="A667" s="50"/>
      <c r="B667" s="93"/>
      <c r="C667" s="93"/>
      <c r="D667" s="93"/>
      <c r="E667" s="93"/>
      <c r="F667" s="93"/>
      <c r="G667" s="93"/>
      <c r="H667" s="93"/>
      <c r="I667" s="93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 ht="24.75" customHeight="1">
      <c r="A668" s="50"/>
      <c r="B668" s="93"/>
      <c r="C668" s="93"/>
      <c r="D668" s="93"/>
      <c r="E668" s="93"/>
      <c r="F668" s="93"/>
      <c r="G668" s="93"/>
      <c r="H668" s="93"/>
      <c r="I668" s="93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 ht="24.75" customHeight="1">
      <c r="A669" s="50"/>
      <c r="B669" s="93"/>
      <c r="C669" s="93"/>
      <c r="D669" s="93"/>
      <c r="E669" s="93"/>
      <c r="F669" s="93"/>
      <c r="G669" s="93"/>
      <c r="H669" s="93"/>
      <c r="I669" s="93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 ht="24.75" customHeight="1">
      <c r="A670" s="50"/>
      <c r="B670" s="93"/>
      <c r="C670" s="93"/>
      <c r="D670" s="93"/>
      <c r="E670" s="93"/>
      <c r="F670" s="93"/>
      <c r="G670" s="93"/>
      <c r="H670" s="93"/>
      <c r="I670" s="93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 ht="24.75" customHeight="1">
      <c r="A671" s="50"/>
      <c r="B671" s="93"/>
      <c r="C671" s="93"/>
      <c r="D671" s="93"/>
      <c r="E671" s="93"/>
      <c r="F671" s="93"/>
      <c r="G671" s="93"/>
      <c r="H671" s="93"/>
      <c r="I671" s="93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 ht="24.75" customHeight="1">
      <c r="A672" s="50"/>
      <c r="B672" s="93"/>
      <c r="C672" s="93"/>
      <c r="D672" s="93"/>
      <c r="E672" s="93"/>
      <c r="F672" s="93"/>
      <c r="G672" s="93"/>
      <c r="H672" s="93"/>
      <c r="I672" s="93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 ht="24.75" customHeight="1">
      <c r="A673" s="50"/>
      <c r="B673" s="93"/>
      <c r="C673" s="93"/>
      <c r="D673" s="93"/>
      <c r="E673" s="93"/>
      <c r="F673" s="93"/>
      <c r="G673" s="93"/>
      <c r="H673" s="93"/>
      <c r="I673" s="93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 ht="24.75" customHeight="1">
      <c r="A674" s="50"/>
      <c r="B674" s="93"/>
      <c r="C674" s="93"/>
      <c r="D674" s="93"/>
      <c r="E674" s="93"/>
      <c r="F674" s="93"/>
      <c r="G674" s="93"/>
      <c r="H674" s="93"/>
      <c r="I674" s="93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 ht="24.75" customHeight="1">
      <c r="A675" s="50"/>
      <c r="B675" s="93"/>
      <c r="C675" s="93"/>
      <c r="D675" s="93"/>
      <c r="E675" s="93"/>
      <c r="F675" s="93"/>
      <c r="G675" s="93"/>
      <c r="H675" s="93"/>
      <c r="I675" s="93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 ht="24.75" customHeight="1">
      <c r="A676" s="50"/>
      <c r="B676" s="93"/>
      <c r="C676" s="93"/>
      <c r="D676" s="93"/>
      <c r="E676" s="93"/>
      <c r="F676" s="93"/>
      <c r="G676" s="93"/>
      <c r="H676" s="93"/>
      <c r="I676" s="93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 ht="24.75" customHeight="1">
      <c r="A677" s="50"/>
      <c r="B677" s="93"/>
      <c r="C677" s="93"/>
      <c r="D677" s="93"/>
      <c r="E677" s="93"/>
      <c r="F677" s="93"/>
      <c r="G677" s="93"/>
      <c r="H677" s="93"/>
      <c r="I677" s="93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 ht="24.75" customHeight="1">
      <c r="A678" s="50"/>
      <c r="B678" s="93"/>
      <c r="C678" s="93"/>
      <c r="D678" s="93"/>
      <c r="E678" s="93"/>
      <c r="F678" s="93"/>
      <c r="G678" s="93"/>
      <c r="H678" s="93"/>
      <c r="I678" s="93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 ht="24.75" customHeight="1">
      <c r="A679" s="50"/>
      <c r="B679" s="93"/>
      <c r="C679" s="93"/>
      <c r="D679" s="93"/>
      <c r="E679" s="93"/>
      <c r="F679" s="93"/>
      <c r="G679" s="93"/>
      <c r="H679" s="93"/>
      <c r="I679" s="93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 ht="24.75" customHeight="1">
      <c r="A680" s="50"/>
      <c r="B680" s="93"/>
      <c r="C680" s="93"/>
      <c r="D680" s="93"/>
      <c r="E680" s="93"/>
      <c r="F680" s="93"/>
      <c r="G680" s="93"/>
      <c r="H680" s="93"/>
      <c r="I680" s="93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 ht="24.75" customHeight="1">
      <c r="A681" s="50"/>
      <c r="B681" s="93"/>
      <c r="C681" s="93"/>
      <c r="D681" s="93"/>
      <c r="E681" s="93"/>
      <c r="F681" s="93"/>
      <c r="G681" s="93"/>
      <c r="H681" s="93"/>
      <c r="I681" s="93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 ht="24.75" customHeight="1">
      <c r="A682" s="50"/>
      <c r="B682" s="93"/>
      <c r="C682" s="93"/>
      <c r="D682" s="93"/>
      <c r="E682" s="93"/>
      <c r="F682" s="93"/>
      <c r="G682" s="93"/>
      <c r="H682" s="93"/>
      <c r="I682" s="93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 ht="24.75" customHeight="1">
      <c r="A683" s="50"/>
      <c r="B683" s="93"/>
      <c r="C683" s="93"/>
      <c r="D683" s="93"/>
      <c r="E683" s="93"/>
      <c r="F683" s="93"/>
      <c r="G683" s="93"/>
      <c r="H683" s="93"/>
      <c r="I683" s="93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 ht="24.75" customHeight="1">
      <c r="A684" s="50"/>
      <c r="B684" s="93"/>
      <c r="C684" s="93"/>
      <c r="D684" s="93"/>
      <c r="E684" s="93"/>
      <c r="F684" s="93"/>
      <c r="G684" s="93"/>
      <c r="H684" s="93"/>
      <c r="I684" s="93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 ht="24.75" customHeight="1">
      <c r="A685" s="50"/>
      <c r="B685" s="93"/>
      <c r="C685" s="93"/>
      <c r="D685" s="93"/>
      <c r="E685" s="93"/>
      <c r="F685" s="93"/>
      <c r="G685" s="93"/>
      <c r="H685" s="93"/>
      <c r="I685" s="93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 ht="24.75" customHeight="1">
      <c r="A686" s="50"/>
      <c r="B686" s="93"/>
      <c r="C686" s="93"/>
      <c r="D686" s="93"/>
      <c r="E686" s="93"/>
      <c r="F686" s="93"/>
      <c r="G686" s="93"/>
      <c r="H686" s="93"/>
      <c r="I686" s="93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 ht="24.75" customHeight="1">
      <c r="A687" s="50"/>
      <c r="B687" s="93"/>
      <c r="C687" s="93"/>
      <c r="D687" s="93"/>
      <c r="E687" s="93"/>
      <c r="F687" s="93"/>
      <c r="G687" s="93"/>
      <c r="H687" s="93"/>
      <c r="I687" s="93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 ht="24.75" customHeight="1">
      <c r="A688" s="50"/>
      <c r="B688" s="93"/>
      <c r="C688" s="93"/>
      <c r="D688" s="93"/>
      <c r="E688" s="93"/>
      <c r="F688" s="93"/>
      <c r="G688" s="93"/>
      <c r="H688" s="93"/>
      <c r="I688" s="93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 ht="24.75" customHeight="1">
      <c r="A689" s="50"/>
      <c r="B689" s="93"/>
      <c r="C689" s="93"/>
      <c r="D689" s="93"/>
      <c r="E689" s="93"/>
      <c r="F689" s="93"/>
      <c r="G689" s="93"/>
      <c r="H689" s="93"/>
      <c r="I689" s="93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 ht="24.75" customHeight="1">
      <c r="A690" s="50"/>
      <c r="B690" s="93"/>
      <c r="C690" s="93"/>
      <c r="D690" s="93"/>
      <c r="E690" s="93"/>
      <c r="F690" s="93"/>
      <c r="G690" s="93"/>
      <c r="H690" s="93"/>
      <c r="I690" s="93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 ht="24.75" customHeight="1">
      <c r="A691" s="50"/>
      <c r="B691" s="93"/>
      <c r="C691" s="93"/>
      <c r="D691" s="93"/>
      <c r="E691" s="93"/>
      <c r="F691" s="93"/>
      <c r="G691" s="93"/>
      <c r="H691" s="93"/>
      <c r="I691" s="93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 ht="24.75" customHeight="1">
      <c r="A692" s="50"/>
      <c r="B692" s="93"/>
      <c r="C692" s="93"/>
      <c r="D692" s="93"/>
      <c r="E692" s="93"/>
      <c r="F692" s="93"/>
      <c r="G692" s="93"/>
      <c r="H692" s="93"/>
      <c r="I692" s="93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 ht="24.75" customHeight="1">
      <c r="A693" s="50"/>
      <c r="B693" s="93"/>
      <c r="C693" s="93"/>
      <c r="D693" s="93"/>
      <c r="E693" s="93"/>
      <c r="F693" s="93"/>
      <c r="G693" s="93"/>
      <c r="H693" s="93"/>
      <c r="I693" s="93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 ht="24.75" customHeight="1">
      <c r="A694" s="50"/>
      <c r="B694" s="93"/>
      <c r="C694" s="93"/>
      <c r="D694" s="93"/>
      <c r="E694" s="93"/>
      <c r="F694" s="93"/>
      <c r="G694" s="93"/>
      <c r="H694" s="93"/>
      <c r="I694" s="93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 ht="24.75" customHeight="1">
      <c r="A695" s="50"/>
      <c r="B695" s="93"/>
      <c r="C695" s="93"/>
      <c r="D695" s="93"/>
      <c r="E695" s="93"/>
      <c r="F695" s="93"/>
      <c r="G695" s="93"/>
      <c r="H695" s="93"/>
      <c r="I695" s="93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 ht="24.75" customHeight="1">
      <c r="A696" s="50"/>
      <c r="B696" s="93"/>
      <c r="C696" s="93"/>
      <c r="D696" s="93"/>
      <c r="E696" s="93"/>
      <c r="F696" s="93"/>
      <c r="G696" s="93"/>
      <c r="H696" s="93"/>
      <c r="I696" s="93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 ht="24.75" customHeight="1">
      <c r="A697" s="50"/>
      <c r="B697" s="93"/>
      <c r="C697" s="93"/>
      <c r="D697" s="93"/>
      <c r="E697" s="93"/>
      <c r="F697" s="93"/>
      <c r="G697" s="93"/>
      <c r="H697" s="93"/>
      <c r="I697" s="93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 ht="24.75" customHeight="1">
      <c r="A698" s="50"/>
      <c r="B698" s="93"/>
      <c r="C698" s="93"/>
      <c r="D698" s="93"/>
      <c r="E698" s="93"/>
      <c r="F698" s="93"/>
      <c r="G698" s="93"/>
      <c r="H698" s="93"/>
      <c r="I698" s="93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 ht="24.75" customHeight="1">
      <c r="A699" s="50"/>
      <c r="B699" s="93"/>
      <c r="C699" s="93"/>
      <c r="D699" s="93"/>
      <c r="E699" s="93"/>
      <c r="F699" s="93"/>
      <c r="G699" s="93"/>
      <c r="H699" s="93"/>
      <c r="I699" s="93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 ht="24.75" customHeight="1">
      <c r="A700" s="50"/>
      <c r="B700" s="93"/>
      <c r="C700" s="93"/>
      <c r="D700" s="93"/>
      <c r="E700" s="93"/>
      <c r="F700" s="93"/>
      <c r="G700" s="93"/>
      <c r="H700" s="93"/>
      <c r="I700" s="93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 ht="24.75" customHeight="1">
      <c r="A701" s="50"/>
      <c r="B701" s="93"/>
      <c r="C701" s="93"/>
      <c r="D701" s="93"/>
      <c r="E701" s="93"/>
      <c r="F701" s="93"/>
      <c r="G701" s="93"/>
      <c r="H701" s="93"/>
      <c r="I701" s="93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 ht="24.75" customHeight="1">
      <c r="A702" s="50"/>
      <c r="B702" s="93"/>
      <c r="C702" s="93"/>
      <c r="D702" s="93"/>
      <c r="E702" s="93"/>
      <c r="F702" s="93"/>
      <c r="G702" s="93"/>
      <c r="H702" s="93"/>
      <c r="I702" s="93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 ht="24.75" customHeight="1">
      <c r="A703" s="50"/>
      <c r="B703" s="93"/>
      <c r="C703" s="93"/>
      <c r="D703" s="93"/>
      <c r="E703" s="93"/>
      <c r="F703" s="93"/>
      <c r="G703" s="93"/>
      <c r="H703" s="93"/>
      <c r="I703" s="93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 ht="24.75" customHeight="1">
      <c r="A704" s="50"/>
      <c r="B704" s="93"/>
      <c r="C704" s="93"/>
      <c r="D704" s="93"/>
      <c r="E704" s="93"/>
      <c r="F704" s="93"/>
      <c r="G704" s="93"/>
      <c r="H704" s="93"/>
      <c r="I704" s="93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 ht="24.75" customHeight="1">
      <c r="A705" s="50"/>
      <c r="B705" s="93"/>
      <c r="C705" s="93"/>
      <c r="D705" s="93"/>
      <c r="E705" s="93"/>
      <c r="F705" s="93"/>
      <c r="G705" s="93"/>
      <c r="H705" s="93"/>
      <c r="I705" s="93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 ht="24.75" customHeight="1">
      <c r="A706" s="50"/>
      <c r="B706" s="93"/>
      <c r="C706" s="93"/>
      <c r="D706" s="93"/>
      <c r="E706" s="93"/>
      <c r="F706" s="93"/>
      <c r="G706" s="93"/>
      <c r="H706" s="93"/>
      <c r="I706" s="93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 ht="24.75" customHeight="1">
      <c r="A707" s="50"/>
      <c r="B707" s="93"/>
      <c r="C707" s="93"/>
      <c r="D707" s="93"/>
      <c r="E707" s="93"/>
      <c r="F707" s="93"/>
      <c r="G707" s="93"/>
      <c r="H707" s="93"/>
      <c r="I707" s="93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 ht="24.75" customHeight="1">
      <c r="A708" s="50"/>
      <c r="B708" s="93"/>
      <c r="C708" s="93"/>
      <c r="D708" s="93"/>
      <c r="E708" s="93"/>
      <c r="F708" s="93"/>
      <c r="G708" s="93"/>
      <c r="H708" s="93"/>
      <c r="I708" s="93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 ht="24.75" customHeight="1">
      <c r="A709" s="50"/>
      <c r="B709" s="93"/>
      <c r="C709" s="93"/>
      <c r="D709" s="93"/>
      <c r="E709" s="93"/>
      <c r="F709" s="93"/>
      <c r="G709" s="93"/>
      <c r="H709" s="93"/>
      <c r="I709" s="93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 ht="24.75" customHeight="1">
      <c r="A710" s="50"/>
      <c r="B710" s="93"/>
      <c r="C710" s="93"/>
      <c r="D710" s="93"/>
      <c r="E710" s="93"/>
      <c r="F710" s="93"/>
      <c r="G710" s="93"/>
      <c r="H710" s="93"/>
      <c r="I710" s="93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 ht="24.75" customHeight="1">
      <c r="A711" s="50"/>
      <c r="B711" s="93"/>
      <c r="C711" s="93"/>
      <c r="D711" s="93"/>
      <c r="E711" s="93"/>
      <c r="F711" s="93"/>
      <c r="G711" s="93"/>
      <c r="H711" s="93"/>
      <c r="I711" s="93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 ht="24.75" customHeight="1">
      <c r="A712" s="50"/>
      <c r="B712" s="93"/>
      <c r="C712" s="93"/>
      <c r="D712" s="93"/>
      <c r="E712" s="93"/>
      <c r="F712" s="93"/>
      <c r="G712" s="93"/>
      <c r="H712" s="93"/>
      <c r="I712" s="93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 ht="24.75" customHeight="1">
      <c r="A713" s="50"/>
      <c r="B713" s="93"/>
      <c r="C713" s="93"/>
      <c r="D713" s="93"/>
      <c r="E713" s="93"/>
      <c r="F713" s="93"/>
      <c r="G713" s="93"/>
      <c r="H713" s="93"/>
      <c r="I713" s="93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 ht="24.75" customHeight="1">
      <c r="A714" s="50"/>
      <c r="B714" s="93"/>
      <c r="C714" s="93"/>
      <c r="D714" s="93"/>
      <c r="E714" s="93"/>
      <c r="F714" s="93"/>
      <c r="G714" s="93"/>
      <c r="H714" s="93"/>
      <c r="I714" s="93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 ht="24.75" customHeight="1">
      <c r="A715" s="50"/>
      <c r="B715" s="93"/>
      <c r="C715" s="93"/>
      <c r="D715" s="93"/>
      <c r="E715" s="93"/>
      <c r="F715" s="93"/>
      <c r="G715" s="93"/>
      <c r="H715" s="93"/>
      <c r="I715" s="93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 ht="24.75" customHeight="1">
      <c r="A716" s="50"/>
      <c r="B716" s="93"/>
      <c r="C716" s="93"/>
      <c r="D716" s="93"/>
      <c r="E716" s="93"/>
      <c r="F716" s="93"/>
      <c r="G716" s="93"/>
      <c r="H716" s="93"/>
      <c r="I716" s="93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 ht="24.75" customHeight="1">
      <c r="A717" s="50"/>
      <c r="B717" s="93"/>
      <c r="C717" s="93"/>
      <c r="D717" s="93"/>
      <c r="E717" s="93"/>
      <c r="F717" s="93"/>
      <c r="G717" s="93"/>
      <c r="H717" s="93"/>
      <c r="I717" s="93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 ht="24.75" customHeight="1">
      <c r="A718" s="50"/>
      <c r="B718" s="93"/>
      <c r="C718" s="93"/>
      <c r="D718" s="93"/>
      <c r="E718" s="93"/>
      <c r="F718" s="93"/>
      <c r="G718" s="93"/>
      <c r="H718" s="93"/>
      <c r="I718" s="93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 ht="24.75" customHeight="1">
      <c r="A719" s="50"/>
      <c r="B719" s="93"/>
      <c r="C719" s="93"/>
      <c r="D719" s="93"/>
      <c r="E719" s="93"/>
      <c r="F719" s="93"/>
      <c r="G719" s="93"/>
      <c r="H719" s="93"/>
      <c r="I719" s="93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 ht="24.75" customHeight="1">
      <c r="A720" s="50"/>
      <c r="B720" s="93"/>
      <c r="C720" s="93"/>
      <c r="D720" s="93"/>
      <c r="E720" s="93"/>
      <c r="F720" s="93"/>
      <c r="G720" s="93"/>
      <c r="H720" s="93"/>
      <c r="I720" s="93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 ht="24.75" customHeight="1">
      <c r="A721" s="50"/>
      <c r="B721" s="93"/>
      <c r="C721" s="93"/>
      <c r="D721" s="93"/>
      <c r="E721" s="93"/>
      <c r="F721" s="93"/>
      <c r="G721" s="93"/>
      <c r="H721" s="93"/>
      <c r="I721" s="93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 ht="24.75" customHeight="1">
      <c r="A722" s="50"/>
      <c r="B722" s="93"/>
      <c r="C722" s="93"/>
      <c r="D722" s="93"/>
      <c r="E722" s="93"/>
      <c r="F722" s="93"/>
      <c r="G722" s="93"/>
      <c r="H722" s="93"/>
      <c r="I722" s="93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 ht="24.75" customHeight="1">
      <c r="A723" s="50"/>
      <c r="B723" s="93"/>
      <c r="C723" s="93"/>
      <c r="D723" s="93"/>
      <c r="E723" s="93"/>
      <c r="F723" s="93"/>
      <c r="G723" s="93"/>
      <c r="H723" s="93"/>
      <c r="I723" s="93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 ht="24.75" customHeight="1">
      <c r="A724" s="50"/>
      <c r="B724" s="93"/>
      <c r="C724" s="93"/>
      <c r="D724" s="93"/>
      <c r="E724" s="93"/>
      <c r="F724" s="93"/>
      <c r="G724" s="93"/>
      <c r="H724" s="93"/>
      <c r="I724" s="93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 ht="24.75" customHeight="1">
      <c r="A725" s="50"/>
      <c r="B725" s="93"/>
      <c r="C725" s="93"/>
      <c r="D725" s="93"/>
      <c r="E725" s="93"/>
      <c r="F725" s="93"/>
      <c r="G725" s="93"/>
      <c r="H725" s="93"/>
      <c r="I725" s="93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 ht="24.75" customHeight="1">
      <c r="A726" s="50"/>
      <c r="B726" s="93"/>
      <c r="C726" s="93"/>
      <c r="D726" s="93"/>
      <c r="E726" s="93"/>
      <c r="F726" s="93"/>
      <c r="G726" s="93"/>
      <c r="H726" s="93"/>
      <c r="I726" s="93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 ht="24.75" customHeight="1">
      <c r="A727" s="50"/>
      <c r="B727" s="93"/>
      <c r="C727" s="93"/>
      <c r="D727" s="93"/>
      <c r="E727" s="93"/>
      <c r="F727" s="93"/>
      <c r="G727" s="93"/>
      <c r="H727" s="93"/>
      <c r="I727" s="93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 ht="24.75" customHeight="1">
      <c r="A728" s="50"/>
      <c r="B728" s="93"/>
      <c r="C728" s="93"/>
      <c r="D728" s="93"/>
      <c r="E728" s="93"/>
      <c r="F728" s="93"/>
      <c r="G728" s="93"/>
      <c r="H728" s="93"/>
      <c r="I728" s="93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 ht="24.75" customHeight="1">
      <c r="A729" s="50"/>
      <c r="B729" s="93"/>
      <c r="C729" s="93"/>
      <c r="D729" s="93"/>
      <c r="E729" s="93"/>
      <c r="F729" s="93"/>
      <c r="G729" s="93"/>
      <c r="H729" s="93"/>
      <c r="I729" s="93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 ht="24.75" customHeight="1">
      <c r="A730" s="50"/>
      <c r="B730" s="93"/>
      <c r="C730" s="93"/>
      <c r="D730" s="93"/>
      <c r="E730" s="93"/>
      <c r="F730" s="93"/>
      <c r="G730" s="93"/>
      <c r="H730" s="93"/>
      <c r="I730" s="93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 ht="24.75" customHeight="1">
      <c r="A731" s="50"/>
      <c r="B731" s="93"/>
      <c r="C731" s="93"/>
      <c r="D731" s="93"/>
      <c r="E731" s="93"/>
      <c r="F731" s="93"/>
      <c r="G731" s="93"/>
      <c r="H731" s="93"/>
      <c r="I731" s="93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 ht="24.75" customHeight="1">
      <c r="A732" s="50"/>
      <c r="B732" s="93"/>
      <c r="C732" s="93"/>
      <c r="D732" s="93"/>
      <c r="E732" s="93"/>
      <c r="F732" s="93"/>
      <c r="G732" s="93"/>
      <c r="H732" s="93"/>
      <c r="I732" s="93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 ht="24.75" customHeight="1">
      <c r="A733" s="50"/>
      <c r="B733" s="93"/>
      <c r="C733" s="93"/>
      <c r="D733" s="93"/>
      <c r="E733" s="93"/>
      <c r="F733" s="93"/>
      <c r="G733" s="93"/>
      <c r="H733" s="93"/>
      <c r="I733" s="93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ht="24.75" customHeight="1">
      <c r="A734" s="50"/>
      <c r="B734" s="93"/>
      <c r="C734" s="93"/>
      <c r="D734" s="93"/>
      <c r="E734" s="93"/>
      <c r="F734" s="93"/>
      <c r="G734" s="93"/>
      <c r="H734" s="93"/>
      <c r="I734" s="93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 ht="24.75" customHeight="1">
      <c r="A735" s="50"/>
      <c r="B735" s="93"/>
      <c r="C735" s="93"/>
      <c r="D735" s="93"/>
      <c r="E735" s="93"/>
      <c r="F735" s="93"/>
      <c r="G735" s="93"/>
      <c r="H735" s="93"/>
      <c r="I735" s="93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 ht="24.75" customHeight="1">
      <c r="A736" s="50"/>
      <c r="B736" s="93"/>
      <c r="C736" s="93"/>
      <c r="D736" s="93"/>
      <c r="E736" s="93"/>
      <c r="F736" s="93"/>
      <c r="G736" s="93"/>
      <c r="H736" s="93"/>
      <c r="I736" s="93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 ht="24.75" customHeight="1">
      <c r="A737" s="50"/>
      <c r="B737" s="93"/>
      <c r="C737" s="93"/>
      <c r="D737" s="93"/>
      <c r="E737" s="93"/>
      <c r="F737" s="93"/>
      <c r="G737" s="93"/>
      <c r="H737" s="93"/>
      <c r="I737" s="93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 ht="24.75" customHeight="1">
      <c r="A738" s="50"/>
      <c r="B738" s="93"/>
      <c r="C738" s="93"/>
      <c r="D738" s="93"/>
      <c r="E738" s="93"/>
      <c r="F738" s="93"/>
      <c r="G738" s="93"/>
      <c r="H738" s="93"/>
      <c r="I738" s="93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ht="24.75" customHeight="1">
      <c r="A739" s="50"/>
      <c r="B739" s="93"/>
      <c r="C739" s="93"/>
      <c r="D739" s="93"/>
      <c r="E739" s="93"/>
      <c r="F739" s="93"/>
      <c r="G739" s="93"/>
      <c r="H739" s="93"/>
      <c r="I739" s="93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ht="24.75" customHeight="1">
      <c r="A740" s="50"/>
      <c r="B740" s="93"/>
      <c r="C740" s="93"/>
      <c r="D740" s="93"/>
      <c r="E740" s="93"/>
      <c r="F740" s="93"/>
      <c r="G740" s="93"/>
      <c r="H740" s="93"/>
      <c r="I740" s="93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 ht="24.75" customHeight="1">
      <c r="A741" s="50"/>
      <c r="B741" s="93"/>
      <c r="C741" s="93"/>
      <c r="D741" s="93"/>
      <c r="E741" s="93"/>
      <c r="F741" s="93"/>
      <c r="G741" s="93"/>
      <c r="H741" s="93"/>
      <c r="I741" s="93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 ht="24.75" customHeight="1">
      <c r="A742" s="50"/>
      <c r="B742" s="93"/>
      <c r="C742" s="93"/>
      <c r="D742" s="93"/>
      <c r="E742" s="93"/>
      <c r="F742" s="93"/>
      <c r="G742" s="93"/>
      <c r="H742" s="93"/>
      <c r="I742" s="93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 ht="24.75" customHeight="1">
      <c r="A743" s="50"/>
      <c r="B743" s="93"/>
      <c r="C743" s="93"/>
      <c r="D743" s="93"/>
      <c r="E743" s="93"/>
      <c r="F743" s="93"/>
      <c r="G743" s="93"/>
      <c r="H743" s="93"/>
      <c r="I743" s="93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 ht="24.75" customHeight="1">
      <c r="A744" s="50"/>
      <c r="B744" s="93"/>
      <c r="C744" s="93"/>
      <c r="D744" s="93"/>
      <c r="E744" s="93"/>
      <c r="F744" s="93"/>
      <c r="G744" s="93"/>
      <c r="H744" s="93"/>
      <c r="I744" s="93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 ht="24.75" customHeight="1">
      <c r="A745" s="50"/>
      <c r="B745" s="93"/>
      <c r="C745" s="93"/>
      <c r="D745" s="93"/>
      <c r="E745" s="93"/>
      <c r="F745" s="93"/>
      <c r="G745" s="93"/>
      <c r="H745" s="93"/>
      <c r="I745" s="93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 ht="24.75" customHeight="1">
      <c r="A746" s="50"/>
      <c r="B746" s="93"/>
      <c r="C746" s="93"/>
      <c r="D746" s="93"/>
      <c r="E746" s="93"/>
      <c r="F746" s="93"/>
      <c r="G746" s="93"/>
      <c r="H746" s="93"/>
      <c r="I746" s="93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 ht="24.75" customHeight="1">
      <c r="A747" s="50"/>
      <c r="B747" s="93"/>
      <c r="C747" s="93"/>
      <c r="D747" s="93"/>
      <c r="E747" s="93"/>
      <c r="F747" s="93"/>
      <c r="G747" s="93"/>
      <c r="H747" s="93"/>
      <c r="I747" s="93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 ht="24.75" customHeight="1">
      <c r="A748" s="50"/>
      <c r="B748" s="93"/>
      <c r="C748" s="93"/>
      <c r="D748" s="93"/>
      <c r="E748" s="93"/>
      <c r="F748" s="93"/>
      <c r="G748" s="93"/>
      <c r="H748" s="93"/>
      <c r="I748" s="93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 ht="24.75" customHeight="1">
      <c r="A749" s="50"/>
      <c r="B749" s="93"/>
      <c r="C749" s="93"/>
      <c r="D749" s="93"/>
      <c r="E749" s="93"/>
      <c r="F749" s="93"/>
      <c r="G749" s="93"/>
      <c r="H749" s="93"/>
      <c r="I749" s="93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 ht="24.75" customHeight="1">
      <c r="A750" s="50"/>
      <c r="B750" s="93"/>
      <c r="C750" s="93"/>
      <c r="D750" s="93"/>
      <c r="E750" s="93"/>
      <c r="F750" s="93"/>
      <c r="G750" s="93"/>
      <c r="H750" s="93"/>
      <c r="I750" s="93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 ht="24.75" customHeight="1">
      <c r="A751" s="50"/>
      <c r="B751" s="93"/>
      <c r="C751" s="93"/>
      <c r="D751" s="93"/>
      <c r="E751" s="93"/>
      <c r="F751" s="93"/>
      <c r="G751" s="93"/>
      <c r="H751" s="93"/>
      <c r="I751" s="93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 ht="24.75" customHeight="1">
      <c r="A752" s="50"/>
      <c r="B752" s="93"/>
      <c r="C752" s="93"/>
      <c r="D752" s="93"/>
      <c r="E752" s="93"/>
      <c r="F752" s="93"/>
      <c r="G752" s="93"/>
      <c r="H752" s="93"/>
      <c r="I752" s="93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 ht="24.75" customHeight="1">
      <c r="A753" s="50"/>
      <c r="B753" s="93"/>
      <c r="C753" s="93"/>
      <c r="D753" s="93"/>
      <c r="E753" s="93"/>
      <c r="F753" s="93"/>
      <c r="G753" s="93"/>
      <c r="H753" s="93"/>
      <c r="I753" s="93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 ht="24.75" customHeight="1">
      <c r="A754" s="50"/>
      <c r="B754" s="93"/>
      <c r="C754" s="93"/>
      <c r="D754" s="93"/>
      <c r="E754" s="93"/>
      <c r="F754" s="93"/>
      <c r="G754" s="93"/>
      <c r="H754" s="93"/>
      <c r="I754" s="93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 ht="24.75" customHeight="1">
      <c r="A755" s="50"/>
      <c r="B755" s="93"/>
      <c r="C755" s="93"/>
      <c r="D755" s="93"/>
      <c r="E755" s="93"/>
      <c r="F755" s="93"/>
      <c r="G755" s="93"/>
      <c r="H755" s="93"/>
      <c r="I755" s="93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 ht="24.75" customHeight="1">
      <c r="A756" s="50"/>
      <c r="B756" s="93"/>
      <c r="C756" s="93"/>
      <c r="D756" s="93"/>
      <c r="E756" s="93"/>
      <c r="F756" s="93"/>
      <c r="G756" s="93"/>
      <c r="H756" s="93"/>
      <c r="I756" s="93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 ht="24.75" customHeight="1">
      <c r="A757" s="50"/>
      <c r="B757" s="93"/>
      <c r="C757" s="93"/>
      <c r="D757" s="93"/>
      <c r="E757" s="93"/>
      <c r="F757" s="93"/>
      <c r="G757" s="93"/>
      <c r="H757" s="93"/>
      <c r="I757" s="93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 ht="24.75" customHeight="1">
      <c r="A758" s="50"/>
      <c r="B758" s="93"/>
      <c r="C758" s="93"/>
      <c r="D758" s="93"/>
      <c r="E758" s="93"/>
      <c r="F758" s="93"/>
      <c r="G758" s="93"/>
      <c r="H758" s="93"/>
      <c r="I758" s="93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 ht="24.75" customHeight="1">
      <c r="A759" s="50"/>
      <c r="B759" s="93"/>
      <c r="C759" s="93"/>
      <c r="D759" s="93"/>
      <c r="E759" s="93"/>
      <c r="F759" s="93"/>
      <c r="G759" s="93"/>
      <c r="H759" s="93"/>
      <c r="I759" s="93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 ht="24.75" customHeight="1">
      <c r="A760" s="50"/>
      <c r="B760" s="93"/>
      <c r="C760" s="93"/>
      <c r="D760" s="93"/>
      <c r="E760" s="93"/>
      <c r="F760" s="93"/>
      <c r="G760" s="93"/>
      <c r="H760" s="93"/>
      <c r="I760" s="93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 ht="24.75" customHeight="1">
      <c r="A761" s="50"/>
      <c r="B761" s="93"/>
      <c r="C761" s="93"/>
      <c r="D761" s="93"/>
      <c r="E761" s="93"/>
      <c r="F761" s="93"/>
      <c r="G761" s="93"/>
      <c r="H761" s="93"/>
      <c r="I761" s="93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 ht="24.75" customHeight="1">
      <c r="A762" s="50"/>
      <c r="B762" s="93"/>
      <c r="C762" s="93"/>
      <c r="D762" s="93"/>
      <c r="E762" s="93"/>
      <c r="F762" s="93"/>
      <c r="G762" s="93"/>
      <c r="H762" s="93"/>
      <c r="I762" s="93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 ht="24.75" customHeight="1">
      <c r="A763" s="50"/>
      <c r="B763" s="93"/>
      <c r="C763" s="93"/>
      <c r="D763" s="93"/>
      <c r="E763" s="93"/>
      <c r="F763" s="93"/>
      <c r="G763" s="93"/>
      <c r="H763" s="93"/>
      <c r="I763" s="93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 ht="24.75" customHeight="1">
      <c r="A764" s="50"/>
      <c r="B764" s="93"/>
      <c r="C764" s="93"/>
      <c r="D764" s="93"/>
      <c r="E764" s="93"/>
      <c r="F764" s="93"/>
      <c r="G764" s="93"/>
      <c r="H764" s="93"/>
      <c r="I764" s="93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 ht="24.75" customHeight="1">
      <c r="A765" s="50"/>
      <c r="B765" s="93"/>
      <c r="C765" s="93"/>
      <c r="D765" s="93"/>
      <c r="E765" s="93"/>
      <c r="F765" s="93"/>
      <c r="G765" s="93"/>
      <c r="H765" s="93"/>
      <c r="I765" s="93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 ht="24.75" customHeight="1">
      <c r="A766" s="50"/>
      <c r="B766" s="93"/>
      <c r="C766" s="93"/>
      <c r="D766" s="93"/>
      <c r="E766" s="93"/>
      <c r="F766" s="93"/>
      <c r="G766" s="93"/>
      <c r="H766" s="93"/>
      <c r="I766" s="93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 ht="24.75" customHeight="1">
      <c r="A767" s="50"/>
      <c r="B767" s="93"/>
      <c r="C767" s="93"/>
      <c r="D767" s="93"/>
      <c r="E767" s="93"/>
      <c r="F767" s="93"/>
      <c r="G767" s="93"/>
      <c r="H767" s="93"/>
      <c r="I767" s="93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 ht="24.75" customHeight="1">
      <c r="A768" s="50"/>
      <c r="B768" s="93"/>
      <c r="C768" s="93"/>
      <c r="D768" s="93"/>
      <c r="E768" s="93"/>
      <c r="F768" s="93"/>
      <c r="G768" s="93"/>
      <c r="H768" s="93"/>
      <c r="I768" s="93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 ht="24.75" customHeight="1">
      <c r="A769" s="50"/>
      <c r="B769" s="93"/>
      <c r="C769" s="93"/>
      <c r="D769" s="93"/>
      <c r="E769" s="93"/>
      <c r="F769" s="93"/>
      <c r="G769" s="93"/>
      <c r="H769" s="93"/>
      <c r="I769" s="93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 ht="24.75" customHeight="1">
      <c r="A770" s="50"/>
      <c r="B770" s="93"/>
      <c r="C770" s="93"/>
      <c r="D770" s="93"/>
      <c r="E770" s="93"/>
      <c r="F770" s="93"/>
      <c r="G770" s="93"/>
      <c r="H770" s="93"/>
      <c r="I770" s="93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 ht="24.75" customHeight="1">
      <c r="A771" s="50"/>
      <c r="B771" s="93"/>
      <c r="C771" s="93"/>
      <c r="D771" s="93"/>
      <c r="E771" s="93"/>
      <c r="F771" s="93"/>
      <c r="G771" s="93"/>
      <c r="H771" s="93"/>
      <c r="I771" s="93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 ht="24.75" customHeight="1">
      <c r="A772" s="50"/>
      <c r="B772" s="93"/>
      <c r="C772" s="93"/>
      <c r="D772" s="93"/>
      <c r="E772" s="93"/>
      <c r="F772" s="93"/>
      <c r="G772" s="93"/>
      <c r="H772" s="93"/>
      <c r="I772" s="93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 ht="24.75" customHeight="1">
      <c r="A773" s="50"/>
      <c r="B773" s="93"/>
      <c r="C773" s="93"/>
      <c r="D773" s="93"/>
      <c r="E773" s="93"/>
      <c r="F773" s="93"/>
      <c r="G773" s="93"/>
      <c r="H773" s="93"/>
      <c r="I773" s="93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 ht="24.75" customHeight="1">
      <c r="A774" s="50"/>
      <c r="B774" s="93"/>
      <c r="C774" s="93"/>
      <c r="D774" s="93"/>
      <c r="E774" s="93"/>
      <c r="F774" s="93"/>
      <c r="G774" s="93"/>
      <c r="H774" s="93"/>
      <c r="I774" s="93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 ht="24.75" customHeight="1">
      <c r="A775" s="50"/>
      <c r="B775" s="93"/>
      <c r="C775" s="93"/>
      <c r="D775" s="93"/>
      <c r="E775" s="93"/>
      <c r="F775" s="93"/>
      <c r="G775" s="93"/>
      <c r="H775" s="93"/>
      <c r="I775" s="93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 ht="24.75" customHeight="1">
      <c r="A776" s="50"/>
      <c r="B776" s="93"/>
      <c r="C776" s="93"/>
      <c r="D776" s="93"/>
      <c r="E776" s="93"/>
      <c r="F776" s="93"/>
      <c r="G776" s="93"/>
      <c r="H776" s="93"/>
      <c r="I776" s="93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 ht="24.75" customHeight="1">
      <c r="A777" s="50"/>
      <c r="B777" s="93"/>
      <c r="C777" s="93"/>
      <c r="D777" s="93"/>
      <c r="E777" s="93"/>
      <c r="F777" s="93"/>
      <c r="G777" s="93"/>
      <c r="H777" s="93"/>
      <c r="I777" s="93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 ht="24.75" customHeight="1">
      <c r="A778" s="50"/>
      <c r="B778" s="93"/>
      <c r="C778" s="93"/>
      <c r="D778" s="93"/>
      <c r="E778" s="93"/>
      <c r="F778" s="93"/>
      <c r="G778" s="93"/>
      <c r="H778" s="93"/>
      <c r="I778" s="93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 ht="24.75" customHeight="1">
      <c r="A779" s="50"/>
      <c r="B779" s="93"/>
      <c r="C779" s="93"/>
      <c r="D779" s="93"/>
      <c r="E779" s="93"/>
      <c r="F779" s="93"/>
      <c r="G779" s="93"/>
      <c r="H779" s="93"/>
      <c r="I779" s="93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 ht="24.75" customHeight="1">
      <c r="A780" s="50"/>
      <c r="B780" s="93"/>
      <c r="C780" s="93"/>
      <c r="D780" s="93"/>
      <c r="E780" s="93"/>
      <c r="F780" s="93"/>
      <c r="G780" s="93"/>
      <c r="H780" s="93"/>
      <c r="I780" s="93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 ht="24.75" customHeight="1">
      <c r="A781" s="50"/>
      <c r="B781" s="93"/>
      <c r="C781" s="93"/>
      <c r="D781" s="93"/>
      <c r="E781" s="93"/>
      <c r="F781" s="93"/>
      <c r="G781" s="93"/>
      <c r="H781" s="93"/>
      <c r="I781" s="93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 ht="24.75" customHeight="1">
      <c r="A782" s="50"/>
      <c r="B782" s="93"/>
      <c r="C782" s="93"/>
      <c r="D782" s="93"/>
      <c r="E782" s="93"/>
      <c r="F782" s="93"/>
      <c r="G782" s="93"/>
      <c r="H782" s="93"/>
      <c r="I782" s="93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 ht="24.75" customHeight="1">
      <c r="A783" s="50"/>
      <c r="B783" s="93"/>
      <c r="C783" s="93"/>
      <c r="D783" s="93"/>
      <c r="E783" s="93"/>
      <c r="F783" s="93"/>
      <c r="G783" s="93"/>
      <c r="H783" s="93"/>
      <c r="I783" s="93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 ht="24.75" customHeight="1">
      <c r="A784" s="50"/>
      <c r="B784" s="93"/>
      <c r="C784" s="93"/>
      <c r="D784" s="93"/>
      <c r="E784" s="93"/>
      <c r="F784" s="93"/>
      <c r="G784" s="93"/>
      <c r="H784" s="93"/>
      <c r="I784" s="93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 ht="24.75" customHeight="1">
      <c r="A785" s="50"/>
      <c r="B785" s="93"/>
      <c r="C785" s="93"/>
      <c r="D785" s="93"/>
      <c r="E785" s="93"/>
      <c r="F785" s="93"/>
      <c r="G785" s="93"/>
      <c r="H785" s="93"/>
      <c r="I785" s="93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 ht="24.75" customHeight="1">
      <c r="A786" s="50"/>
      <c r="B786" s="93"/>
      <c r="C786" s="93"/>
      <c r="D786" s="93"/>
      <c r="E786" s="93"/>
      <c r="F786" s="93"/>
      <c r="G786" s="93"/>
      <c r="H786" s="93"/>
      <c r="I786" s="93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 ht="24.75" customHeight="1">
      <c r="A787" s="50"/>
      <c r="B787" s="93"/>
      <c r="C787" s="93"/>
      <c r="D787" s="93"/>
      <c r="E787" s="93"/>
      <c r="F787" s="93"/>
      <c r="G787" s="93"/>
      <c r="H787" s="93"/>
      <c r="I787" s="93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 ht="24.75" customHeight="1">
      <c r="A788" s="50"/>
      <c r="B788" s="93"/>
      <c r="C788" s="93"/>
      <c r="D788" s="93"/>
      <c r="E788" s="93"/>
      <c r="F788" s="93"/>
      <c r="G788" s="93"/>
      <c r="H788" s="93"/>
      <c r="I788" s="93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 ht="24.75" customHeight="1">
      <c r="A789" s="50"/>
      <c r="B789" s="93"/>
      <c r="C789" s="93"/>
      <c r="D789" s="93"/>
      <c r="E789" s="93"/>
      <c r="F789" s="93"/>
      <c r="G789" s="93"/>
      <c r="H789" s="93"/>
      <c r="I789" s="93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 ht="24.75" customHeight="1">
      <c r="A790" s="50"/>
      <c r="B790" s="93"/>
      <c r="C790" s="93"/>
      <c r="D790" s="93"/>
      <c r="E790" s="93"/>
      <c r="F790" s="93"/>
      <c r="G790" s="93"/>
      <c r="H790" s="93"/>
      <c r="I790" s="93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 ht="24.75" customHeight="1">
      <c r="A791" s="50"/>
      <c r="B791" s="93"/>
      <c r="C791" s="93"/>
      <c r="D791" s="93"/>
      <c r="E791" s="93"/>
      <c r="F791" s="93"/>
      <c r="G791" s="93"/>
      <c r="H791" s="93"/>
      <c r="I791" s="93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 ht="24.75" customHeight="1">
      <c r="A792" s="50"/>
      <c r="B792" s="93"/>
      <c r="C792" s="93"/>
      <c r="D792" s="93"/>
      <c r="E792" s="93"/>
      <c r="F792" s="93"/>
      <c r="G792" s="93"/>
      <c r="H792" s="93"/>
      <c r="I792" s="93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 ht="24.75" customHeight="1">
      <c r="A793" s="50"/>
      <c r="B793" s="93"/>
      <c r="C793" s="93"/>
      <c r="D793" s="93"/>
      <c r="E793" s="93"/>
      <c r="F793" s="93"/>
      <c r="G793" s="93"/>
      <c r="H793" s="93"/>
      <c r="I793" s="93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 ht="24.75" customHeight="1">
      <c r="A794" s="50"/>
      <c r="B794" s="93"/>
      <c r="C794" s="93"/>
      <c r="D794" s="93"/>
      <c r="E794" s="93"/>
      <c r="F794" s="93"/>
      <c r="G794" s="93"/>
      <c r="H794" s="93"/>
      <c r="I794" s="93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 ht="24.75" customHeight="1">
      <c r="A795" s="50"/>
      <c r="B795" s="93"/>
      <c r="C795" s="93"/>
      <c r="D795" s="93"/>
      <c r="E795" s="93"/>
      <c r="F795" s="93"/>
      <c r="G795" s="93"/>
      <c r="H795" s="93"/>
      <c r="I795" s="93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 ht="24.75" customHeight="1">
      <c r="A796" s="50"/>
      <c r="B796" s="93"/>
      <c r="C796" s="93"/>
      <c r="D796" s="93"/>
      <c r="E796" s="93"/>
      <c r="F796" s="93"/>
      <c r="G796" s="93"/>
      <c r="H796" s="93"/>
      <c r="I796" s="93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 ht="24.75" customHeight="1">
      <c r="A797" s="50"/>
      <c r="B797" s="93"/>
      <c r="C797" s="93"/>
      <c r="D797" s="93"/>
      <c r="E797" s="93"/>
      <c r="F797" s="93"/>
      <c r="G797" s="93"/>
      <c r="H797" s="93"/>
      <c r="I797" s="93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 ht="24.75" customHeight="1">
      <c r="A798" s="50"/>
      <c r="B798" s="93"/>
      <c r="C798" s="93"/>
      <c r="D798" s="93"/>
      <c r="E798" s="93"/>
      <c r="F798" s="93"/>
      <c r="G798" s="93"/>
      <c r="H798" s="93"/>
      <c r="I798" s="93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 ht="24.75" customHeight="1">
      <c r="A799" s="50"/>
      <c r="B799" s="93"/>
      <c r="C799" s="93"/>
      <c r="D799" s="93"/>
      <c r="E799" s="93"/>
      <c r="F799" s="93"/>
      <c r="G799" s="93"/>
      <c r="H799" s="93"/>
      <c r="I799" s="93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ht="24.75" customHeight="1">
      <c r="A800" s="50"/>
      <c r="B800" s="93"/>
      <c r="C800" s="93"/>
      <c r="D800" s="93"/>
      <c r="E800" s="93"/>
      <c r="F800" s="93"/>
      <c r="G800" s="93"/>
      <c r="H800" s="93"/>
      <c r="I800" s="93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 ht="24.75" customHeight="1">
      <c r="A801" s="50"/>
      <c r="B801" s="93"/>
      <c r="C801" s="93"/>
      <c r="D801" s="93"/>
      <c r="E801" s="93"/>
      <c r="F801" s="93"/>
      <c r="G801" s="93"/>
      <c r="H801" s="93"/>
      <c r="I801" s="93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 ht="24.75" customHeight="1">
      <c r="A802" s="50"/>
      <c r="B802" s="93"/>
      <c r="C802" s="93"/>
      <c r="D802" s="93"/>
      <c r="E802" s="93"/>
      <c r="F802" s="93"/>
      <c r="G802" s="93"/>
      <c r="H802" s="93"/>
      <c r="I802" s="93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ht="24.75" customHeight="1">
      <c r="A803" s="50"/>
      <c r="B803" s="93"/>
      <c r="C803" s="93"/>
      <c r="D803" s="93"/>
      <c r="E803" s="93"/>
      <c r="F803" s="93"/>
      <c r="G803" s="93"/>
      <c r="H803" s="93"/>
      <c r="I803" s="93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ht="24.75" customHeight="1">
      <c r="A804" s="50"/>
      <c r="B804" s="93"/>
      <c r="C804" s="93"/>
      <c r="D804" s="93"/>
      <c r="E804" s="93"/>
      <c r="F804" s="93"/>
      <c r="G804" s="93"/>
      <c r="H804" s="93"/>
      <c r="I804" s="93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ht="24.75" customHeight="1">
      <c r="A805" s="50"/>
      <c r="B805" s="93"/>
      <c r="C805" s="93"/>
      <c r="D805" s="93"/>
      <c r="E805" s="93"/>
      <c r="F805" s="93"/>
      <c r="G805" s="93"/>
      <c r="H805" s="93"/>
      <c r="I805" s="93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 ht="24.75" customHeight="1">
      <c r="A806" s="50"/>
      <c r="B806" s="93"/>
      <c r="C806" s="93"/>
      <c r="D806" s="93"/>
      <c r="E806" s="93"/>
      <c r="F806" s="93"/>
      <c r="G806" s="93"/>
      <c r="H806" s="93"/>
      <c r="I806" s="93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 ht="24.75" customHeight="1">
      <c r="A807" s="50"/>
      <c r="B807" s="93"/>
      <c r="C807" s="93"/>
      <c r="D807" s="93"/>
      <c r="E807" s="93"/>
      <c r="F807" s="93"/>
      <c r="G807" s="93"/>
      <c r="H807" s="93"/>
      <c r="I807" s="93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 ht="24.75" customHeight="1">
      <c r="A808" s="50"/>
      <c r="B808" s="93"/>
      <c r="C808" s="93"/>
      <c r="D808" s="93"/>
      <c r="E808" s="93"/>
      <c r="F808" s="93"/>
      <c r="G808" s="93"/>
      <c r="H808" s="93"/>
      <c r="I808" s="93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 ht="24.75" customHeight="1">
      <c r="A809" s="50"/>
      <c r="B809" s="93"/>
      <c r="C809" s="93"/>
      <c r="D809" s="93"/>
      <c r="E809" s="93"/>
      <c r="F809" s="93"/>
      <c r="G809" s="93"/>
      <c r="H809" s="93"/>
      <c r="I809" s="93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 ht="24.75" customHeight="1">
      <c r="A810" s="50"/>
      <c r="B810" s="93"/>
      <c r="C810" s="93"/>
      <c r="D810" s="93"/>
      <c r="E810" s="93"/>
      <c r="F810" s="93"/>
      <c r="G810" s="93"/>
      <c r="H810" s="93"/>
      <c r="I810" s="93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 ht="24.75" customHeight="1">
      <c r="A811" s="50"/>
      <c r="B811" s="93"/>
      <c r="C811" s="93"/>
      <c r="D811" s="93"/>
      <c r="E811" s="93"/>
      <c r="F811" s="93"/>
      <c r="G811" s="93"/>
      <c r="H811" s="93"/>
      <c r="I811" s="93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 ht="24.75" customHeight="1">
      <c r="A812" s="50"/>
      <c r="B812" s="93"/>
      <c r="C812" s="93"/>
      <c r="D812" s="93"/>
      <c r="E812" s="93"/>
      <c r="F812" s="93"/>
      <c r="G812" s="93"/>
      <c r="H812" s="93"/>
      <c r="I812" s="93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 ht="24.75" customHeight="1">
      <c r="A813" s="50"/>
      <c r="B813" s="93"/>
      <c r="C813" s="93"/>
      <c r="D813" s="93"/>
      <c r="E813" s="93"/>
      <c r="F813" s="93"/>
      <c r="G813" s="93"/>
      <c r="H813" s="93"/>
      <c r="I813" s="93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 ht="24.75" customHeight="1">
      <c r="A814" s="50"/>
      <c r="B814" s="93"/>
      <c r="C814" s="93"/>
      <c r="D814" s="93"/>
      <c r="E814" s="93"/>
      <c r="F814" s="93"/>
      <c r="G814" s="93"/>
      <c r="H814" s="93"/>
      <c r="I814" s="93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 ht="24.75" customHeight="1">
      <c r="A815" s="50"/>
      <c r="B815" s="93"/>
      <c r="C815" s="93"/>
      <c r="D815" s="93"/>
      <c r="E815" s="93"/>
      <c r="F815" s="93"/>
      <c r="G815" s="93"/>
      <c r="H815" s="93"/>
      <c r="I815" s="93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 ht="24.75" customHeight="1">
      <c r="A816" s="50"/>
      <c r="B816" s="93"/>
      <c r="C816" s="93"/>
      <c r="D816" s="93"/>
      <c r="E816" s="93"/>
      <c r="F816" s="93"/>
      <c r="G816" s="93"/>
      <c r="H816" s="93"/>
      <c r="I816" s="93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 ht="24.75" customHeight="1">
      <c r="A817" s="50"/>
      <c r="B817" s="93"/>
      <c r="C817" s="93"/>
      <c r="D817" s="93"/>
      <c r="E817" s="93"/>
      <c r="F817" s="93"/>
      <c r="G817" s="93"/>
      <c r="H817" s="93"/>
      <c r="I817" s="93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 ht="24.75" customHeight="1">
      <c r="A818" s="50"/>
      <c r="B818" s="93"/>
      <c r="C818" s="93"/>
      <c r="D818" s="93"/>
      <c r="E818" s="93"/>
      <c r="F818" s="93"/>
      <c r="G818" s="93"/>
      <c r="H818" s="93"/>
      <c r="I818" s="93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 ht="24.75" customHeight="1">
      <c r="A819" s="50"/>
      <c r="B819" s="93"/>
      <c r="C819" s="93"/>
      <c r="D819" s="93"/>
      <c r="E819" s="93"/>
      <c r="F819" s="93"/>
      <c r="G819" s="93"/>
      <c r="H819" s="93"/>
      <c r="I819" s="93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 ht="24.75" customHeight="1">
      <c r="A820" s="50"/>
      <c r="B820" s="93"/>
      <c r="C820" s="93"/>
      <c r="D820" s="93"/>
      <c r="E820" s="93"/>
      <c r="F820" s="93"/>
      <c r="G820" s="93"/>
      <c r="H820" s="93"/>
      <c r="I820" s="93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 ht="24.75" customHeight="1">
      <c r="A821" s="50"/>
      <c r="B821" s="93"/>
      <c r="C821" s="93"/>
      <c r="D821" s="93"/>
      <c r="E821" s="93"/>
      <c r="F821" s="93"/>
      <c r="G821" s="93"/>
      <c r="H821" s="93"/>
      <c r="I821" s="93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 ht="24.75" customHeight="1">
      <c r="A822" s="50"/>
      <c r="B822" s="93"/>
      <c r="C822" s="93"/>
      <c r="D822" s="93"/>
      <c r="E822" s="93"/>
      <c r="F822" s="93"/>
      <c r="G822" s="93"/>
      <c r="H822" s="93"/>
      <c r="I822" s="93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 ht="24.75" customHeight="1">
      <c r="A823" s="50"/>
      <c r="B823" s="93"/>
      <c r="C823" s="93"/>
      <c r="D823" s="93"/>
      <c r="E823" s="93"/>
      <c r="F823" s="93"/>
      <c r="G823" s="93"/>
      <c r="H823" s="93"/>
      <c r="I823" s="93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 ht="24.75" customHeight="1">
      <c r="A824" s="50"/>
      <c r="B824" s="93"/>
      <c r="C824" s="93"/>
      <c r="D824" s="93"/>
      <c r="E824" s="93"/>
      <c r="F824" s="93"/>
      <c r="G824" s="93"/>
      <c r="H824" s="93"/>
      <c r="I824" s="93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 ht="24.75" customHeight="1">
      <c r="A825" s="50"/>
      <c r="B825" s="93"/>
      <c r="C825" s="93"/>
      <c r="D825" s="93"/>
      <c r="E825" s="93"/>
      <c r="F825" s="93"/>
      <c r="G825" s="93"/>
      <c r="H825" s="93"/>
      <c r="I825" s="93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 ht="24.75" customHeight="1">
      <c r="A826" s="50"/>
      <c r="B826" s="93"/>
      <c r="C826" s="93"/>
      <c r="D826" s="93"/>
      <c r="E826" s="93"/>
      <c r="F826" s="93"/>
      <c r="G826" s="93"/>
      <c r="H826" s="93"/>
      <c r="I826" s="93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 ht="24.75" customHeight="1">
      <c r="A827" s="50"/>
      <c r="B827" s="93"/>
      <c r="C827" s="93"/>
      <c r="D827" s="93"/>
      <c r="E827" s="93"/>
      <c r="F827" s="93"/>
      <c r="G827" s="93"/>
      <c r="H827" s="93"/>
      <c r="I827" s="93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 ht="24.75" customHeight="1">
      <c r="A828" s="50"/>
      <c r="B828" s="93"/>
      <c r="C828" s="93"/>
      <c r="D828" s="93"/>
      <c r="E828" s="93"/>
      <c r="F828" s="93"/>
      <c r="G828" s="93"/>
      <c r="H828" s="93"/>
      <c r="I828" s="93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 ht="24.75" customHeight="1">
      <c r="A829" s="50"/>
      <c r="B829" s="93"/>
      <c r="C829" s="93"/>
      <c r="D829" s="93"/>
      <c r="E829" s="93"/>
      <c r="F829" s="93"/>
      <c r="G829" s="93"/>
      <c r="H829" s="93"/>
      <c r="I829" s="93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 ht="24.75" customHeight="1">
      <c r="A830" s="50"/>
      <c r="B830" s="93"/>
      <c r="C830" s="93"/>
      <c r="D830" s="93"/>
      <c r="E830" s="93"/>
      <c r="F830" s="93"/>
      <c r="G830" s="93"/>
      <c r="H830" s="93"/>
      <c r="I830" s="93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 ht="24.75" customHeight="1">
      <c r="A831" s="50"/>
      <c r="B831" s="93"/>
      <c r="C831" s="93"/>
      <c r="D831" s="93"/>
      <c r="E831" s="93"/>
      <c r="F831" s="93"/>
      <c r="G831" s="93"/>
      <c r="H831" s="93"/>
      <c r="I831" s="93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 ht="24.75" customHeight="1">
      <c r="A832" s="50"/>
      <c r="B832" s="93"/>
      <c r="C832" s="93"/>
      <c r="D832" s="93"/>
      <c r="E832" s="93"/>
      <c r="F832" s="93"/>
      <c r="G832" s="93"/>
      <c r="H832" s="93"/>
      <c r="I832" s="93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 ht="24.75" customHeight="1">
      <c r="A833" s="50"/>
      <c r="B833" s="93"/>
      <c r="C833" s="93"/>
      <c r="D833" s="93"/>
      <c r="E833" s="93"/>
      <c r="F833" s="93"/>
      <c r="G833" s="93"/>
      <c r="H833" s="93"/>
      <c r="I833" s="93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 ht="24.75" customHeight="1">
      <c r="A834" s="50"/>
      <c r="B834" s="93"/>
      <c r="C834" s="93"/>
      <c r="D834" s="93"/>
      <c r="E834" s="93"/>
      <c r="F834" s="93"/>
      <c r="G834" s="93"/>
      <c r="H834" s="93"/>
      <c r="I834" s="93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 ht="24.75" customHeight="1">
      <c r="A835" s="50"/>
      <c r="B835" s="93"/>
      <c r="C835" s="93"/>
      <c r="D835" s="93"/>
      <c r="E835" s="93"/>
      <c r="F835" s="93"/>
      <c r="G835" s="93"/>
      <c r="H835" s="93"/>
      <c r="I835" s="93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 ht="24.75" customHeight="1">
      <c r="A836" s="50"/>
      <c r="B836" s="93"/>
      <c r="C836" s="93"/>
      <c r="D836" s="93"/>
      <c r="E836" s="93"/>
      <c r="F836" s="93"/>
      <c r="G836" s="93"/>
      <c r="H836" s="93"/>
      <c r="I836" s="93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 ht="24.75" customHeight="1">
      <c r="A837" s="50"/>
      <c r="B837" s="93"/>
      <c r="C837" s="93"/>
      <c r="D837" s="93"/>
      <c r="E837" s="93"/>
      <c r="F837" s="93"/>
      <c r="G837" s="93"/>
      <c r="H837" s="93"/>
      <c r="I837" s="93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 ht="24.75" customHeight="1">
      <c r="A838" s="50"/>
      <c r="B838" s="93"/>
      <c r="C838" s="93"/>
      <c r="D838" s="93"/>
      <c r="E838" s="93"/>
      <c r="F838" s="93"/>
      <c r="G838" s="93"/>
      <c r="H838" s="93"/>
      <c r="I838" s="93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 ht="24.75" customHeight="1">
      <c r="A839" s="50"/>
      <c r="B839" s="93"/>
      <c r="C839" s="93"/>
      <c r="D839" s="93"/>
      <c r="E839" s="93"/>
      <c r="F839" s="93"/>
      <c r="G839" s="93"/>
      <c r="H839" s="93"/>
      <c r="I839" s="93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 ht="24.75" customHeight="1">
      <c r="A840" s="50"/>
      <c r="B840" s="93"/>
      <c r="C840" s="93"/>
      <c r="D840" s="93"/>
      <c r="E840" s="93"/>
      <c r="F840" s="93"/>
      <c r="G840" s="93"/>
      <c r="H840" s="93"/>
      <c r="I840" s="93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 ht="24.75" customHeight="1">
      <c r="A841" s="50"/>
      <c r="B841" s="93"/>
      <c r="C841" s="93"/>
      <c r="D841" s="93"/>
      <c r="E841" s="93"/>
      <c r="F841" s="93"/>
      <c r="G841" s="93"/>
      <c r="H841" s="93"/>
      <c r="I841" s="93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 ht="24.75" customHeight="1">
      <c r="A842" s="50"/>
      <c r="B842" s="93"/>
      <c r="C842" s="93"/>
      <c r="D842" s="93"/>
      <c r="E842" s="93"/>
      <c r="F842" s="93"/>
      <c r="G842" s="93"/>
      <c r="H842" s="93"/>
      <c r="I842" s="93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 ht="24.75" customHeight="1">
      <c r="A843" s="50"/>
      <c r="B843" s="93"/>
      <c r="C843" s="93"/>
      <c r="D843" s="93"/>
      <c r="E843" s="93"/>
      <c r="F843" s="93"/>
      <c r="G843" s="93"/>
      <c r="H843" s="93"/>
      <c r="I843" s="93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 ht="24.75" customHeight="1">
      <c r="A844" s="50"/>
      <c r="B844" s="93"/>
      <c r="C844" s="93"/>
      <c r="D844" s="93"/>
      <c r="E844" s="93"/>
      <c r="F844" s="93"/>
      <c r="G844" s="93"/>
      <c r="H844" s="93"/>
      <c r="I844" s="93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 ht="24.75" customHeight="1">
      <c r="A845" s="50"/>
      <c r="B845" s="93"/>
      <c r="C845" s="93"/>
      <c r="D845" s="93"/>
      <c r="E845" s="93"/>
      <c r="F845" s="93"/>
      <c r="G845" s="93"/>
      <c r="H845" s="93"/>
      <c r="I845" s="93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 ht="24.75" customHeight="1">
      <c r="A846" s="50"/>
      <c r="B846" s="93"/>
      <c r="C846" s="93"/>
      <c r="D846" s="93"/>
      <c r="E846" s="93"/>
      <c r="F846" s="93"/>
      <c r="G846" s="93"/>
      <c r="H846" s="93"/>
      <c r="I846" s="93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 ht="24.75" customHeight="1">
      <c r="A847" s="50"/>
      <c r="B847" s="93"/>
      <c r="C847" s="93"/>
      <c r="D847" s="93"/>
      <c r="E847" s="93"/>
      <c r="F847" s="93"/>
      <c r="G847" s="93"/>
      <c r="H847" s="93"/>
      <c r="I847" s="93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 ht="24.75" customHeight="1">
      <c r="A848" s="50"/>
      <c r="B848" s="93"/>
      <c r="C848" s="93"/>
      <c r="D848" s="93"/>
      <c r="E848" s="93"/>
      <c r="F848" s="93"/>
      <c r="G848" s="93"/>
      <c r="H848" s="93"/>
      <c r="I848" s="93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ht="24.75" customHeight="1">
      <c r="A849" s="50"/>
      <c r="B849" s="93"/>
      <c r="C849" s="93"/>
      <c r="D849" s="93"/>
      <c r="E849" s="93"/>
      <c r="F849" s="93"/>
      <c r="G849" s="93"/>
      <c r="H849" s="93"/>
      <c r="I849" s="93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 ht="24.75" customHeight="1">
      <c r="A850" s="50"/>
      <c r="B850" s="93"/>
      <c r="C850" s="93"/>
      <c r="D850" s="93"/>
      <c r="E850" s="93"/>
      <c r="F850" s="93"/>
      <c r="G850" s="93"/>
      <c r="H850" s="93"/>
      <c r="I850" s="93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 ht="24.75" customHeight="1">
      <c r="A851" s="50"/>
      <c r="B851" s="93"/>
      <c r="C851" s="93"/>
      <c r="D851" s="93"/>
      <c r="E851" s="93"/>
      <c r="F851" s="93"/>
      <c r="G851" s="93"/>
      <c r="H851" s="93"/>
      <c r="I851" s="93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 ht="24.75" customHeight="1">
      <c r="A852" s="50"/>
      <c r="B852" s="93"/>
      <c r="C852" s="93"/>
      <c r="D852" s="93"/>
      <c r="E852" s="93"/>
      <c r="F852" s="93"/>
      <c r="G852" s="93"/>
      <c r="H852" s="93"/>
      <c r="I852" s="93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 ht="24.75" customHeight="1">
      <c r="A853" s="50"/>
      <c r="B853" s="93"/>
      <c r="C853" s="93"/>
      <c r="D853" s="93"/>
      <c r="E853" s="93"/>
      <c r="F853" s="93"/>
      <c r="G853" s="93"/>
      <c r="H853" s="93"/>
      <c r="I853" s="93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 ht="24.75" customHeight="1">
      <c r="A854" s="50"/>
      <c r="B854" s="93"/>
      <c r="C854" s="93"/>
      <c r="D854" s="93"/>
      <c r="E854" s="93"/>
      <c r="F854" s="93"/>
      <c r="G854" s="93"/>
      <c r="H854" s="93"/>
      <c r="I854" s="93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 ht="24.75" customHeight="1">
      <c r="A855" s="50"/>
      <c r="B855" s="93"/>
      <c r="C855" s="93"/>
      <c r="D855" s="93"/>
      <c r="E855" s="93"/>
      <c r="F855" s="93"/>
      <c r="G855" s="93"/>
      <c r="H855" s="93"/>
      <c r="I855" s="93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 ht="24.75" customHeight="1">
      <c r="A856" s="50"/>
      <c r="B856" s="93"/>
      <c r="C856" s="93"/>
      <c r="D856" s="93"/>
      <c r="E856" s="93"/>
      <c r="F856" s="93"/>
      <c r="G856" s="93"/>
      <c r="H856" s="93"/>
      <c r="I856" s="93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 ht="24.75" customHeight="1">
      <c r="A857" s="50"/>
      <c r="B857" s="93"/>
      <c r="C857" s="93"/>
      <c r="D857" s="93"/>
      <c r="E857" s="93"/>
      <c r="F857" s="93"/>
      <c r="G857" s="93"/>
      <c r="H857" s="93"/>
      <c r="I857" s="93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 ht="24.75" customHeight="1">
      <c r="A858" s="50"/>
      <c r="B858" s="93"/>
      <c r="C858" s="93"/>
      <c r="D858" s="93"/>
      <c r="E858" s="93"/>
      <c r="F858" s="93"/>
      <c r="G858" s="93"/>
      <c r="H858" s="93"/>
      <c r="I858" s="93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 ht="24.75" customHeight="1">
      <c r="A859" s="50"/>
      <c r="B859" s="93"/>
      <c r="C859" s="50"/>
      <c r="D859" s="50"/>
      <c r="E859" s="50"/>
      <c r="F859" s="50"/>
      <c r="G859" s="93"/>
      <c r="H859" s="93"/>
      <c r="I859" s="93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 ht="24.75" customHeight="1">
      <c r="A860" s="50"/>
      <c r="B860" s="93"/>
      <c r="C860" s="50"/>
      <c r="D860" s="50"/>
      <c r="E860" s="50"/>
      <c r="F860" s="50"/>
      <c r="G860" s="93"/>
      <c r="H860" s="93"/>
      <c r="I860" s="93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 ht="24.75" customHeight="1">
      <c r="A861" s="50"/>
      <c r="B861" s="93"/>
      <c r="C861" s="50"/>
      <c r="D861" s="50"/>
      <c r="E861" s="50"/>
      <c r="F861" s="50"/>
      <c r="G861" s="93"/>
      <c r="H861" s="93"/>
      <c r="I861" s="93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 ht="24.75" customHeight="1">
      <c r="A862" s="50"/>
      <c r="B862" s="93"/>
      <c r="C862" s="50"/>
      <c r="D862" s="50"/>
      <c r="E862" s="50"/>
      <c r="F862" s="50"/>
      <c r="G862" s="93"/>
      <c r="H862" s="93"/>
      <c r="I862" s="93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 ht="24.75" customHeight="1">
      <c r="A863" s="50"/>
      <c r="B863" s="93"/>
      <c r="C863" s="50"/>
      <c r="D863" s="50"/>
      <c r="E863" s="50"/>
      <c r="F863" s="50"/>
      <c r="G863" s="93"/>
      <c r="H863" s="93"/>
      <c r="I863" s="93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 ht="24.75" customHeight="1">
      <c r="A864" s="50"/>
      <c r="B864" s="93"/>
      <c r="C864" s="50"/>
      <c r="D864" s="50"/>
      <c r="E864" s="50"/>
      <c r="F864" s="50"/>
      <c r="G864" s="93"/>
      <c r="H864" s="93"/>
      <c r="I864" s="93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 ht="24.75" customHeight="1">
      <c r="A865" s="50"/>
      <c r="B865" s="93"/>
      <c r="C865" s="50"/>
      <c r="D865" s="50"/>
      <c r="E865" s="50"/>
      <c r="F865" s="50"/>
      <c r="G865" s="93"/>
      <c r="H865" s="93"/>
      <c r="I865" s="93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 ht="24.75" customHeight="1">
      <c r="A866" s="50"/>
      <c r="B866" s="93"/>
      <c r="C866" s="50"/>
      <c r="D866" s="50"/>
      <c r="E866" s="50"/>
      <c r="F866" s="50"/>
      <c r="G866" s="93"/>
      <c r="H866" s="93"/>
      <c r="I866" s="93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 ht="24.75" customHeight="1">
      <c r="A867" s="50"/>
      <c r="B867" s="93"/>
      <c r="C867" s="50"/>
      <c r="D867" s="50"/>
      <c r="E867" s="50"/>
      <c r="F867" s="50"/>
      <c r="G867" s="93"/>
      <c r="H867" s="93"/>
      <c r="I867" s="93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</row>
    <row r="868" ht="24.75" customHeight="1">
      <c r="A868" s="50"/>
      <c r="B868" s="93"/>
      <c r="C868" s="50"/>
      <c r="D868" s="50"/>
      <c r="E868" s="50"/>
      <c r="F868" s="50"/>
      <c r="G868" s="93"/>
      <c r="H868" s="93"/>
      <c r="I868" s="93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</row>
    <row r="869" ht="24.75" customHeight="1">
      <c r="A869" s="50"/>
      <c r="B869" s="93"/>
      <c r="C869" s="50"/>
      <c r="D869" s="50"/>
      <c r="E869" s="50"/>
      <c r="F869" s="50"/>
      <c r="G869" s="93"/>
      <c r="H869" s="93"/>
      <c r="I869" s="93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</row>
    <row r="870" ht="24.75" customHeight="1">
      <c r="A870" s="50"/>
      <c r="B870" s="93"/>
      <c r="C870" s="50"/>
      <c r="D870" s="50"/>
      <c r="E870" s="50"/>
      <c r="F870" s="50"/>
      <c r="G870" s="93"/>
      <c r="H870" s="93"/>
      <c r="I870" s="93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 ht="24.75" customHeight="1">
      <c r="A871" s="50"/>
      <c r="B871" s="93"/>
      <c r="C871" s="50"/>
      <c r="D871" s="50"/>
      <c r="E871" s="50"/>
      <c r="F871" s="50"/>
      <c r="G871" s="93"/>
      <c r="H871" s="93"/>
      <c r="I871" s="93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</row>
    <row r="872" ht="24.75" customHeight="1">
      <c r="A872" s="50"/>
      <c r="B872" s="93"/>
      <c r="C872" s="50"/>
      <c r="D872" s="50"/>
      <c r="E872" s="50"/>
      <c r="F872" s="50"/>
      <c r="G872" s="93"/>
      <c r="H872" s="93"/>
      <c r="I872" s="93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</row>
    <row r="873" ht="24.75" customHeight="1">
      <c r="A873" s="50"/>
      <c r="B873" s="93"/>
      <c r="C873" s="50"/>
      <c r="D873" s="50"/>
      <c r="E873" s="50"/>
      <c r="F873" s="50"/>
      <c r="G873" s="93"/>
      <c r="H873" s="93"/>
      <c r="I873" s="93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</row>
    <row r="874" ht="24.75" customHeight="1">
      <c r="A874" s="50"/>
      <c r="B874" s="93"/>
      <c r="C874" s="50"/>
      <c r="D874" s="50"/>
      <c r="E874" s="50"/>
      <c r="F874" s="50"/>
      <c r="G874" s="93"/>
      <c r="H874" s="93"/>
      <c r="I874" s="93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</row>
    <row r="875" ht="24.75" customHeight="1">
      <c r="A875" s="50"/>
      <c r="B875" s="93"/>
      <c r="C875" s="50"/>
      <c r="D875" s="50"/>
      <c r="E875" s="50"/>
      <c r="F875" s="50"/>
      <c r="G875" s="93"/>
      <c r="H875" s="93"/>
      <c r="I875" s="93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</row>
    <row r="876" ht="24.75" customHeight="1">
      <c r="A876" s="50"/>
      <c r="B876" s="93"/>
      <c r="C876" s="50"/>
      <c r="D876" s="50"/>
      <c r="E876" s="50"/>
      <c r="F876" s="50"/>
      <c r="G876" s="93"/>
      <c r="H876" s="93"/>
      <c r="I876" s="93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 ht="24.75" customHeight="1">
      <c r="A877" s="50"/>
      <c r="B877" s="93"/>
      <c r="C877" s="50"/>
      <c r="D877" s="50"/>
      <c r="E877" s="50"/>
      <c r="F877" s="50"/>
      <c r="G877" s="93"/>
      <c r="H877" s="93"/>
      <c r="I877" s="93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</row>
    <row r="878" ht="24.75" customHeight="1">
      <c r="A878" s="50"/>
      <c r="B878" s="93"/>
      <c r="C878" s="50"/>
      <c r="D878" s="50"/>
      <c r="E878" s="50"/>
      <c r="F878" s="50"/>
      <c r="G878" s="93"/>
      <c r="H878" s="93"/>
      <c r="I878" s="93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</row>
    <row r="879" ht="24.75" customHeight="1">
      <c r="A879" s="50"/>
      <c r="B879" s="93"/>
      <c r="C879" s="50"/>
      <c r="D879" s="50"/>
      <c r="E879" s="50"/>
      <c r="F879" s="50"/>
      <c r="G879" s="93"/>
      <c r="H879" s="93"/>
      <c r="I879" s="93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</row>
    <row r="880" ht="24.75" customHeight="1">
      <c r="A880" s="50"/>
      <c r="B880" s="93"/>
      <c r="C880" s="50"/>
      <c r="D880" s="50"/>
      <c r="E880" s="50"/>
      <c r="F880" s="50"/>
      <c r="G880" s="93"/>
      <c r="H880" s="93"/>
      <c r="I880" s="93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</row>
    <row r="881" ht="24.75" customHeight="1">
      <c r="A881" s="50"/>
      <c r="B881" s="93"/>
      <c r="C881" s="50"/>
      <c r="D881" s="50"/>
      <c r="E881" s="50"/>
      <c r="F881" s="50"/>
      <c r="G881" s="93"/>
      <c r="H881" s="93"/>
      <c r="I881" s="93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</row>
    <row r="882" ht="24.75" customHeight="1">
      <c r="A882" s="50"/>
      <c r="B882" s="93"/>
      <c r="C882" s="50"/>
      <c r="D882" s="50"/>
      <c r="E882" s="50"/>
      <c r="F882" s="50"/>
      <c r="G882" s="93"/>
      <c r="H882" s="93"/>
      <c r="I882" s="93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</row>
    <row r="883" ht="24.75" customHeight="1">
      <c r="A883" s="50"/>
      <c r="B883" s="93"/>
      <c r="C883" s="50"/>
      <c r="D883" s="50"/>
      <c r="E883" s="50"/>
      <c r="F883" s="50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</row>
    <row r="884" ht="24.75" customHeight="1">
      <c r="A884" s="50"/>
      <c r="B884" s="93"/>
      <c r="C884" s="50"/>
      <c r="D884" s="50"/>
      <c r="E884" s="50"/>
      <c r="F884" s="50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</row>
    <row r="885" ht="24.75" customHeight="1">
      <c r="A885" s="50"/>
      <c r="B885" s="93"/>
      <c r="C885" s="50"/>
      <c r="D885" s="50"/>
      <c r="E885" s="50"/>
      <c r="F885" s="50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</row>
    <row r="886" ht="24.75" customHeight="1">
      <c r="A886" s="50"/>
      <c r="B886" s="93"/>
      <c r="C886" s="50"/>
      <c r="D886" s="50"/>
      <c r="E886" s="50"/>
      <c r="F886" s="50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</row>
    <row r="887" ht="24.75" customHeight="1">
      <c r="A887" s="50"/>
      <c r="B887" s="93"/>
      <c r="C887" s="50"/>
      <c r="D887" s="50"/>
      <c r="E887" s="50"/>
      <c r="F887" s="50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</row>
    <row r="888" ht="24.75" customHeight="1">
      <c r="A888" s="50"/>
      <c r="B888" s="93"/>
      <c r="C888" s="50"/>
      <c r="D888" s="50"/>
      <c r="E888" s="50"/>
      <c r="F888" s="50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</row>
    <row r="889" ht="24.75" customHeight="1">
      <c r="A889" s="50"/>
      <c r="B889" s="93"/>
      <c r="C889" s="50"/>
      <c r="D889" s="50"/>
      <c r="E889" s="50"/>
      <c r="F889" s="50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</row>
    <row r="890" ht="24.75" customHeight="1">
      <c r="A890" s="50"/>
      <c r="B890" s="93"/>
      <c r="C890" s="50"/>
      <c r="D890" s="50"/>
      <c r="E890" s="50"/>
      <c r="F890" s="50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</row>
    <row r="891" ht="24.75" customHeight="1">
      <c r="A891" s="50"/>
      <c r="B891" s="93"/>
      <c r="C891" s="50"/>
      <c r="D891" s="50"/>
      <c r="E891" s="50"/>
      <c r="F891" s="50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</row>
    <row r="892" ht="24.75" customHeight="1">
      <c r="A892" s="50"/>
      <c r="B892" s="93"/>
      <c r="C892" s="50"/>
      <c r="D892" s="50"/>
      <c r="E892" s="50"/>
      <c r="F892" s="50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</row>
    <row r="893" ht="24.75" customHeight="1">
      <c r="A893" s="50"/>
      <c r="B893" s="93"/>
      <c r="C893" s="50"/>
      <c r="D893" s="50"/>
      <c r="E893" s="50"/>
      <c r="F893" s="50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</row>
    <row r="894" ht="24.75" customHeight="1">
      <c r="A894" s="50"/>
      <c r="B894" s="93"/>
      <c r="C894" s="50"/>
      <c r="D894" s="50"/>
      <c r="E894" s="50"/>
      <c r="F894" s="50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</row>
    <row r="895" ht="24.75" customHeight="1">
      <c r="A895" s="50"/>
      <c r="B895" s="93"/>
      <c r="C895" s="50"/>
      <c r="D895" s="50"/>
      <c r="E895" s="50"/>
      <c r="F895" s="50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</row>
    <row r="896" ht="24.75" customHeight="1">
      <c r="A896" s="50"/>
      <c r="B896" s="93"/>
      <c r="C896" s="50"/>
      <c r="D896" s="50"/>
      <c r="E896" s="50"/>
      <c r="F896" s="50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</row>
    <row r="897" ht="24.75" customHeight="1">
      <c r="A897" s="50"/>
      <c r="B897" s="93"/>
      <c r="C897" s="50"/>
      <c r="D897" s="50"/>
      <c r="E897" s="50"/>
      <c r="F897" s="50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</row>
    <row r="898" ht="24.75" customHeight="1">
      <c r="A898" s="50"/>
      <c r="B898" s="93"/>
      <c r="C898" s="50"/>
      <c r="D898" s="50"/>
      <c r="E898" s="50"/>
      <c r="F898" s="50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</row>
    <row r="899" ht="24.75" customHeight="1">
      <c r="A899" s="50"/>
      <c r="B899" s="93"/>
      <c r="C899" s="50"/>
      <c r="D899" s="50"/>
      <c r="E899" s="50"/>
      <c r="F899" s="50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</row>
    <row r="900" ht="24.75" customHeight="1">
      <c r="A900" s="50"/>
      <c r="B900" s="93"/>
      <c r="C900" s="50"/>
      <c r="D900" s="50"/>
      <c r="E900" s="50"/>
      <c r="F900" s="50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</row>
    <row r="901" ht="24.75" customHeight="1">
      <c r="A901" s="50"/>
      <c r="B901" s="93"/>
      <c r="C901" s="50"/>
      <c r="D901" s="50"/>
      <c r="E901" s="50"/>
      <c r="F901" s="50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</row>
    <row r="902" ht="24.75" customHeight="1">
      <c r="A902" s="50"/>
      <c r="B902" s="93"/>
      <c r="C902" s="50"/>
      <c r="D902" s="50"/>
      <c r="E902" s="50"/>
      <c r="F902" s="50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</row>
    <row r="903" ht="24.75" customHeight="1">
      <c r="A903" s="50"/>
      <c r="B903" s="93"/>
      <c r="C903" s="50"/>
      <c r="D903" s="50"/>
      <c r="E903" s="50"/>
      <c r="F903" s="50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</row>
    <row r="904" ht="24.75" customHeight="1">
      <c r="A904" s="50"/>
      <c r="B904" s="93"/>
      <c r="C904" s="50"/>
      <c r="D904" s="50"/>
      <c r="E904" s="50"/>
      <c r="F904" s="50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</row>
    <row r="905" ht="24.75" customHeight="1">
      <c r="A905" s="50"/>
      <c r="B905" s="93"/>
      <c r="C905" s="50"/>
      <c r="D905" s="50"/>
      <c r="E905" s="50"/>
      <c r="F905" s="50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</row>
    <row r="906" ht="24.75" customHeight="1">
      <c r="A906" s="50"/>
      <c r="B906" s="93"/>
      <c r="C906" s="50"/>
      <c r="D906" s="50"/>
      <c r="E906" s="50"/>
      <c r="F906" s="50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</row>
    <row r="907" ht="24.75" customHeight="1">
      <c r="A907" s="50"/>
      <c r="B907" s="93"/>
      <c r="C907" s="50"/>
      <c r="D907" s="50"/>
      <c r="E907" s="50"/>
      <c r="F907" s="50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</row>
    <row r="908" ht="24.75" customHeight="1">
      <c r="A908" s="50"/>
      <c r="B908" s="93"/>
      <c r="C908" s="50"/>
      <c r="D908" s="50"/>
      <c r="E908" s="50"/>
      <c r="F908" s="50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</row>
    <row r="909" ht="24.75" customHeight="1">
      <c r="A909" s="50"/>
      <c r="B909" s="93"/>
      <c r="C909" s="50"/>
      <c r="D909" s="50"/>
      <c r="E909" s="50"/>
      <c r="F909" s="50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</row>
    <row r="910" ht="24.75" customHeight="1">
      <c r="A910" s="50"/>
      <c r="B910" s="93"/>
      <c r="C910" s="50"/>
      <c r="D910" s="50"/>
      <c r="E910" s="50"/>
      <c r="F910" s="50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</row>
    <row r="911" ht="24.75" customHeight="1">
      <c r="A911" s="50"/>
      <c r="B911" s="93"/>
      <c r="C911" s="50"/>
      <c r="D911" s="50"/>
      <c r="E911" s="50"/>
      <c r="F911" s="50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</row>
    <row r="912" ht="24.75" customHeight="1">
      <c r="A912" s="50"/>
      <c r="B912" s="93"/>
      <c r="C912" s="50"/>
      <c r="D912" s="50"/>
      <c r="E912" s="50"/>
      <c r="F912" s="50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</row>
    <row r="913" ht="24.75" customHeight="1">
      <c r="A913" s="50"/>
      <c r="B913" s="93"/>
      <c r="C913" s="50"/>
      <c r="D913" s="50"/>
      <c r="E913" s="50"/>
      <c r="F913" s="50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</row>
    <row r="914" ht="24.75" customHeight="1">
      <c r="A914" s="50"/>
      <c r="B914" s="93"/>
      <c r="C914" s="50"/>
      <c r="D914" s="50"/>
      <c r="E914" s="50"/>
      <c r="F914" s="50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</row>
    <row r="915" ht="24.75" customHeight="1">
      <c r="A915" s="50"/>
      <c r="B915" s="93"/>
      <c r="C915" s="50"/>
      <c r="D915" s="50"/>
      <c r="E915" s="50"/>
      <c r="F915" s="50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</row>
    <row r="916" ht="24.75" customHeight="1">
      <c r="A916" s="50"/>
      <c r="B916" s="93"/>
      <c r="C916" s="50"/>
      <c r="D916" s="50"/>
      <c r="E916" s="50"/>
      <c r="F916" s="50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</row>
    <row r="917" ht="24.75" customHeight="1">
      <c r="A917" s="50"/>
      <c r="B917" s="93"/>
      <c r="C917" s="50"/>
      <c r="D917" s="50"/>
      <c r="E917" s="50"/>
      <c r="F917" s="50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</row>
    <row r="918" ht="24.75" customHeight="1">
      <c r="A918" s="50"/>
      <c r="B918" s="93"/>
      <c r="C918" s="50"/>
      <c r="D918" s="50"/>
      <c r="E918" s="50"/>
      <c r="F918" s="50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</row>
    <row r="919" ht="24.75" customHeight="1">
      <c r="A919" s="50"/>
      <c r="B919" s="93"/>
      <c r="C919" s="50"/>
      <c r="D919" s="50"/>
      <c r="E919" s="50"/>
      <c r="F919" s="50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</row>
    <row r="920" ht="24.75" customHeight="1">
      <c r="A920" s="50"/>
      <c r="B920" s="93"/>
      <c r="C920" s="50"/>
      <c r="D920" s="50"/>
      <c r="E920" s="50"/>
      <c r="F920" s="50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</row>
    <row r="921" ht="24.75" customHeight="1">
      <c r="A921" s="50"/>
      <c r="B921" s="93"/>
      <c r="C921" s="50"/>
      <c r="D921" s="50"/>
      <c r="E921" s="50"/>
      <c r="F921" s="50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</row>
    <row r="922" ht="24.75" customHeight="1">
      <c r="A922" s="50"/>
      <c r="B922" s="93"/>
      <c r="C922" s="50"/>
      <c r="D922" s="50"/>
      <c r="E922" s="50"/>
      <c r="F922" s="50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</row>
  </sheetData>
  <autoFilter ref="$A$1:$V$7">
    <sortState ref="A1:V7">
      <sortCondition ref="B1:B7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9.71"/>
    <col customWidth="1" min="3" max="3" width="27.29"/>
    <col customWidth="1" min="4" max="4" width="15.14"/>
    <col customWidth="1" min="5" max="5" width="23.86"/>
    <col customWidth="1" min="6" max="6" width="13.43"/>
    <col customWidth="1" min="7" max="7" width="25.29"/>
    <col customWidth="1" min="8" max="8" width="36.86"/>
    <col customWidth="1" min="9" max="10" width="31.86"/>
    <col customWidth="1" min="11" max="23" width="30.43"/>
  </cols>
  <sheetData>
    <row r="1" ht="27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9" t="s">
        <v>6</v>
      </c>
      <c r="H1" s="3" t="s">
        <v>7</v>
      </c>
      <c r="I1" s="3" t="s">
        <v>183</v>
      </c>
      <c r="J1" s="3" t="s">
        <v>8</v>
      </c>
      <c r="K1" s="6" t="s">
        <v>9</v>
      </c>
      <c r="L1" s="6" t="s">
        <v>10</v>
      </c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</row>
    <row r="2" ht="27.0" customHeight="1">
      <c r="A2" s="134" t="s">
        <v>24</v>
      </c>
      <c r="B2" s="134">
        <v>1025.0</v>
      </c>
      <c r="C2" s="135" t="s">
        <v>184</v>
      </c>
      <c r="D2" s="30">
        <v>3.0</v>
      </c>
      <c r="E2" s="116" t="s">
        <v>185</v>
      </c>
      <c r="F2" s="134" t="s">
        <v>186</v>
      </c>
      <c r="G2" s="134">
        <v>4.0</v>
      </c>
      <c r="H2" s="136" t="s">
        <v>187</v>
      </c>
      <c r="I2" s="137">
        <v>1.0</v>
      </c>
      <c r="J2" s="138"/>
      <c r="K2" s="13" t="b">
        <v>1</v>
      </c>
      <c r="L2" s="13" t="s">
        <v>63</v>
      </c>
      <c r="M2" s="74"/>
      <c r="N2" s="74"/>
      <c r="O2" s="57"/>
      <c r="P2" s="57"/>
      <c r="Q2" s="57"/>
      <c r="R2" s="57"/>
      <c r="S2" s="57"/>
      <c r="T2" s="57"/>
      <c r="U2" s="57"/>
      <c r="V2" s="57"/>
      <c r="W2" s="57"/>
    </row>
    <row r="3" ht="27.0" customHeight="1">
      <c r="A3" s="27" t="s">
        <v>24</v>
      </c>
      <c r="B3" s="27">
        <v>1025.0</v>
      </c>
      <c r="C3" s="28" t="s">
        <v>188</v>
      </c>
      <c r="D3" s="30">
        <v>4.0</v>
      </c>
      <c r="E3" s="116" t="s">
        <v>185</v>
      </c>
      <c r="F3" s="27" t="s">
        <v>186</v>
      </c>
      <c r="G3" s="27">
        <v>4.0</v>
      </c>
      <c r="H3" s="136" t="s">
        <v>189</v>
      </c>
      <c r="I3" s="137">
        <v>1.0</v>
      </c>
      <c r="J3" s="137" t="s">
        <v>190</v>
      </c>
      <c r="K3" s="13" t="b">
        <v>1</v>
      </c>
      <c r="L3" s="13" t="s">
        <v>63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ht="43.5" customHeight="1">
      <c r="A4" s="139" t="s">
        <v>21</v>
      </c>
      <c r="B4" s="139" t="s">
        <v>191</v>
      </c>
      <c r="C4" s="140" t="s">
        <v>192</v>
      </c>
      <c r="D4" s="141">
        <v>4.0</v>
      </c>
      <c r="E4" s="142" t="s">
        <v>185</v>
      </c>
      <c r="F4" s="139" t="s">
        <v>186</v>
      </c>
      <c r="G4" s="139">
        <v>2.0</v>
      </c>
      <c r="H4" s="143" t="s">
        <v>193</v>
      </c>
      <c r="I4" s="144"/>
      <c r="J4" s="125"/>
      <c r="K4" s="13" t="b">
        <v>1</v>
      </c>
      <c r="L4" s="13" t="s">
        <v>63</v>
      </c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ht="27.0" customHeight="1">
      <c r="A5" s="27" t="s">
        <v>24</v>
      </c>
      <c r="B5" s="27">
        <v>1026.0</v>
      </c>
      <c r="C5" s="28" t="s">
        <v>194</v>
      </c>
      <c r="D5" s="29">
        <v>4.0</v>
      </c>
      <c r="E5" s="116" t="s">
        <v>63</v>
      </c>
      <c r="F5" s="27" t="s">
        <v>186</v>
      </c>
      <c r="G5" s="27">
        <v>2.0</v>
      </c>
      <c r="H5" s="136" t="s">
        <v>195</v>
      </c>
      <c r="I5" s="122"/>
      <c r="J5" s="122"/>
      <c r="K5" s="13" t="b">
        <v>1</v>
      </c>
      <c r="L5" s="13" t="s">
        <v>63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ht="27.0" customHeight="1">
      <c r="A6" s="20" t="s">
        <v>21</v>
      </c>
      <c r="B6" s="20">
        <v>1126.0</v>
      </c>
      <c r="C6" s="123" t="s">
        <v>194</v>
      </c>
      <c r="D6" s="53">
        <v>4.0</v>
      </c>
      <c r="E6" s="54" t="s">
        <v>63</v>
      </c>
      <c r="F6" s="20" t="s">
        <v>186</v>
      </c>
      <c r="G6" s="20">
        <v>1.0</v>
      </c>
      <c r="H6" s="55" t="s">
        <v>126</v>
      </c>
      <c r="I6" s="125"/>
      <c r="J6" s="125"/>
      <c r="K6" s="13" t="b">
        <v>1</v>
      </c>
      <c r="L6" s="13" t="s">
        <v>63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ht="27.0" customHeight="1">
      <c r="A7" s="58" t="s">
        <v>11</v>
      </c>
      <c r="B7" s="71">
        <v>1223.0</v>
      </c>
      <c r="C7" s="64" t="s">
        <v>196</v>
      </c>
      <c r="D7" s="10">
        <f>40/20</f>
        <v>2</v>
      </c>
      <c r="E7" s="145" t="s">
        <v>63</v>
      </c>
      <c r="F7" s="58" t="s">
        <v>186</v>
      </c>
      <c r="G7" s="58">
        <v>7.0</v>
      </c>
      <c r="H7" s="72"/>
      <c r="I7" s="83"/>
      <c r="J7" s="83"/>
      <c r="K7" s="13" t="b">
        <v>1</v>
      </c>
      <c r="L7" s="13" t="s">
        <v>63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</row>
    <row r="8" ht="27.0" customHeight="1">
      <c r="A8" s="8" t="s">
        <v>11</v>
      </c>
      <c r="B8" s="8">
        <v>1225.0</v>
      </c>
      <c r="C8" s="9" t="s">
        <v>197</v>
      </c>
      <c r="D8" s="10">
        <f>80/20</f>
        <v>4</v>
      </c>
      <c r="E8" s="145" t="s">
        <v>63</v>
      </c>
      <c r="F8" s="8" t="s">
        <v>186</v>
      </c>
      <c r="G8" s="8">
        <v>4.0</v>
      </c>
      <c r="H8" s="66" t="s">
        <v>80</v>
      </c>
      <c r="I8" s="83"/>
      <c r="J8" s="83"/>
      <c r="K8" s="13" t="b">
        <v>1</v>
      </c>
      <c r="L8" s="13" t="s">
        <v>63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ht="27.0" customHeight="1">
      <c r="A9" s="146" t="s">
        <v>21</v>
      </c>
      <c r="B9" s="146" t="s">
        <v>198</v>
      </c>
      <c r="C9" s="147" t="s">
        <v>199</v>
      </c>
      <c r="D9" s="141">
        <v>4.0</v>
      </c>
      <c r="E9" s="142" t="s">
        <v>63</v>
      </c>
      <c r="F9" s="146" t="s">
        <v>186</v>
      </c>
      <c r="G9" s="146">
        <v>2.0</v>
      </c>
      <c r="H9" s="143" t="s">
        <v>200</v>
      </c>
      <c r="I9" s="144"/>
      <c r="J9" s="125"/>
      <c r="K9" s="13" t="b">
        <v>1</v>
      </c>
      <c r="L9" s="13" t="s">
        <v>63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ht="27.0" customHeight="1">
      <c r="A10" s="84" t="s">
        <v>24</v>
      </c>
      <c r="B10" s="84">
        <v>1024.0</v>
      </c>
      <c r="C10" s="85" t="s">
        <v>201</v>
      </c>
      <c r="D10" s="29">
        <v>4.0</v>
      </c>
      <c r="E10" s="116" t="s">
        <v>202</v>
      </c>
      <c r="F10" s="84" t="s">
        <v>186</v>
      </c>
      <c r="G10" s="84">
        <v>6.0</v>
      </c>
      <c r="H10" s="88" t="s">
        <v>203</v>
      </c>
      <c r="I10" s="137">
        <v>1.0</v>
      </c>
      <c r="J10" s="122"/>
      <c r="K10" s="13" t="b">
        <v>1</v>
      </c>
      <c r="L10" s="13" t="s">
        <v>63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ht="27.0" customHeight="1">
      <c r="A11" s="8" t="s">
        <v>11</v>
      </c>
      <c r="B11" s="8">
        <v>1222.0</v>
      </c>
      <c r="C11" s="9" t="s">
        <v>204</v>
      </c>
      <c r="D11" s="10">
        <f>80/20</f>
        <v>4</v>
      </c>
      <c r="E11" s="145" t="s">
        <v>202</v>
      </c>
      <c r="F11" s="8" t="s">
        <v>186</v>
      </c>
      <c r="G11" s="8">
        <v>9.0</v>
      </c>
      <c r="H11" s="73" t="s">
        <v>112</v>
      </c>
      <c r="I11" s="83"/>
      <c r="J11" s="83"/>
      <c r="K11" s="13" t="b">
        <v>1</v>
      </c>
      <c r="L11" s="13" t="s">
        <v>63</v>
      </c>
      <c r="M11" s="57"/>
      <c r="N11" s="57"/>
      <c r="O11" s="74"/>
      <c r="P11" s="74"/>
      <c r="Q11" s="74"/>
      <c r="R11" s="74"/>
      <c r="S11" s="74"/>
      <c r="T11" s="74"/>
      <c r="U11" s="74"/>
      <c r="V11" s="74"/>
      <c r="W11" s="74"/>
    </row>
    <row r="12" ht="27.0" customHeight="1">
      <c r="A12" s="58" t="s">
        <v>11</v>
      </c>
      <c r="B12" s="71">
        <v>1224.0</v>
      </c>
      <c r="C12" s="64" t="s">
        <v>205</v>
      </c>
      <c r="D12" s="10">
        <f>60/20</f>
        <v>3</v>
      </c>
      <c r="E12" s="145" t="s">
        <v>202</v>
      </c>
      <c r="F12" s="58" t="s">
        <v>186</v>
      </c>
      <c r="G12" s="58">
        <v>6.0</v>
      </c>
      <c r="H12" s="72"/>
      <c r="I12" s="83"/>
      <c r="J12" s="83"/>
      <c r="K12" s="13" t="b">
        <v>1</v>
      </c>
      <c r="L12" s="13" t="s">
        <v>63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ht="27.0" customHeight="1">
      <c r="A13" s="58" t="s">
        <v>11</v>
      </c>
      <c r="B13" s="71">
        <v>1224.0</v>
      </c>
      <c r="C13" s="64" t="s">
        <v>206</v>
      </c>
      <c r="D13" s="10">
        <f>80/20</f>
        <v>4</v>
      </c>
      <c r="E13" s="145" t="s">
        <v>202</v>
      </c>
      <c r="F13" s="58" t="s">
        <v>186</v>
      </c>
      <c r="G13" s="58">
        <v>6.0</v>
      </c>
      <c r="H13" s="73" t="s">
        <v>112</v>
      </c>
      <c r="I13" s="83"/>
      <c r="J13" s="83"/>
      <c r="K13" s="13" t="b">
        <v>1</v>
      </c>
      <c r="L13" s="13" t="s">
        <v>63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ht="27.0" customHeight="1">
      <c r="A14" s="148" t="s">
        <v>24</v>
      </c>
      <c r="B14" s="149">
        <v>1024.0</v>
      </c>
      <c r="C14" s="150" t="s">
        <v>207</v>
      </c>
      <c r="D14" s="151">
        <v>4.0</v>
      </c>
      <c r="E14" s="149" t="s">
        <v>202</v>
      </c>
      <c r="F14" s="148" t="s">
        <v>186</v>
      </c>
      <c r="G14" s="148">
        <v>6.0</v>
      </c>
      <c r="H14" s="152"/>
      <c r="I14" s="153"/>
      <c r="J14" s="137"/>
      <c r="K14" s="13" t="b">
        <v>1</v>
      </c>
      <c r="L14" s="13" t="s">
        <v>63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ht="27.0" customHeight="1">
      <c r="A15" s="20" t="s">
        <v>21</v>
      </c>
      <c r="B15" s="20">
        <v>1125.0</v>
      </c>
      <c r="C15" s="123" t="s">
        <v>208</v>
      </c>
      <c r="D15" s="53">
        <v>4.0</v>
      </c>
      <c r="E15" s="54" t="s">
        <v>209</v>
      </c>
      <c r="F15" s="20" t="s">
        <v>186</v>
      </c>
      <c r="G15" s="20">
        <v>3.0</v>
      </c>
      <c r="H15" s="55" t="s">
        <v>210</v>
      </c>
      <c r="I15" s="125"/>
      <c r="J15" s="125"/>
      <c r="K15" s="13" t="b">
        <v>1</v>
      </c>
      <c r="L15" s="13" t="s">
        <v>63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ht="27.0" customHeight="1">
      <c r="A16" s="58" t="s">
        <v>11</v>
      </c>
      <c r="B16" s="58">
        <v>1222.0</v>
      </c>
      <c r="C16" s="64" t="s">
        <v>211</v>
      </c>
      <c r="D16" s="10">
        <f t="shared" ref="D16:D17" si="1">60/20</f>
        <v>3</v>
      </c>
      <c r="E16" s="145" t="s">
        <v>209</v>
      </c>
      <c r="F16" s="58" t="s">
        <v>186</v>
      </c>
      <c r="G16" s="58">
        <v>9.0</v>
      </c>
      <c r="H16" s="69" t="s">
        <v>120</v>
      </c>
      <c r="I16" s="154"/>
      <c r="J16" s="154"/>
      <c r="K16" s="13" t="b">
        <v>1</v>
      </c>
      <c r="L16" s="13" t="s">
        <v>63</v>
      </c>
      <c r="M16" s="57"/>
      <c r="N16" s="57"/>
      <c r="O16" s="74"/>
      <c r="P16" s="74"/>
      <c r="Q16" s="74"/>
      <c r="R16" s="74"/>
      <c r="S16" s="74"/>
      <c r="T16" s="74"/>
      <c r="U16" s="74"/>
      <c r="V16" s="74"/>
      <c r="W16" s="74"/>
    </row>
    <row r="17" ht="27.0" customHeight="1">
      <c r="A17" s="8" t="s">
        <v>11</v>
      </c>
      <c r="B17" s="8">
        <v>1225.0</v>
      </c>
      <c r="C17" s="9" t="s">
        <v>212</v>
      </c>
      <c r="D17" s="10">
        <f t="shared" si="1"/>
        <v>3</v>
      </c>
      <c r="E17" s="145" t="s">
        <v>209</v>
      </c>
      <c r="F17" s="8" t="s">
        <v>186</v>
      </c>
      <c r="G17" s="8">
        <v>4.0</v>
      </c>
      <c r="H17" s="69" t="s">
        <v>120</v>
      </c>
      <c r="I17" s="154"/>
      <c r="J17" s="154"/>
      <c r="K17" s="13" t="b">
        <v>1</v>
      </c>
      <c r="L17" s="13" t="s">
        <v>63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ht="27.0" customHeight="1">
      <c r="A18" s="58" t="s">
        <v>11</v>
      </c>
      <c r="B18" s="58">
        <v>1226.0</v>
      </c>
      <c r="C18" s="64" t="s">
        <v>213</v>
      </c>
      <c r="D18" s="10">
        <f>85/17</f>
        <v>5</v>
      </c>
      <c r="E18" s="145" t="s">
        <v>209</v>
      </c>
      <c r="F18" s="58" t="s">
        <v>186</v>
      </c>
      <c r="G18" s="58">
        <v>2.0</v>
      </c>
      <c r="H18" s="73" t="s">
        <v>214</v>
      </c>
      <c r="I18" s="83"/>
      <c r="J18" s="83"/>
      <c r="K18" s="13" t="b">
        <v>1</v>
      </c>
      <c r="L18" s="13" t="s">
        <v>63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ht="27.0" customHeight="1">
      <c r="A19" s="8" t="s">
        <v>11</v>
      </c>
      <c r="B19" s="8">
        <v>1226.0</v>
      </c>
      <c r="C19" s="9" t="s">
        <v>194</v>
      </c>
      <c r="D19" s="10">
        <f>68/17</f>
        <v>4</v>
      </c>
      <c r="E19" s="145" t="s">
        <v>209</v>
      </c>
      <c r="F19" s="8" t="s">
        <v>186</v>
      </c>
      <c r="G19" s="8">
        <v>2.0</v>
      </c>
      <c r="H19" s="72"/>
      <c r="I19" s="83"/>
      <c r="J19" s="83"/>
      <c r="K19" s="13" t="b">
        <v>1</v>
      </c>
      <c r="L19" s="13" t="s">
        <v>63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ht="27.0" customHeight="1">
      <c r="A20" s="84" t="s">
        <v>24</v>
      </c>
      <c r="B20" s="84">
        <v>1024.0</v>
      </c>
      <c r="C20" s="85" t="s">
        <v>215</v>
      </c>
      <c r="D20" s="29">
        <v>5.0</v>
      </c>
      <c r="E20" s="116" t="s">
        <v>216</v>
      </c>
      <c r="F20" s="84" t="s">
        <v>186</v>
      </c>
      <c r="G20" s="84">
        <v>6.0</v>
      </c>
      <c r="H20" s="136" t="s">
        <v>203</v>
      </c>
      <c r="I20" s="137">
        <v>2.0</v>
      </c>
      <c r="J20" s="122"/>
      <c r="K20" s="12" t="b">
        <v>0</v>
      </c>
      <c r="L20" s="13" t="s">
        <v>63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ht="27.0" customHeight="1">
      <c r="A21" s="20" t="s">
        <v>21</v>
      </c>
      <c r="B21" s="20">
        <v>1125.0</v>
      </c>
      <c r="C21" s="123" t="s">
        <v>217</v>
      </c>
      <c r="D21" s="53">
        <v>4.0</v>
      </c>
      <c r="E21" s="54" t="s">
        <v>216</v>
      </c>
      <c r="F21" s="20" t="s">
        <v>186</v>
      </c>
      <c r="G21" s="20">
        <v>3.0</v>
      </c>
      <c r="H21" s="55" t="s">
        <v>126</v>
      </c>
      <c r="I21" s="125"/>
      <c r="J21" s="125"/>
      <c r="K21" s="12" t="b">
        <v>0</v>
      </c>
      <c r="L21" s="13" t="s">
        <v>63</v>
      </c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ht="27.0" customHeight="1">
      <c r="A22" s="58" t="s">
        <v>11</v>
      </c>
      <c r="B22" s="71">
        <v>1223.0</v>
      </c>
      <c r="C22" s="64" t="s">
        <v>218</v>
      </c>
      <c r="D22" s="10">
        <f>40/20</f>
        <v>2</v>
      </c>
      <c r="E22" s="145" t="s">
        <v>216</v>
      </c>
      <c r="F22" s="58" t="s">
        <v>186</v>
      </c>
      <c r="G22" s="58">
        <v>7.0</v>
      </c>
      <c r="H22" s="66" t="s">
        <v>219</v>
      </c>
      <c r="I22" s="83"/>
      <c r="J22" s="83"/>
      <c r="K22" s="12" t="b">
        <v>0</v>
      </c>
      <c r="L22" s="13" t="s">
        <v>63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ht="27.0" customHeight="1">
      <c r="A23" s="8" t="s">
        <v>11</v>
      </c>
      <c r="B23" s="71">
        <v>1224.0</v>
      </c>
      <c r="C23" s="60" t="s">
        <v>220</v>
      </c>
      <c r="D23" s="10">
        <f>60/20</f>
        <v>3</v>
      </c>
      <c r="E23" s="145" t="s">
        <v>216</v>
      </c>
      <c r="F23" s="8" t="s">
        <v>186</v>
      </c>
      <c r="G23" s="8">
        <v>5.0</v>
      </c>
      <c r="H23" s="66" t="s">
        <v>221</v>
      </c>
      <c r="I23" s="83"/>
      <c r="J23" s="83"/>
      <c r="K23" s="12" t="b">
        <v>0</v>
      </c>
      <c r="L23" s="13" t="s">
        <v>63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ht="27.0" customHeight="1">
      <c r="A24" s="8" t="s">
        <v>11</v>
      </c>
      <c r="B24" s="8">
        <v>1226.0</v>
      </c>
      <c r="C24" s="9" t="s">
        <v>222</v>
      </c>
      <c r="D24" s="10">
        <f>68/17</f>
        <v>4</v>
      </c>
      <c r="E24" s="145" t="s">
        <v>223</v>
      </c>
      <c r="F24" s="8" t="s">
        <v>186</v>
      </c>
      <c r="G24" s="8">
        <v>2.0</v>
      </c>
      <c r="H24" s="72"/>
      <c r="I24" s="83"/>
      <c r="J24" s="83"/>
      <c r="K24" s="12" t="b">
        <v>0</v>
      </c>
      <c r="L24" s="13" t="s">
        <v>63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ht="27.0" customHeight="1">
      <c r="A25" s="27" t="s">
        <v>24</v>
      </c>
      <c r="B25" s="27">
        <v>1024.0</v>
      </c>
      <c r="C25" s="28" t="s">
        <v>224</v>
      </c>
      <c r="D25" s="29">
        <v>2.0</v>
      </c>
      <c r="E25" s="116" t="s">
        <v>225</v>
      </c>
      <c r="F25" s="27" t="s">
        <v>186</v>
      </c>
      <c r="G25" s="27">
        <v>6.0</v>
      </c>
      <c r="H25" s="155"/>
      <c r="I25" s="122"/>
      <c r="J25" s="122"/>
      <c r="K25" s="12" t="b">
        <v>0</v>
      </c>
      <c r="L25" s="13" t="s">
        <v>63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ht="27.0" customHeight="1">
      <c r="A26" s="27" t="s">
        <v>24</v>
      </c>
      <c r="B26" s="27">
        <v>1025.0</v>
      </c>
      <c r="C26" s="28" t="s">
        <v>226</v>
      </c>
      <c r="D26" s="29">
        <v>2.0</v>
      </c>
      <c r="E26" s="116" t="s">
        <v>225</v>
      </c>
      <c r="F26" s="27" t="s">
        <v>186</v>
      </c>
      <c r="G26" s="27">
        <v>4.0</v>
      </c>
      <c r="H26" s="155"/>
      <c r="I26" s="122"/>
      <c r="J26" s="122"/>
      <c r="K26" s="12" t="b">
        <v>0</v>
      </c>
      <c r="L26" s="13" t="s">
        <v>63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ht="27.0" customHeight="1">
      <c r="A27" s="51" t="s">
        <v>21</v>
      </c>
      <c r="B27" s="51">
        <v>1125.0</v>
      </c>
      <c r="C27" s="52" t="s">
        <v>227</v>
      </c>
      <c r="D27" s="53">
        <v>4.0</v>
      </c>
      <c r="E27" s="54" t="s">
        <v>225</v>
      </c>
      <c r="F27" s="51" t="s">
        <v>186</v>
      </c>
      <c r="G27" s="51">
        <v>3.0</v>
      </c>
      <c r="H27" s="55" t="s">
        <v>126</v>
      </c>
      <c r="I27" s="56"/>
      <c r="J27" s="56"/>
      <c r="K27" s="12" t="b">
        <v>0</v>
      </c>
      <c r="L27" s="13" t="s">
        <v>63</v>
      </c>
      <c r="M27" s="74"/>
      <c r="N27" s="74"/>
      <c r="O27" s="57"/>
      <c r="P27" s="57"/>
      <c r="Q27" s="57"/>
      <c r="R27" s="57"/>
      <c r="S27" s="57"/>
      <c r="T27" s="57"/>
      <c r="U27" s="57"/>
      <c r="V27" s="57"/>
      <c r="W27" s="57"/>
    </row>
    <row r="28" ht="31.5" customHeight="1">
      <c r="A28" s="76" t="s">
        <v>21</v>
      </c>
      <c r="B28" s="76">
        <v>1126.0</v>
      </c>
      <c r="C28" s="77" t="s">
        <v>228</v>
      </c>
      <c r="D28" s="53">
        <v>2.0</v>
      </c>
      <c r="E28" s="54" t="s">
        <v>225</v>
      </c>
      <c r="F28" s="76" t="s">
        <v>186</v>
      </c>
      <c r="G28" s="76">
        <v>1.0</v>
      </c>
      <c r="H28" s="55" t="s">
        <v>23</v>
      </c>
      <c r="I28" s="125"/>
      <c r="J28" s="125"/>
      <c r="K28" s="12" t="b">
        <v>0</v>
      </c>
      <c r="L28" s="13" t="s">
        <v>63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ht="36.0" customHeight="1">
      <c r="A29" s="146" t="s">
        <v>21</v>
      </c>
      <c r="B29" s="146" t="s">
        <v>229</v>
      </c>
      <c r="C29" s="156" t="s">
        <v>230</v>
      </c>
      <c r="D29" s="141">
        <v>2.0</v>
      </c>
      <c r="E29" s="142" t="s">
        <v>225</v>
      </c>
      <c r="F29" s="146" t="s">
        <v>186</v>
      </c>
      <c r="G29" s="146">
        <v>2.0</v>
      </c>
      <c r="H29" s="143" t="s">
        <v>231</v>
      </c>
      <c r="I29" s="144"/>
      <c r="J29" s="125"/>
      <c r="K29" s="12" t="b">
        <v>0</v>
      </c>
      <c r="L29" s="13" t="s">
        <v>63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ht="66.0" customHeight="1">
      <c r="A30" s="146" t="s">
        <v>21</v>
      </c>
      <c r="B30" s="146" t="s">
        <v>114</v>
      </c>
      <c r="C30" s="147" t="s">
        <v>232</v>
      </c>
      <c r="D30" s="141">
        <v>2.0</v>
      </c>
      <c r="E30" s="142" t="s">
        <v>225</v>
      </c>
      <c r="F30" s="146" t="s">
        <v>186</v>
      </c>
      <c r="G30" s="146" t="s">
        <v>233</v>
      </c>
      <c r="H30" s="157" t="s">
        <v>234</v>
      </c>
      <c r="I30" s="144"/>
      <c r="J30" s="125"/>
      <c r="K30" s="12" t="b">
        <v>0</v>
      </c>
      <c r="L30" s="13" t="s">
        <v>63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ht="36.0" customHeight="1">
      <c r="A31" s="84" t="s">
        <v>24</v>
      </c>
      <c r="B31" s="84">
        <v>1025.0</v>
      </c>
      <c r="C31" s="85" t="s">
        <v>235</v>
      </c>
      <c r="D31" s="29">
        <v>3.0</v>
      </c>
      <c r="E31" s="116" t="s">
        <v>236</v>
      </c>
      <c r="F31" s="84" t="s">
        <v>186</v>
      </c>
      <c r="G31" s="84">
        <v>4.0</v>
      </c>
      <c r="H31" s="136" t="s">
        <v>187</v>
      </c>
      <c r="I31" s="137">
        <v>1.0</v>
      </c>
      <c r="J31" s="122"/>
      <c r="K31" s="12" t="b">
        <v>0</v>
      </c>
      <c r="L31" s="13" t="s">
        <v>63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ht="27.0" customHeight="1">
      <c r="A32" s="93"/>
      <c r="B32" s="93"/>
      <c r="C32" s="118"/>
      <c r="D32" s="103"/>
      <c r="E32" s="93"/>
      <c r="F32" s="93"/>
      <c r="G32" s="106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</row>
    <row r="33" ht="27.0" customHeight="1">
      <c r="A33" s="93"/>
      <c r="B33" s="93"/>
      <c r="C33" s="118"/>
      <c r="E33" s="90" t="s">
        <v>237</v>
      </c>
      <c r="F33" s="93" t="str">
        <f>#REF!/7</f>
        <v>#REF!</v>
      </c>
      <c r="G33" s="61" t="s">
        <v>238</v>
      </c>
      <c r="H33" s="158" t="str">
        <f>#REF!/6</f>
        <v>#REF!</v>
      </c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</row>
    <row r="34" ht="38.25" customHeight="1">
      <c r="A34" s="93"/>
      <c r="B34" s="93"/>
      <c r="C34" s="118"/>
      <c r="D34" s="102" t="s">
        <v>146</v>
      </c>
      <c r="E34" s="102" t="s">
        <v>239</v>
      </c>
      <c r="F34" s="93">
        <f>COUNTA(E35:E41)</f>
        <v>7</v>
      </c>
      <c r="G34" s="159" t="s">
        <v>240</v>
      </c>
      <c r="H34" s="61" t="str">
        <f>#REF!/5</f>
        <v>#REF!</v>
      </c>
      <c r="I34" s="59"/>
      <c r="J34" s="59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</row>
    <row r="35" ht="27.0" customHeight="1">
      <c r="A35" s="93"/>
      <c r="B35" s="93"/>
      <c r="C35" s="118"/>
      <c r="D35" s="103">
        <f>SUMIF($E$2:$E$31,"*Adelson*",$D$2:$D$31)</f>
        <v>0</v>
      </c>
      <c r="E35" s="59" t="s">
        <v>241</v>
      </c>
      <c r="F35" s="59"/>
      <c r="G35" s="93"/>
      <c r="H35" s="106" t="str">
        <f>(#REF!-26)/5</f>
        <v>#REF!</v>
      </c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</row>
    <row r="36" ht="27.0" customHeight="1">
      <c r="A36" s="93"/>
      <c r="B36" s="93"/>
      <c r="C36" s="118"/>
      <c r="D36" s="103">
        <f>SUMIF($E$2:$E$31,"*Claudeir*",$D$2:$D$31)</f>
        <v>11</v>
      </c>
      <c r="E36" s="59" t="s">
        <v>185</v>
      </c>
      <c r="F36" s="93"/>
      <c r="G36" s="106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</row>
    <row r="37" ht="27.0" customHeight="1">
      <c r="A37" s="93"/>
      <c r="B37" s="93"/>
      <c r="C37" s="118"/>
      <c r="D37" s="103">
        <f>SUMIF($E$2:$E$31,"*Douglas*",$D$2:$D$31)</f>
        <v>18</v>
      </c>
      <c r="E37" s="160" t="s">
        <v>63</v>
      </c>
      <c r="F37" s="93"/>
      <c r="G37" s="106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</row>
    <row r="38" ht="27.0" customHeight="1">
      <c r="A38" s="93"/>
      <c r="B38" s="93"/>
      <c r="C38" s="118"/>
      <c r="D38" s="103">
        <f>SUMIF($E$2:$E$31,"*Fagner*",$D$2:$D$31)</f>
        <v>19</v>
      </c>
      <c r="E38" s="59" t="s">
        <v>202</v>
      </c>
      <c r="F38" s="93"/>
      <c r="G38" s="106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</row>
    <row r="39" ht="27.0" customHeight="1">
      <c r="A39" s="93"/>
      <c r="B39" s="93"/>
      <c r="C39" s="118"/>
      <c r="D39" s="103">
        <f>SUMIF($E$2:$E$31,"*Marco*",$D$2:$D$31)</f>
        <v>19</v>
      </c>
      <c r="E39" s="59" t="s">
        <v>209</v>
      </c>
      <c r="F39" s="93"/>
      <c r="G39" s="106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</row>
    <row r="40" ht="27.0" customHeight="1">
      <c r="A40" s="93"/>
      <c r="B40" s="93"/>
      <c r="C40" s="118"/>
      <c r="D40" s="103">
        <f>SUMIF($E$2:$E$31,"*Matias*",$D$2:$D$31)</f>
        <v>18</v>
      </c>
      <c r="E40" s="59" t="s">
        <v>216</v>
      </c>
      <c r="F40" s="93"/>
      <c r="G40" s="106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</row>
    <row r="41" ht="27.0" customHeight="1">
      <c r="A41" s="93"/>
      <c r="B41" s="93"/>
      <c r="D41" s="103">
        <f>SUMIF($E$2:$E$31,"*Rodrigo*",$D$2:$D$31)</f>
        <v>17</v>
      </c>
      <c r="E41" s="160" t="s">
        <v>225</v>
      </c>
      <c r="F41" s="93"/>
      <c r="G41" s="106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</row>
    <row r="42" ht="27.0" customHeight="1">
      <c r="A42" s="93"/>
      <c r="B42" s="93"/>
      <c r="C42" s="118"/>
      <c r="D42" s="103">
        <f>SUM(D35:D41)</f>
        <v>102</v>
      </c>
      <c r="E42" s="93"/>
      <c r="F42" s="93"/>
      <c r="G42" s="106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</row>
    <row r="43" ht="27.0" customHeight="1">
      <c r="A43" s="93"/>
      <c r="B43" s="93"/>
      <c r="C43" s="118"/>
      <c r="D43" s="161" t="str">
        <f>#REF!-D42</f>
        <v>#REF!</v>
      </c>
      <c r="E43" s="90" t="s">
        <v>242</v>
      </c>
      <c r="F43" s="93"/>
      <c r="G43" s="106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</row>
    <row r="44" ht="27.0" customHeight="1">
      <c r="A44" s="93"/>
      <c r="B44" s="93"/>
      <c r="C44" s="118"/>
      <c r="D44" s="103"/>
      <c r="E44" s="93"/>
      <c r="F44" s="93"/>
      <c r="G44" s="106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</row>
    <row r="45" ht="27.0" customHeight="1">
      <c r="A45" s="93"/>
      <c r="B45" s="93"/>
      <c r="C45" s="118"/>
      <c r="D45" s="103"/>
      <c r="E45" s="93"/>
      <c r="F45" s="93"/>
      <c r="G45" s="106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</row>
    <row r="46" ht="27.0" customHeight="1">
      <c r="A46" s="93"/>
      <c r="B46" s="93"/>
      <c r="C46" s="118"/>
      <c r="D46" s="103"/>
      <c r="E46" s="93"/>
      <c r="F46" s="93"/>
      <c r="G46" s="106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</row>
    <row r="47" ht="27.0" customHeight="1">
      <c r="A47" s="93"/>
      <c r="B47" s="93"/>
      <c r="C47" s="118"/>
      <c r="D47" s="103"/>
      <c r="E47" s="93"/>
      <c r="F47" s="93"/>
      <c r="G47" s="106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</row>
    <row r="48" ht="27.0" customHeight="1">
      <c r="A48" s="93"/>
      <c r="B48" s="93"/>
      <c r="C48" s="118"/>
      <c r="D48" s="103"/>
      <c r="E48" s="93"/>
      <c r="F48" s="93"/>
      <c r="G48" s="106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</row>
    <row r="49" ht="27.0" customHeight="1">
      <c r="A49" s="93"/>
      <c r="B49" s="93"/>
      <c r="C49" s="118"/>
      <c r="D49" s="103"/>
      <c r="E49" s="93"/>
      <c r="F49" s="93"/>
      <c r="G49" s="106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</row>
    <row r="50" ht="27.0" customHeight="1">
      <c r="A50" s="93"/>
      <c r="B50" s="93"/>
      <c r="C50" s="118"/>
      <c r="D50" s="103"/>
      <c r="E50" s="93"/>
      <c r="F50" s="93"/>
      <c r="G50" s="106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</row>
    <row r="51" ht="27.0" customHeight="1">
      <c r="A51" s="93"/>
      <c r="B51" s="93"/>
      <c r="C51" s="118"/>
      <c r="D51" s="103"/>
      <c r="E51" s="93"/>
      <c r="F51" s="93"/>
      <c r="G51" s="106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</row>
    <row r="52" ht="27.0" customHeight="1">
      <c r="A52" s="93"/>
      <c r="B52" s="93"/>
      <c r="C52" s="118"/>
      <c r="D52" s="103"/>
      <c r="E52" s="93"/>
      <c r="F52" s="93"/>
      <c r="G52" s="106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</row>
    <row r="53" ht="27.0" customHeight="1">
      <c r="A53" s="93"/>
      <c r="B53" s="93"/>
      <c r="C53" s="118"/>
      <c r="D53" s="103"/>
      <c r="E53" s="93"/>
      <c r="F53" s="93"/>
      <c r="G53" s="106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</row>
    <row r="54" ht="27.0" customHeight="1">
      <c r="A54" s="93"/>
      <c r="B54" s="93"/>
      <c r="C54" s="118"/>
      <c r="D54" s="103"/>
      <c r="E54" s="93"/>
      <c r="F54" s="93"/>
      <c r="G54" s="106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</row>
    <row r="55" ht="27.0" customHeight="1">
      <c r="A55" s="93"/>
      <c r="B55" s="93"/>
      <c r="C55" s="118"/>
      <c r="D55" s="103"/>
      <c r="E55" s="93"/>
      <c r="F55" s="93"/>
      <c r="G55" s="106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</row>
    <row r="56" ht="27.0" customHeight="1">
      <c r="A56" s="93"/>
      <c r="B56" s="93"/>
      <c r="C56" s="118"/>
      <c r="D56" s="103"/>
      <c r="E56" s="93"/>
      <c r="F56" s="93"/>
      <c r="G56" s="106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</row>
    <row r="57" ht="27.0" customHeight="1">
      <c r="A57" s="93"/>
      <c r="B57" s="93"/>
      <c r="C57" s="118"/>
      <c r="D57" s="103"/>
      <c r="E57" s="93"/>
      <c r="F57" s="93"/>
      <c r="G57" s="106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</row>
    <row r="58" ht="27.0" customHeight="1">
      <c r="A58" s="93"/>
      <c r="B58" s="93"/>
      <c r="C58" s="118"/>
      <c r="D58" s="103"/>
      <c r="E58" s="93"/>
      <c r="F58" s="93"/>
      <c r="G58" s="106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</row>
    <row r="59" ht="27.0" customHeight="1">
      <c r="A59" s="93"/>
      <c r="B59" s="93"/>
      <c r="C59" s="118"/>
      <c r="D59" s="103"/>
      <c r="E59" s="93"/>
      <c r="F59" s="93"/>
      <c r="G59" s="106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</row>
    <row r="60" ht="27.0" customHeight="1">
      <c r="A60" s="93"/>
      <c r="B60" s="93"/>
      <c r="C60" s="118"/>
      <c r="D60" s="103"/>
      <c r="E60" s="93"/>
      <c r="F60" s="93"/>
      <c r="G60" s="106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</row>
    <row r="61" ht="27.0" customHeight="1">
      <c r="A61" s="93"/>
      <c r="B61" s="93"/>
      <c r="C61" s="118"/>
      <c r="D61" s="103"/>
      <c r="E61" s="93"/>
      <c r="F61" s="93"/>
      <c r="G61" s="106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</row>
    <row r="62" ht="27.0" customHeight="1">
      <c r="A62" s="93"/>
      <c r="B62" s="93"/>
      <c r="C62" s="118"/>
      <c r="D62" s="103"/>
      <c r="E62" s="93"/>
      <c r="F62" s="93"/>
      <c r="G62" s="106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</row>
    <row r="63" ht="27.0" customHeight="1">
      <c r="A63" s="93"/>
      <c r="B63" s="93"/>
      <c r="C63" s="118"/>
      <c r="D63" s="103"/>
      <c r="E63" s="93"/>
      <c r="F63" s="93"/>
      <c r="G63" s="106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</row>
    <row r="64" ht="27.0" customHeight="1">
      <c r="A64" s="93"/>
      <c r="B64" s="93"/>
      <c r="C64" s="118"/>
      <c r="D64" s="103"/>
      <c r="E64" s="93"/>
      <c r="F64" s="93"/>
      <c r="G64" s="106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</row>
    <row r="65" ht="27.0" customHeight="1">
      <c r="A65" s="93"/>
      <c r="B65" s="93"/>
      <c r="C65" s="118"/>
      <c r="D65" s="103"/>
      <c r="E65" s="93"/>
      <c r="F65" s="93"/>
      <c r="G65" s="106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</row>
    <row r="66" ht="27.0" customHeight="1">
      <c r="A66" s="93"/>
      <c r="B66" s="93"/>
      <c r="C66" s="118"/>
      <c r="D66" s="103"/>
      <c r="E66" s="93"/>
      <c r="F66" s="93"/>
      <c r="G66" s="106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</row>
    <row r="67" ht="27.0" customHeight="1">
      <c r="A67" s="93"/>
      <c r="B67" s="93"/>
      <c r="C67" s="118"/>
      <c r="D67" s="103"/>
      <c r="E67" s="93"/>
      <c r="F67" s="93"/>
      <c r="G67" s="106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</row>
    <row r="68" ht="27.0" customHeight="1">
      <c r="A68" s="93"/>
      <c r="B68" s="93"/>
      <c r="C68" s="118"/>
      <c r="D68" s="103"/>
      <c r="E68" s="93"/>
      <c r="F68" s="93"/>
      <c r="G68" s="106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</row>
    <row r="69" ht="27.0" customHeight="1">
      <c r="A69" s="93"/>
      <c r="B69" s="93"/>
      <c r="C69" s="118"/>
      <c r="D69" s="103"/>
      <c r="E69" s="93"/>
      <c r="F69" s="93"/>
      <c r="G69" s="106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</row>
    <row r="70" ht="27.0" customHeight="1">
      <c r="A70" s="93"/>
      <c r="B70" s="93"/>
      <c r="C70" s="118"/>
      <c r="D70" s="103"/>
      <c r="E70" s="93"/>
      <c r="F70" s="93"/>
      <c r="G70" s="106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</row>
    <row r="71" ht="27.0" customHeight="1">
      <c r="A71" s="93"/>
      <c r="B71" s="93"/>
      <c r="C71" s="118"/>
      <c r="D71" s="103"/>
      <c r="E71" s="93"/>
      <c r="F71" s="93"/>
      <c r="G71" s="106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</row>
    <row r="72" ht="27.0" customHeight="1">
      <c r="A72" s="93"/>
      <c r="B72" s="93"/>
      <c r="C72" s="118"/>
      <c r="D72" s="103"/>
      <c r="E72" s="93"/>
      <c r="F72" s="93"/>
      <c r="G72" s="106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</row>
    <row r="73" ht="27.0" customHeight="1">
      <c r="A73" s="93"/>
      <c r="B73" s="93"/>
      <c r="C73" s="118"/>
      <c r="D73" s="103"/>
      <c r="E73" s="93"/>
      <c r="F73" s="93"/>
      <c r="G73" s="106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</row>
    <row r="74" ht="27.0" customHeight="1">
      <c r="A74" s="93"/>
      <c r="B74" s="93"/>
      <c r="C74" s="118"/>
      <c r="D74" s="103"/>
      <c r="E74" s="93"/>
      <c r="F74" s="93"/>
      <c r="G74" s="106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</row>
    <row r="75" ht="27.0" customHeight="1">
      <c r="A75" s="93"/>
      <c r="B75" s="93"/>
      <c r="C75" s="118"/>
      <c r="D75" s="103"/>
      <c r="E75" s="93"/>
      <c r="F75" s="93"/>
      <c r="G75" s="106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</row>
    <row r="76" ht="27.0" customHeight="1">
      <c r="A76" s="93"/>
      <c r="B76" s="93"/>
      <c r="C76" s="118"/>
      <c r="D76" s="103"/>
      <c r="E76" s="93"/>
      <c r="F76" s="93"/>
      <c r="G76" s="106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</row>
    <row r="77" ht="27.0" customHeight="1">
      <c r="A77" s="93"/>
      <c r="B77" s="93"/>
      <c r="C77" s="118"/>
      <c r="D77" s="103"/>
      <c r="E77" s="93"/>
      <c r="F77" s="93"/>
      <c r="G77" s="106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</row>
    <row r="78" ht="27.0" customHeight="1">
      <c r="A78" s="93"/>
      <c r="B78" s="93"/>
      <c r="C78" s="118"/>
      <c r="D78" s="103"/>
      <c r="E78" s="93"/>
      <c r="F78" s="93"/>
      <c r="G78" s="106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</row>
    <row r="79" ht="27.0" customHeight="1">
      <c r="A79" s="93"/>
      <c r="B79" s="93"/>
      <c r="C79" s="118"/>
      <c r="D79" s="103"/>
      <c r="E79" s="93"/>
      <c r="F79" s="93"/>
      <c r="G79" s="106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</row>
    <row r="80" ht="27.0" customHeight="1">
      <c r="A80" s="93"/>
      <c r="B80" s="93"/>
      <c r="C80" s="118"/>
      <c r="D80" s="103"/>
      <c r="E80" s="93"/>
      <c r="F80" s="93"/>
      <c r="G80" s="106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</row>
    <row r="81" ht="27.0" customHeight="1">
      <c r="A81" s="93"/>
      <c r="B81" s="93"/>
      <c r="C81" s="118"/>
      <c r="D81" s="103"/>
      <c r="E81" s="93"/>
      <c r="F81" s="93"/>
      <c r="G81" s="106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</row>
    <row r="82" ht="27.0" customHeight="1">
      <c r="A82" s="93"/>
      <c r="B82" s="93"/>
      <c r="C82" s="118"/>
      <c r="D82" s="103"/>
      <c r="E82" s="93"/>
      <c r="F82" s="93"/>
      <c r="G82" s="106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</row>
    <row r="83" ht="27.0" customHeight="1">
      <c r="A83" s="93"/>
      <c r="B83" s="93"/>
      <c r="C83" s="118"/>
      <c r="D83" s="103"/>
      <c r="E83" s="93"/>
      <c r="F83" s="93"/>
      <c r="G83" s="106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</row>
    <row r="84" ht="27.0" customHeight="1">
      <c r="A84" s="93"/>
      <c r="B84" s="93"/>
      <c r="C84" s="118"/>
      <c r="D84" s="103"/>
      <c r="E84" s="93"/>
      <c r="F84" s="93"/>
      <c r="G84" s="106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</row>
    <row r="85" ht="27.0" customHeight="1">
      <c r="A85" s="93"/>
      <c r="B85" s="93"/>
      <c r="C85" s="118"/>
      <c r="D85" s="103"/>
      <c r="E85" s="93"/>
      <c r="F85" s="93"/>
      <c r="G85" s="106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</row>
    <row r="86" ht="27.0" customHeight="1">
      <c r="A86" s="93"/>
      <c r="B86" s="93"/>
      <c r="C86" s="118"/>
      <c r="D86" s="103"/>
      <c r="E86" s="93"/>
      <c r="F86" s="93"/>
      <c r="G86" s="106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</row>
    <row r="87" ht="27.0" customHeight="1">
      <c r="A87" s="93"/>
      <c r="B87" s="93"/>
      <c r="C87" s="118"/>
      <c r="D87" s="103"/>
      <c r="E87" s="93"/>
      <c r="F87" s="93"/>
      <c r="G87" s="106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</row>
    <row r="88" ht="27.0" customHeight="1">
      <c r="A88" s="93"/>
      <c r="B88" s="93"/>
      <c r="C88" s="118"/>
      <c r="D88" s="103"/>
      <c r="E88" s="93"/>
      <c r="F88" s="93"/>
      <c r="G88" s="106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</row>
    <row r="89" ht="27.0" customHeight="1">
      <c r="A89" s="93"/>
      <c r="B89" s="93"/>
      <c r="C89" s="118"/>
      <c r="D89" s="103"/>
      <c r="E89" s="93"/>
      <c r="F89" s="93"/>
      <c r="G89" s="106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</row>
    <row r="90" ht="27.0" customHeight="1">
      <c r="A90" s="93"/>
      <c r="B90" s="93"/>
      <c r="C90" s="118"/>
      <c r="D90" s="103"/>
      <c r="E90" s="93"/>
      <c r="F90" s="93"/>
      <c r="G90" s="106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</row>
    <row r="91" ht="27.0" customHeight="1">
      <c r="A91" s="93"/>
      <c r="B91" s="93"/>
      <c r="C91" s="118"/>
      <c r="D91" s="103"/>
      <c r="E91" s="93"/>
      <c r="F91" s="93"/>
      <c r="G91" s="106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</row>
    <row r="92" ht="27.0" customHeight="1">
      <c r="A92" s="93"/>
      <c r="B92" s="93"/>
      <c r="C92" s="118"/>
      <c r="D92" s="103"/>
      <c r="E92" s="93"/>
      <c r="F92" s="93"/>
      <c r="G92" s="106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</row>
    <row r="93" ht="27.0" customHeight="1">
      <c r="A93" s="93"/>
      <c r="B93" s="93"/>
      <c r="C93" s="118"/>
      <c r="D93" s="103"/>
      <c r="E93" s="93"/>
      <c r="F93" s="93"/>
      <c r="G93" s="106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</row>
    <row r="94" ht="27.0" customHeight="1">
      <c r="A94" s="93"/>
      <c r="B94" s="93"/>
      <c r="C94" s="118"/>
      <c r="D94" s="103"/>
      <c r="E94" s="93"/>
      <c r="F94" s="93"/>
      <c r="G94" s="106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</row>
    <row r="95" ht="27.0" customHeight="1">
      <c r="A95" s="93"/>
      <c r="B95" s="93"/>
      <c r="C95" s="118"/>
      <c r="D95" s="103"/>
      <c r="E95" s="93"/>
      <c r="F95" s="93"/>
      <c r="G95" s="106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</row>
    <row r="96" ht="27.0" customHeight="1">
      <c r="A96" s="93"/>
      <c r="B96" s="93"/>
      <c r="C96" s="118"/>
      <c r="D96" s="103"/>
      <c r="E96" s="93"/>
      <c r="F96" s="93"/>
      <c r="G96" s="106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</row>
    <row r="97" ht="27.0" customHeight="1">
      <c r="A97" s="93"/>
      <c r="B97" s="93"/>
      <c r="C97" s="118"/>
      <c r="D97" s="103"/>
      <c r="E97" s="93"/>
      <c r="F97" s="93"/>
      <c r="G97" s="106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</row>
    <row r="98" ht="27.0" customHeight="1">
      <c r="A98" s="93"/>
      <c r="B98" s="93"/>
      <c r="C98" s="118"/>
      <c r="D98" s="103"/>
      <c r="E98" s="93"/>
      <c r="F98" s="93"/>
      <c r="G98" s="106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</row>
    <row r="99" ht="27.0" customHeight="1">
      <c r="A99" s="93"/>
      <c r="B99" s="93"/>
      <c r="C99" s="118"/>
      <c r="D99" s="103"/>
      <c r="E99" s="93"/>
      <c r="F99" s="93"/>
      <c r="G99" s="106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</row>
    <row r="100" ht="27.0" customHeight="1">
      <c r="A100" s="93"/>
      <c r="B100" s="93"/>
      <c r="C100" s="118"/>
      <c r="D100" s="103"/>
      <c r="E100" s="93"/>
      <c r="F100" s="93"/>
      <c r="G100" s="106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</row>
    <row r="101" ht="27.0" customHeight="1">
      <c r="A101" s="93"/>
      <c r="B101" s="93"/>
      <c r="C101" s="118"/>
      <c r="D101" s="103"/>
      <c r="E101" s="93"/>
      <c r="F101" s="93"/>
      <c r="G101" s="106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</row>
    <row r="102" ht="27.0" customHeight="1">
      <c r="A102" s="93"/>
      <c r="B102" s="93"/>
      <c r="C102" s="118"/>
      <c r="D102" s="103"/>
      <c r="E102" s="93"/>
      <c r="F102" s="93"/>
      <c r="G102" s="106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</row>
    <row r="103" ht="27.0" customHeight="1">
      <c r="A103" s="93"/>
      <c r="B103" s="93"/>
      <c r="C103" s="118"/>
      <c r="D103" s="103"/>
      <c r="E103" s="93"/>
      <c r="F103" s="93"/>
      <c r="G103" s="106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</row>
    <row r="104" ht="27.0" customHeight="1">
      <c r="A104" s="93"/>
      <c r="B104" s="93"/>
      <c r="C104" s="118"/>
      <c r="D104" s="103"/>
      <c r="E104" s="93"/>
      <c r="F104" s="93"/>
      <c r="G104" s="106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</row>
    <row r="105" ht="27.0" customHeight="1">
      <c r="A105" s="93"/>
      <c r="B105" s="93"/>
      <c r="C105" s="118"/>
      <c r="D105" s="103"/>
      <c r="E105" s="93"/>
      <c r="F105" s="93"/>
      <c r="G105" s="106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</row>
    <row r="106" ht="27.0" customHeight="1">
      <c r="A106" s="93"/>
      <c r="B106" s="93"/>
      <c r="C106" s="118"/>
      <c r="D106" s="103"/>
      <c r="E106" s="93"/>
      <c r="F106" s="93"/>
      <c r="G106" s="106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</row>
    <row r="107" ht="27.0" customHeight="1">
      <c r="A107" s="93"/>
      <c r="B107" s="93"/>
      <c r="C107" s="118"/>
      <c r="D107" s="103"/>
      <c r="E107" s="93"/>
      <c r="F107" s="93"/>
      <c r="G107" s="106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</row>
    <row r="108" ht="27.0" customHeight="1">
      <c r="A108" s="93"/>
      <c r="B108" s="93"/>
      <c r="C108" s="118"/>
      <c r="D108" s="103"/>
      <c r="E108" s="93"/>
      <c r="F108" s="93"/>
      <c r="G108" s="106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</row>
    <row r="109" ht="27.0" customHeight="1">
      <c r="A109" s="93"/>
      <c r="B109" s="93"/>
      <c r="C109" s="118"/>
      <c r="D109" s="103"/>
      <c r="E109" s="93"/>
      <c r="F109" s="93"/>
      <c r="G109" s="106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</row>
    <row r="110" ht="27.0" customHeight="1">
      <c r="A110" s="93"/>
      <c r="B110" s="93"/>
      <c r="C110" s="118"/>
      <c r="D110" s="103"/>
      <c r="E110" s="93"/>
      <c r="F110" s="93"/>
      <c r="G110" s="106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</row>
    <row r="111" ht="27.0" customHeight="1">
      <c r="A111" s="93"/>
      <c r="B111" s="93"/>
      <c r="C111" s="118"/>
      <c r="D111" s="103"/>
      <c r="E111" s="93"/>
      <c r="F111" s="93"/>
      <c r="G111" s="106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</row>
    <row r="112" ht="27.0" customHeight="1">
      <c r="A112" s="93"/>
      <c r="B112" s="93"/>
      <c r="C112" s="118"/>
      <c r="D112" s="103"/>
      <c r="E112" s="93"/>
      <c r="F112" s="93"/>
      <c r="G112" s="106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</row>
    <row r="113" ht="27.0" customHeight="1">
      <c r="A113" s="93"/>
      <c r="B113" s="93"/>
      <c r="C113" s="118"/>
      <c r="D113" s="103"/>
      <c r="E113" s="93"/>
      <c r="F113" s="93"/>
      <c r="G113" s="106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</row>
    <row r="114" ht="27.0" customHeight="1">
      <c r="A114" s="93"/>
      <c r="B114" s="93"/>
      <c r="C114" s="118"/>
      <c r="D114" s="103"/>
      <c r="E114" s="93"/>
      <c r="F114" s="93"/>
      <c r="G114" s="106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</row>
    <row r="115" ht="27.0" customHeight="1">
      <c r="A115" s="93"/>
      <c r="B115" s="93"/>
      <c r="C115" s="118"/>
      <c r="D115" s="103"/>
      <c r="E115" s="93"/>
      <c r="F115" s="93"/>
      <c r="G115" s="106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</row>
    <row r="116" ht="27.0" customHeight="1">
      <c r="A116" s="93"/>
      <c r="B116" s="93"/>
      <c r="C116" s="118"/>
      <c r="D116" s="103"/>
      <c r="E116" s="93"/>
      <c r="F116" s="93"/>
      <c r="G116" s="106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</row>
    <row r="117" ht="27.0" customHeight="1">
      <c r="A117" s="93"/>
      <c r="B117" s="93"/>
      <c r="C117" s="118"/>
      <c r="D117" s="103"/>
      <c r="E117" s="93"/>
      <c r="F117" s="93"/>
      <c r="G117" s="106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</row>
    <row r="118" ht="27.0" customHeight="1">
      <c r="A118" s="93"/>
      <c r="B118" s="93"/>
      <c r="C118" s="118"/>
      <c r="D118" s="103"/>
      <c r="E118" s="93"/>
      <c r="F118" s="93"/>
      <c r="G118" s="106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</row>
    <row r="119" ht="27.0" customHeight="1">
      <c r="A119" s="93"/>
      <c r="B119" s="93"/>
      <c r="C119" s="118"/>
      <c r="D119" s="103"/>
      <c r="E119" s="93"/>
      <c r="F119" s="93"/>
      <c r="G119" s="106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</row>
    <row r="120" ht="27.0" customHeight="1">
      <c r="A120" s="93"/>
      <c r="B120" s="93"/>
      <c r="C120" s="118"/>
      <c r="D120" s="103"/>
      <c r="E120" s="93"/>
      <c r="F120" s="93"/>
      <c r="G120" s="106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</row>
    <row r="121" ht="27.0" customHeight="1">
      <c r="A121" s="93"/>
      <c r="B121" s="93"/>
      <c r="C121" s="118"/>
      <c r="D121" s="103"/>
      <c r="E121" s="93"/>
      <c r="F121" s="93"/>
      <c r="G121" s="106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</row>
    <row r="122" ht="27.0" customHeight="1">
      <c r="A122" s="93"/>
      <c r="B122" s="93"/>
      <c r="C122" s="118"/>
      <c r="D122" s="103"/>
      <c r="E122" s="93"/>
      <c r="F122" s="93"/>
      <c r="G122" s="106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</row>
    <row r="123" ht="27.0" customHeight="1">
      <c r="A123" s="93"/>
      <c r="B123" s="93"/>
      <c r="C123" s="118"/>
      <c r="D123" s="103"/>
      <c r="E123" s="93"/>
      <c r="F123" s="93"/>
      <c r="G123" s="106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</row>
    <row r="124" ht="27.0" customHeight="1">
      <c r="A124" s="93"/>
      <c r="B124" s="93"/>
      <c r="C124" s="118"/>
      <c r="D124" s="103"/>
      <c r="E124" s="93"/>
      <c r="F124" s="93"/>
      <c r="G124" s="106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</row>
    <row r="125" ht="27.0" customHeight="1">
      <c r="A125" s="93"/>
      <c r="B125" s="93"/>
      <c r="C125" s="118"/>
      <c r="D125" s="103"/>
      <c r="E125" s="93"/>
      <c r="F125" s="93"/>
      <c r="G125" s="106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</row>
    <row r="126" ht="27.0" customHeight="1">
      <c r="A126" s="93"/>
      <c r="B126" s="93"/>
      <c r="C126" s="118"/>
      <c r="D126" s="103"/>
      <c r="E126" s="93"/>
      <c r="F126" s="93"/>
      <c r="G126" s="106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</row>
    <row r="127" ht="27.0" customHeight="1">
      <c r="A127" s="93"/>
      <c r="B127" s="93"/>
      <c r="C127" s="118"/>
      <c r="D127" s="103"/>
      <c r="E127" s="93"/>
      <c r="F127" s="93"/>
      <c r="G127" s="106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</row>
    <row r="128" ht="27.0" customHeight="1">
      <c r="A128" s="93"/>
      <c r="B128" s="93"/>
      <c r="C128" s="118"/>
      <c r="D128" s="103"/>
      <c r="E128" s="93"/>
      <c r="F128" s="93"/>
      <c r="G128" s="106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</row>
    <row r="129" ht="27.0" customHeight="1">
      <c r="A129" s="93"/>
      <c r="B129" s="93"/>
      <c r="C129" s="118"/>
      <c r="D129" s="103"/>
      <c r="E129" s="93"/>
      <c r="F129" s="93"/>
      <c r="G129" s="106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</row>
    <row r="130" ht="27.0" customHeight="1">
      <c r="A130" s="93"/>
      <c r="B130" s="93"/>
      <c r="C130" s="118"/>
      <c r="D130" s="103"/>
      <c r="E130" s="93"/>
      <c r="F130" s="93"/>
      <c r="G130" s="106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</row>
    <row r="131" ht="27.0" customHeight="1">
      <c r="A131" s="93"/>
      <c r="B131" s="93"/>
      <c r="C131" s="118"/>
      <c r="D131" s="103"/>
      <c r="E131" s="93"/>
      <c r="F131" s="93"/>
      <c r="G131" s="106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</row>
    <row r="132" ht="27.0" customHeight="1">
      <c r="A132" s="93"/>
      <c r="B132" s="93"/>
      <c r="C132" s="118"/>
      <c r="D132" s="103"/>
      <c r="E132" s="93"/>
      <c r="F132" s="93"/>
      <c r="G132" s="106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</row>
    <row r="133" ht="27.0" customHeight="1">
      <c r="A133" s="93"/>
      <c r="B133" s="93"/>
      <c r="C133" s="118"/>
      <c r="D133" s="103"/>
      <c r="E133" s="93"/>
      <c r="F133" s="93"/>
      <c r="G133" s="106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</row>
    <row r="134" ht="27.0" customHeight="1">
      <c r="A134" s="93"/>
      <c r="B134" s="93"/>
      <c r="C134" s="118"/>
      <c r="D134" s="103"/>
      <c r="E134" s="93"/>
      <c r="F134" s="93"/>
      <c r="G134" s="106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</row>
    <row r="135" ht="27.0" customHeight="1">
      <c r="A135" s="93"/>
      <c r="B135" s="93"/>
      <c r="C135" s="118"/>
      <c r="D135" s="103"/>
      <c r="E135" s="93"/>
      <c r="F135" s="93"/>
      <c r="G135" s="106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</row>
    <row r="136" ht="27.0" customHeight="1">
      <c r="A136" s="93"/>
      <c r="B136" s="93"/>
      <c r="C136" s="118"/>
      <c r="D136" s="103"/>
      <c r="E136" s="93"/>
      <c r="F136" s="93"/>
      <c r="G136" s="106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</row>
    <row r="137" ht="27.0" customHeight="1">
      <c r="A137" s="93"/>
      <c r="B137" s="93"/>
      <c r="C137" s="118"/>
      <c r="D137" s="103"/>
      <c r="E137" s="93"/>
      <c r="F137" s="93"/>
      <c r="G137" s="106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</row>
    <row r="138" ht="27.0" customHeight="1">
      <c r="A138" s="93"/>
      <c r="B138" s="93"/>
      <c r="C138" s="118"/>
      <c r="D138" s="103"/>
      <c r="E138" s="93"/>
      <c r="F138" s="93"/>
      <c r="G138" s="106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</row>
    <row r="139" ht="27.0" customHeight="1">
      <c r="A139" s="93"/>
      <c r="B139" s="93"/>
      <c r="C139" s="118"/>
      <c r="D139" s="103"/>
      <c r="E139" s="93"/>
      <c r="F139" s="93"/>
      <c r="G139" s="106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</row>
    <row r="140" ht="27.0" customHeight="1">
      <c r="A140" s="93"/>
      <c r="B140" s="93"/>
      <c r="C140" s="118"/>
      <c r="D140" s="103"/>
      <c r="E140" s="93"/>
      <c r="F140" s="93"/>
      <c r="G140" s="106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</row>
    <row r="141" ht="27.0" customHeight="1">
      <c r="A141" s="93"/>
      <c r="B141" s="93"/>
      <c r="C141" s="118"/>
      <c r="D141" s="103"/>
      <c r="E141" s="93"/>
      <c r="F141" s="93"/>
      <c r="G141" s="106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</row>
    <row r="142" ht="27.0" customHeight="1">
      <c r="A142" s="93"/>
      <c r="B142" s="93"/>
      <c r="C142" s="118"/>
      <c r="D142" s="103"/>
      <c r="E142" s="93"/>
      <c r="F142" s="93"/>
      <c r="G142" s="106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</row>
    <row r="143" ht="27.0" customHeight="1">
      <c r="A143" s="93"/>
      <c r="B143" s="93"/>
      <c r="C143" s="118"/>
      <c r="D143" s="103"/>
      <c r="E143" s="93"/>
      <c r="F143" s="93"/>
      <c r="G143" s="106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</row>
    <row r="144" ht="27.0" customHeight="1">
      <c r="A144" s="93"/>
      <c r="B144" s="93"/>
      <c r="C144" s="118"/>
      <c r="D144" s="103"/>
      <c r="E144" s="93"/>
      <c r="F144" s="93"/>
      <c r="G144" s="106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</row>
    <row r="145" ht="27.0" customHeight="1">
      <c r="A145" s="93"/>
      <c r="B145" s="93"/>
      <c r="C145" s="118"/>
      <c r="D145" s="103"/>
      <c r="E145" s="93"/>
      <c r="F145" s="93"/>
      <c r="G145" s="106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</row>
    <row r="146" ht="27.0" customHeight="1">
      <c r="A146" s="93"/>
      <c r="B146" s="93"/>
      <c r="C146" s="118"/>
      <c r="D146" s="103"/>
      <c r="E146" s="93"/>
      <c r="F146" s="93"/>
      <c r="G146" s="106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</row>
    <row r="147" ht="27.0" customHeight="1">
      <c r="A147" s="93"/>
      <c r="B147" s="93"/>
      <c r="C147" s="118"/>
      <c r="D147" s="103"/>
      <c r="E147" s="93"/>
      <c r="F147" s="93"/>
      <c r="G147" s="106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</row>
    <row r="148" ht="27.0" customHeight="1">
      <c r="A148" s="93"/>
      <c r="B148" s="93"/>
      <c r="C148" s="118"/>
      <c r="D148" s="103"/>
      <c r="E148" s="93"/>
      <c r="F148" s="93"/>
      <c r="G148" s="106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</row>
    <row r="149" ht="27.0" customHeight="1">
      <c r="A149" s="93"/>
      <c r="B149" s="93"/>
      <c r="C149" s="118"/>
      <c r="D149" s="103"/>
      <c r="E149" s="93"/>
      <c r="F149" s="93"/>
      <c r="G149" s="106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</row>
    <row r="150" ht="27.0" customHeight="1">
      <c r="A150" s="93"/>
      <c r="B150" s="93"/>
      <c r="C150" s="118"/>
      <c r="D150" s="103"/>
      <c r="E150" s="93"/>
      <c r="F150" s="93"/>
      <c r="G150" s="106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</row>
    <row r="151" ht="27.0" customHeight="1">
      <c r="A151" s="93"/>
      <c r="B151" s="93"/>
      <c r="C151" s="118"/>
      <c r="D151" s="103"/>
      <c r="E151" s="93"/>
      <c r="F151" s="93"/>
      <c r="G151" s="106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</row>
    <row r="152" ht="27.0" customHeight="1">
      <c r="A152" s="93"/>
      <c r="B152" s="93"/>
      <c r="C152" s="118"/>
      <c r="D152" s="103"/>
      <c r="E152" s="93"/>
      <c r="F152" s="93"/>
      <c r="G152" s="106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</row>
    <row r="153" ht="27.0" customHeight="1">
      <c r="A153" s="93"/>
      <c r="B153" s="93"/>
      <c r="C153" s="118"/>
      <c r="D153" s="103"/>
      <c r="E153" s="93"/>
      <c r="F153" s="93"/>
      <c r="G153" s="106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</row>
    <row r="154" ht="27.0" customHeight="1">
      <c r="A154" s="93"/>
      <c r="B154" s="93"/>
      <c r="C154" s="118"/>
      <c r="D154" s="103"/>
      <c r="E154" s="93"/>
      <c r="F154" s="93"/>
      <c r="G154" s="106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</row>
    <row r="155" ht="27.0" customHeight="1">
      <c r="A155" s="93"/>
      <c r="B155" s="93"/>
      <c r="C155" s="118"/>
      <c r="D155" s="103"/>
      <c r="E155" s="93"/>
      <c r="F155" s="93"/>
      <c r="G155" s="106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</row>
    <row r="156" ht="27.0" customHeight="1">
      <c r="A156" s="93"/>
      <c r="B156" s="93"/>
      <c r="C156" s="118"/>
      <c r="D156" s="103"/>
      <c r="E156" s="93"/>
      <c r="F156" s="93"/>
      <c r="G156" s="106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</row>
    <row r="157" ht="27.0" customHeight="1">
      <c r="A157" s="93"/>
      <c r="B157" s="93"/>
      <c r="C157" s="118"/>
      <c r="D157" s="103"/>
      <c r="E157" s="93"/>
      <c r="F157" s="93"/>
      <c r="G157" s="106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</row>
    <row r="158" ht="27.0" customHeight="1">
      <c r="A158" s="93"/>
      <c r="B158" s="93"/>
      <c r="C158" s="118"/>
      <c r="D158" s="103"/>
      <c r="E158" s="93"/>
      <c r="F158" s="93"/>
      <c r="G158" s="106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</row>
    <row r="159" ht="27.0" customHeight="1">
      <c r="A159" s="93"/>
      <c r="B159" s="93"/>
      <c r="C159" s="118"/>
      <c r="D159" s="103"/>
      <c r="E159" s="93"/>
      <c r="F159" s="93"/>
      <c r="G159" s="106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</row>
    <row r="160" ht="27.0" customHeight="1">
      <c r="A160" s="93"/>
      <c r="B160" s="93"/>
      <c r="C160" s="118"/>
      <c r="D160" s="103"/>
      <c r="E160" s="93"/>
      <c r="F160" s="93"/>
      <c r="G160" s="106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</row>
    <row r="161" ht="27.0" customHeight="1">
      <c r="A161" s="93"/>
      <c r="B161" s="93"/>
      <c r="C161" s="118"/>
      <c r="D161" s="103"/>
      <c r="E161" s="93"/>
      <c r="F161" s="93"/>
      <c r="G161" s="106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</row>
    <row r="162" ht="27.0" customHeight="1">
      <c r="A162" s="93"/>
      <c r="B162" s="93"/>
      <c r="C162" s="118"/>
      <c r="D162" s="103"/>
      <c r="E162" s="93"/>
      <c r="F162" s="93"/>
      <c r="G162" s="106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</row>
    <row r="163" ht="27.0" customHeight="1">
      <c r="A163" s="93"/>
      <c r="B163" s="93"/>
      <c r="C163" s="118"/>
      <c r="D163" s="103"/>
      <c r="E163" s="93"/>
      <c r="F163" s="93"/>
      <c r="G163" s="106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</row>
    <row r="164" ht="27.0" customHeight="1">
      <c r="A164" s="93"/>
      <c r="B164" s="93"/>
      <c r="C164" s="118"/>
      <c r="D164" s="103"/>
      <c r="E164" s="93"/>
      <c r="F164" s="93"/>
      <c r="G164" s="106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</row>
    <row r="165" ht="27.0" customHeight="1">
      <c r="A165" s="93"/>
      <c r="B165" s="93"/>
      <c r="C165" s="118"/>
      <c r="D165" s="103"/>
      <c r="E165" s="93"/>
      <c r="F165" s="93"/>
      <c r="G165" s="106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</row>
    <row r="166" ht="27.0" customHeight="1">
      <c r="A166" s="93"/>
      <c r="B166" s="93"/>
      <c r="C166" s="118"/>
      <c r="D166" s="103"/>
      <c r="E166" s="93"/>
      <c r="F166" s="93"/>
      <c r="G166" s="106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</row>
    <row r="167" ht="27.0" customHeight="1">
      <c r="A167" s="93"/>
      <c r="B167" s="93"/>
      <c r="C167" s="118"/>
      <c r="D167" s="103"/>
      <c r="E167" s="93"/>
      <c r="F167" s="93"/>
      <c r="G167" s="106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</row>
    <row r="168" ht="27.0" customHeight="1">
      <c r="A168" s="93"/>
      <c r="B168" s="93"/>
      <c r="C168" s="118"/>
      <c r="D168" s="103"/>
      <c r="E168" s="93"/>
      <c r="F168" s="93"/>
      <c r="G168" s="106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</row>
    <row r="169" ht="27.0" customHeight="1">
      <c r="A169" s="93"/>
      <c r="B169" s="93"/>
      <c r="C169" s="118"/>
      <c r="D169" s="103"/>
      <c r="E169" s="93"/>
      <c r="F169" s="93"/>
      <c r="G169" s="106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</row>
    <row r="170" ht="27.0" customHeight="1">
      <c r="A170" s="93"/>
      <c r="B170" s="93"/>
      <c r="C170" s="118"/>
      <c r="D170" s="103"/>
      <c r="E170" s="93"/>
      <c r="F170" s="93"/>
      <c r="G170" s="106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</row>
    <row r="171" ht="27.0" customHeight="1">
      <c r="A171" s="93"/>
      <c r="B171" s="93"/>
      <c r="C171" s="118"/>
      <c r="D171" s="103"/>
      <c r="E171" s="93"/>
      <c r="F171" s="93"/>
      <c r="G171" s="106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</row>
    <row r="172" ht="27.0" customHeight="1">
      <c r="A172" s="93"/>
      <c r="B172" s="93"/>
      <c r="C172" s="118"/>
      <c r="D172" s="103"/>
      <c r="E172" s="93"/>
      <c r="F172" s="93"/>
      <c r="G172" s="106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</row>
    <row r="173" ht="27.0" customHeight="1">
      <c r="A173" s="93"/>
      <c r="B173" s="93"/>
      <c r="C173" s="118"/>
      <c r="D173" s="103"/>
      <c r="E173" s="93"/>
      <c r="F173" s="93"/>
      <c r="G173" s="106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</row>
    <row r="174" ht="27.0" customHeight="1">
      <c r="A174" s="93"/>
      <c r="B174" s="93"/>
      <c r="C174" s="118"/>
      <c r="D174" s="103"/>
      <c r="E174" s="93"/>
      <c r="F174" s="93"/>
      <c r="G174" s="106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</row>
    <row r="175" ht="27.0" customHeight="1">
      <c r="A175" s="93"/>
      <c r="B175" s="93"/>
      <c r="C175" s="118"/>
      <c r="D175" s="103"/>
      <c r="E175" s="93"/>
      <c r="F175" s="93"/>
      <c r="G175" s="106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</row>
    <row r="176" ht="27.0" customHeight="1">
      <c r="A176" s="93"/>
      <c r="B176" s="93"/>
      <c r="C176" s="118"/>
      <c r="D176" s="103"/>
      <c r="E176" s="93"/>
      <c r="F176" s="93"/>
      <c r="G176" s="106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</row>
    <row r="177" ht="27.0" customHeight="1">
      <c r="A177" s="93"/>
      <c r="B177" s="93"/>
      <c r="C177" s="118"/>
      <c r="D177" s="103"/>
      <c r="E177" s="93"/>
      <c r="F177" s="93"/>
      <c r="G177" s="106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</row>
    <row r="178" ht="27.0" customHeight="1">
      <c r="A178" s="93"/>
      <c r="B178" s="93"/>
      <c r="C178" s="118"/>
      <c r="D178" s="103"/>
      <c r="E178" s="93"/>
      <c r="F178" s="93"/>
      <c r="G178" s="106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</row>
    <row r="179" ht="27.0" customHeight="1">
      <c r="A179" s="93"/>
      <c r="B179" s="93"/>
      <c r="C179" s="118"/>
      <c r="D179" s="103"/>
      <c r="E179" s="93"/>
      <c r="F179" s="93"/>
      <c r="G179" s="106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</row>
    <row r="180" ht="27.0" customHeight="1">
      <c r="A180" s="93"/>
      <c r="B180" s="93"/>
      <c r="C180" s="118"/>
      <c r="D180" s="103"/>
      <c r="E180" s="93"/>
      <c r="F180" s="93"/>
      <c r="G180" s="106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</row>
    <row r="181" ht="27.0" customHeight="1">
      <c r="A181" s="93"/>
      <c r="B181" s="93"/>
      <c r="C181" s="118"/>
      <c r="D181" s="103"/>
      <c r="E181" s="93"/>
      <c r="F181" s="93"/>
      <c r="G181" s="106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</row>
    <row r="182" ht="27.0" customHeight="1">
      <c r="A182" s="93"/>
      <c r="B182" s="93"/>
      <c r="C182" s="118"/>
      <c r="D182" s="103"/>
      <c r="E182" s="93"/>
      <c r="F182" s="93"/>
      <c r="G182" s="106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</row>
    <row r="183" ht="27.0" customHeight="1">
      <c r="A183" s="93"/>
      <c r="B183" s="93"/>
      <c r="C183" s="118"/>
      <c r="D183" s="103"/>
      <c r="E183" s="93"/>
      <c r="F183" s="93"/>
      <c r="G183" s="106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</row>
    <row r="184" ht="27.0" customHeight="1">
      <c r="A184" s="93"/>
      <c r="B184" s="93"/>
      <c r="C184" s="118"/>
      <c r="D184" s="103"/>
      <c r="E184" s="93"/>
      <c r="F184" s="93"/>
      <c r="G184" s="106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</row>
    <row r="185" ht="27.0" customHeight="1">
      <c r="A185" s="93"/>
      <c r="B185" s="93"/>
      <c r="C185" s="118"/>
      <c r="D185" s="103"/>
      <c r="E185" s="93"/>
      <c r="F185" s="93"/>
      <c r="G185" s="106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</row>
    <row r="186" ht="27.0" customHeight="1">
      <c r="A186" s="93"/>
      <c r="B186" s="93"/>
      <c r="C186" s="118"/>
      <c r="D186" s="103"/>
      <c r="E186" s="93"/>
      <c r="F186" s="93"/>
      <c r="G186" s="106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</row>
    <row r="187" ht="27.0" customHeight="1">
      <c r="A187" s="93"/>
      <c r="B187" s="93"/>
      <c r="C187" s="118"/>
      <c r="D187" s="103"/>
      <c r="E187" s="93"/>
      <c r="F187" s="93"/>
      <c r="G187" s="106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</row>
    <row r="188" ht="27.0" customHeight="1">
      <c r="A188" s="93"/>
      <c r="B188" s="93"/>
      <c r="C188" s="118"/>
      <c r="D188" s="103"/>
      <c r="E188" s="93"/>
      <c r="F188" s="93"/>
      <c r="G188" s="106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</row>
    <row r="189" ht="27.0" customHeight="1">
      <c r="A189" s="93"/>
      <c r="B189" s="93"/>
      <c r="C189" s="118"/>
      <c r="D189" s="103"/>
      <c r="E189" s="93"/>
      <c r="F189" s="93"/>
      <c r="G189" s="106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</row>
    <row r="190" ht="27.0" customHeight="1">
      <c r="A190" s="93"/>
      <c r="B190" s="93"/>
      <c r="C190" s="118"/>
      <c r="D190" s="103"/>
      <c r="E190" s="93"/>
      <c r="F190" s="93"/>
      <c r="G190" s="106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</row>
    <row r="191" ht="27.0" customHeight="1">
      <c r="A191" s="93"/>
      <c r="B191" s="93"/>
      <c r="C191" s="118"/>
      <c r="D191" s="103"/>
      <c r="E191" s="93"/>
      <c r="F191" s="93"/>
      <c r="G191" s="106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</row>
    <row r="192" ht="27.0" customHeight="1">
      <c r="A192" s="93"/>
      <c r="B192" s="93"/>
      <c r="C192" s="118"/>
      <c r="D192" s="103"/>
      <c r="E192" s="93"/>
      <c r="F192" s="93"/>
      <c r="G192" s="106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</row>
    <row r="193" ht="27.0" customHeight="1">
      <c r="A193" s="93"/>
      <c r="B193" s="93"/>
      <c r="C193" s="118"/>
      <c r="D193" s="103"/>
      <c r="E193" s="93"/>
      <c r="F193" s="93"/>
      <c r="G193" s="106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</row>
    <row r="194" ht="27.0" customHeight="1">
      <c r="A194" s="93"/>
      <c r="B194" s="93"/>
      <c r="C194" s="118"/>
      <c r="D194" s="103"/>
      <c r="E194" s="93"/>
      <c r="F194" s="93"/>
      <c r="G194" s="106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</row>
    <row r="195" ht="27.0" customHeight="1">
      <c r="A195" s="93"/>
      <c r="B195" s="93"/>
      <c r="C195" s="118"/>
      <c r="D195" s="103"/>
      <c r="E195" s="93"/>
      <c r="F195" s="93"/>
      <c r="G195" s="106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</row>
    <row r="196" ht="27.0" customHeight="1">
      <c r="A196" s="93"/>
      <c r="B196" s="93"/>
      <c r="C196" s="118"/>
      <c r="D196" s="103"/>
      <c r="E196" s="93"/>
      <c r="F196" s="93"/>
      <c r="G196" s="106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</row>
    <row r="197" ht="27.0" customHeight="1">
      <c r="A197" s="93"/>
      <c r="B197" s="93"/>
      <c r="C197" s="118"/>
      <c r="D197" s="103"/>
      <c r="E197" s="93"/>
      <c r="F197" s="93"/>
      <c r="G197" s="106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</row>
    <row r="198" ht="27.0" customHeight="1">
      <c r="A198" s="93"/>
      <c r="B198" s="93"/>
      <c r="C198" s="118"/>
      <c r="D198" s="103"/>
      <c r="E198" s="93"/>
      <c r="F198" s="93"/>
      <c r="G198" s="106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</row>
    <row r="199" ht="27.0" customHeight="1">
      <c r="A199" s="93"/>
      <c r="B199" s="93"/>
      <c r="C199" s="118"/>
      <c r="D199" s="103"/>
      <c r="E199" s="93"/>
      <c r="F199" s="93"/>
      <c r="G199" s="106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</row>
    <row r="200" ht="27.0" customHeight="1">
      <c r="A200" s="93"/>
      <c r="B200" s="93"/>
      <c r="C200" s="118"/>
      <c r="D200" s="103"/>
      <c r="E200" s="93"/>
      <c r="F200" s="93"/>
      <c r="G200" s="106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</row>
    <row r="201" ht="27.0" customHeight="1">
      <c r="A201" s="93"/>
      <c r="B201" s="93"/>
      <c r="C201" s="118"/>
      <c r="D201" s="103"/>
      <c r="E201" s="93"/>
      <c r="F201" s="93"/>
      <c r="G201" s="106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</row>
    <row r="202" ht="27.0" customHeight="1">
      <c r="A202" s="93"/>
      <c r="B202" s="93"/>
      <c r="C202" s="118"/>
      <c r="D202" s="103"/>
      <c r="E202" s="93"/>
      <c r="F202" s="93"/>
      <c r="G202" s="106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</row>
    <row r="203" ht="27.0" customHeight="1">
      <c r="A203" s="93"/>
      <c r="B203" s="93"/>
      <c r="C203" s="118"/>
      <c r="D203" s="103"/>
      <c r="E203" s="93"/>
      <c r="F203" s="93"/>
      <c r="G203" s="106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</row>
    <row r="204" ht="27.0" customHeight="1">
      <c r="A204" s="93"/>
      <c r="B204" s="93"/>
      <c r="C204" s="118"/>
      <c r="D204" s="103"/>
      <c r="E204" s="93"/>
      <c r="F204" s="93"/>
      <c r="G204" s="106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</row>
    <row r="205" ht="27.0" customHeight="1">
      <c r="A205" s="93"/>
      <c r="B205" s="93"/>
      <c r="C205" s="118"/>
      <c r="D205" s="103"/>
      <c r="E205" s="93"/>
      <c r="F205" s="93"/>
      <c r="G205" s="106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</row>
    <row r="206" ht="27.0" customHeight="1">
      <c r="A206" s="93"/>
      <c r="B206" s="93"/>
      <c r="C206" s="118"/>
      <c r="D206" s="103"/>
      <c r="E206" s="93"/>
      <c r="F206" s="93"/>
      <c r="G206" s="106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</row>
    <row r="207" ht="27.0" customHeight="1">
      <c r="A207" s="93"/>
      <c r="B207" s="93"/>
      <c r="C207" s="118"/>
      <c r="D207" s="103"/>
      <c r="E207" s="93"/>
      <c r="F207" s="93"/>
      <c r="G207" s="106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</row>
    <row r="208" ht="27.0" customHeight="1">
      <c r="A208" s="93"/>
      <c r="B208" s="93"/>
      <c r="C208" s="118"/>
      <c r="D208" s="103"/>
      <c r="E208" s="93"/>
      <c r="F208" s="93"/>
      <c r="G208" s="106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</row>
    <row r="209" ht="27.0" customHeight="1">
      <c r="A209" s="93"/>
      <c r="B209" s="93"/>
      <c r="C209" s="118"/>
      <c r="D209" s="103"/>
      <c r="E209" s="93"/>
      <c r="F209" s="93"/>
      <c r="G209" s="106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</row>
    <row r="210" ht="27.0" customHeight="1">
      <c r="A210" s="93"/>
      <c r="B210" s="93"/>
      <c r="C210" s="118"/>
      <c r="D210" s="103"/>
      <c r="E210" s="93"/>
      <c r="F210" s="93"/>
      <c r="G210" s="106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</row>
    <row r="211" ht="27.0" customHeight="1">
      <c r="A211" s="93"/>
      <c r="B211" s="93"/>
      <c r="C211" s="118"/>
      <c r="D211" s="103"/>
      <c r="E211" s="93"/>
      <c r="F211" s="93"/>
      <c r="G211" s="106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</row>
    <row r="212" ht="27.0" customHeight="1">
      <c r="A212" s="93"/>
      <c r="B212" s="93"/>
      <c r="C212" s="118"/>
      <c r="D212" s="103"/>
      <c r="E212" s="93"/>
      <c r="F212" s="93"/>
      <c r="G212" s="106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</row>
    <row r="213" ht="27.0" customHeight="1">
      <c r="A213" s="93"/>
      <c r="B213" s="93"/>
      <c r="C213" s="118"/>
      <c r="D213" s="103"/>
      <c r="E213" s="93"/>
      <c r="F213" s="93"/>
      <c r="G213" s="106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</row>
    <row r="214" ht="27.0" customHeight="1">
      <c r="A214" s="93"/>
      <c r="B214" s="93"/>
      <c r="C214" s="118"/>
      <c r="D214" s="103"/>
      <c r="E214" s="93"/>
      <c r="F214" s="93"/>
      <c r="G214" s="106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</row>
    <row r="215" ht="27.0" customHeight="1">
      <c r="A215" s="93"/>
      <c r="B215" s="93"/>
      <c r="C215" s="118"/>
      <c r="D215" s="103"/>
      <c r="E215" s="93"/>
      <c r="F215" s="93"/>
      <c r="G215" s="106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</row>
    <row r="216" ht="27.0" customHeight="1">
      <c r="A216" s="93"/>
      <c r="B216" s="93"/>
      <c r="C216" s="118"/>
      <c r="D216" s="103"/>
      <c r="E216" s="93"/>
      <c r="F216" s="93"/>
      <c r="G216" s="106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</row>
    <row r="217" ht="27.0" customHeight="1">
      <c r="A217" s="93"/>
      <c r="B217" s="93"/>
      <c r="C217" s="118"/>
      <c r="D217" s="103"/>
      <c r="E217" s="93"/>
      <c r="F217" s="93"/>
      <c r="G217" s="106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</row>
    <row r="218" ht="27.0" customHeight="1">
      <c r="A218" s="93"/>
      <c r="B218" s="93"/>
      <c r="C218" s="118"/>
      <c r="D218" s="103"/>
      <c r="E218" s="93"/>
      <c r="F218" s="93"/>
      <c r="G218" s="106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</row>
    <row r="219" ht="27.0" customHeight="1">
      <c r="A219" s="93"/>
      <c r="B219" s="93"/>
      <c r="C219" s="118"/>
      <c r="D219" s="103"/>
      <c r="E219" s="93"/>
      <c r="F219" s="93"/>
      <c r="G219" s="106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</row>
    <row r="220" ht="27.0" customHeight="1">
      <c r="A220" s="93"/>
      <c r="B220" s="93"/>
      <c r="C220" s="118"/>
      <c r="D220" s="103"/>
      <c r="E220" s="93"/>
      <c r="F220" s="93"/>
      <c r="G220" s="106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</row>
    <row r="221" ht="27.0" customHeight="1">
      <c r="A221" s="93"/>
      <c r="B221" s="93"/>
      <c r="C221" s="118"/>
      <c r="D221" s="103"/>
      <c r="E221" s="93"/>
      <c r="F221" s="93"/>
      <c r="G221" s="106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</row>
    <row r="222" ht="27.0" customHeight="1">
      <c r="A222" s="93"/>
      <c r="B222" s="93"/>
      <c r="C222" s="118"/>
      <c r="D222" s="103"/>
      <c r="E222" s="93"/>
      <c r="F222" s="93"/>
      <c r="G222" s="106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</row>
    <row r="223" ht="27.0" customHeight="1">
      <c r="A223" s="93"/>
      <c r="B223" s="93"/>
      <c r="C223" s="118"/>
      <c r="D223" s="103"/>
      <c r="E223" s="93"/>
      <c r="F223" s="93"/>
      <c r="G223" s="106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</row>
    <row r="224" ht="27.0" customHeight="1">
      <c r="A224" s="93"/>
      <c r="B224" s="93"/>
      <c r="C224" s="118"/>
      <c r="D224" s="103"/>
      <c r="E224" s="93"/>
      <c r="F224" s="93"/>
      <c r="G224" s="106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</row>
    <row r="225" ht="27.0" customHeight="1">
      <c r="A225" s="93"/>
      <c r="B225" s="93"/>
      <c r="C225" s="118"/>
      <c r="D225" s="103"/>
      <c r="E225" s="93"/>
      <c r="F225" s="93"/>
      <c r="G225" s="106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</row>
    <row r="226" ht="27.0" customHeight="1">
      <c r="A226" s="93"/>
      <c r="B226" s="93"/>
      <c r="C226" s="118"/>
      <c r="D226" s="103"/>
      <c r="E226" s="93"/>
      <c r="F226" s="93"/>
      <c r="G226" s="106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</row>
    <row r="227" ht="27.0" customHeight="1">
      <c r="A227" s="93"/>
      <c r="B227" s="93"/>
      <c r="C227" s="118"/>
      <c r="D227" s="103"/>
      <c r="E227" s="93"/>
      <c r="F227" s="93"/>
      <c r="G227" s="106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</row>
    <row r="228" ht="27.0" customHeight="1">
      <c r="A228" s="93"/>
      <c r="B228" s="93"/>
      <c r="C228" s="118"/>
      <c r="D228" s="103"/>
      <c r="E228" s="93"/>
      <c r="F228" s="93"/>
      <c r="G228" s="106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</row>
    <row r="229" ht="27.0" customHeight="1">
      <c r="A229" s="93"/>
      <c r="B229" s="93"/>
      <c r="C229" s="118"/>
      <c r="D229" s="103"/>
      <c r="E229" s="93"/>
      <c r="F229" s="93"/>
      <c r="G229" s="106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</row>
    <row r="230" ht="27.0" customHeight="1">
      <c r="A230" s="93"/>
      <c r="B230" s="93"/>
      <c r="C230" s="118"/>
      <c r="D230" s="103"/>
      <c r="E230" s="93"/>
      <c r="F230" s="93"/>
      <c r="G230" s="106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</row>
    <row r="231" ht="27.0" customHeight="1">
      <c r="A231" s="93"/>
      <c r="B231" s="93"/>
      <c r="C231" s="118"/>
      <c r="D231" s="103"/>
      <c r="E231" s="93"/>
      <c r="F231" s="93"/>
      <c r="G231" s="106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</row>
    <row r="232" ht="27.0" customHeight="1">
      <c r="A232" s="93"/>
      <c r="B232" s="93"/>
      <c r="C232" s="118"/>
      <c r="D232" s="103"/>
      <c r="E232" s="93"/>
      <c r="F232" s="93"/>
      <c r="G232" s="106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</row>
    <row r="233" ht="27.0" customHeight="1">
      <c r="A233" s="93"/>
      <c r="B233" s="93"/>
      <c r="C233" s="118"/>
      <c r="D233" s="103"/>
      <c r="E233" s="93"/>
      <c r="F233" s="93"/>
      <c r="G233" s="106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</row>
    <row r="234" ht="27.0" customHeight="1">
      <c r="A234" s="93"/>
      <c r="B234" s="93"/>
      <c r="C234" s="118"/>
      <c r="D234" s="103"/>
      <c r="E234" s="93"/>
      <c r="F234" s="93"/>
      <c r="G234" s="106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</row>
    <row r="235" ht="27.0" customHeight="1">
      <c r="A235" s="93"/>
      <c r="B235" s="93"/>
      <c r="C235" s="118"/>
      <c r="D235" s="103"/>
      <c r="E235" s="93"/>
      <c r="F235" s="93"/>
      <c r="G235" s="106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</row>
    <row r="236" ht="27.0" customHeight="1">
      <c r="A236" s="93"/>
      <c r="B236" s="93"/>
      <c r="C236" s="118"/>
      <c r="D236" s="103"/>
      <c r="E236" s="93"/>
      <c r="F236" s="93"/>
      <c r="G236" s="106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</row>
    <row r="237" ht="27.0" customHeight="1">
      <c r="A237" s="93"/>
      <c r="B237" s="93"/>
      <c r="C237" s="118"/>
      <c r="D237" s="103"/>
      <c r="E237" s="93"/>
      <c r="F237" s="93"/>
      <c r="G237" s="106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</row>
    <row r="238" ht="27.0" customHeight="1">
      <c r="A238" s="93"/>
      <c r="B238" s="93"/>
      <c r="C238" s="118"/>
      <c r="D238" s="103"/>
      <c r="E238" s="93"/>
      <c r="F238" s="93"/>
      <c r="G238" s="106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</row>
    <row r="239" ht="27.0" customHeight="1">
      <c r="A239" s="93"/>
      <c r="B239" s="93"/>
      <c r="C239" s="118"/>
      <c r="D239" s="103"/>
      <c r="E239" s="93"/>
      <c r="F239" s="93"/>
      <c r="G239" s="106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</row>
    <row r="240" ht="27.0" customHeight="1">
      <c r="A240" s="93"/>
      <c r="B240" s="93"/>
      <c r="C240" s="118"/>
      <c r="D240" s="103"/>
      <c r="E240" s="93"/>
      <c r="F240" s="93"/>
      <c r="G240" s="106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</row>
    <row r="241" ht="27.0" customHeight="1">
      <c r="A241" s="93"/>
      <c r="B241" s="93"/>
      <c r="C241" s="118"/>
      <c r="D241" s="103"/>
      <c r="E241" s="93"/>
      <c r="F241" s="93"/>
      <c r="G241" s="106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</row>
    <row r="242" ht="27.0" customHeight="1">
      <c r="A242" s="93"/>
      <c r="B242" s="93"/>
      <c r="C242" s="118"/>
      <c r="D242" s="103"/>
      <c r="E242" s="93"/>
      <c r="F242" s="93"/>
      <c r="G242" s="106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</row>
    <row r="243" ht="27.0" customHeight="1">
      <c r="A243" s="93"/>
      <c r="B243" s="93"/>
      <c r="C243" s="118"/>
      <c r="D243" s="103"/>
      <c r="E243" s="93"/>
      <c r="F243" s="93"/>
      <c r="G243" s="106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</row>
    <row r="244" ht="27.0" customHeight="1">
      <c r="A244" s="93"/>
      <c r="B244" s="93"/>
      <c r="C244" s="118"/>
      <c r="D244" s="103"/>
      <c r="E244" s="93"/>
      <c r="F244" s="93"/>
      <c r="G244" s="106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</row>
    <row r="245" ht="27.0" customHeight="1">
      <c r="A245" s="93"/>
      <c r="B245" s="93"/>
      <c r="C245" s="118"/>
      <c r="D245" s="103"/>
      <c r="E245" s="93"/>
      <c r="F245" s="93"/>
      <c r="G245" s="106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</row>
    <row r="246" ht="27.0" customHeight="1">
      <c r="A246" s="93"/>
      <c r="B246" s="93"/>
      <c r="C246" s="118"/>
      <c r="D246" s="103"/>
      <c r="E246" s="93"/>
      <c r="F246" s="93"/>
      <c r="G246" s="106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</row>
    <row r="247" ht="27.0" customHeight="1">
      <c r="A247" s="93"/>
      <c r="B247" s="93"/>
      <c r="C247" s="118"/>
      <c r="D247" s="103"/>
      <c r="E247" s="93"/>
      <c r="F247" s="93"/>
      <c r="G247" s="106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</row>
    <row r="248" ht="27.0" customHeight="1">
      <c r="A248" s="93"/>
      <c r="B248" s="93"/>
      <c r="C248" s="118"/>
      <c r="D248" s="103"/>
      <c r="E248" s="93"/>
      <c r="F248" s="93"/>
      <c r="G248" s="106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</row>
    <row r="249" ht="27.0" customHeight="1">
      <c r="A249" s="93"/>
      <c r="B249" s="93"/>
      <c r="C249" s="118"/>
      <c r="D249" s="103"/>
      <c r="E249" s="93"/>
      <c r="F249" s="93"/>
      <c r="G249" s="106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</row>
    <row r="250" ht="27.0" customHeight="1">
      <c r="A250" s="93"/>
      <c r="B250" s="93"/>
      <c r="C250" s="118"/>
      <c r="D250" s="103"/>
      <c r="E250" s="93"/>
      <c r="F250" s="93"/>
      <c r="G250" s="106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</row>
    <row r="251" ht="27.0" customHeight="1">
      <c r="A251" s="93"/>
      <c r="B251" s="93"/>
      <c r="C251" s="118"/>
      <c r="D251" s="103"/>
      <c r="E251" s="93"/>
      <c r="F251" s="93"/>
      <c r="G251" s="106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</row>
    <row r="252" ht="27.0" customHeight="1">
      <c r="A252" s="93"/>
      <c r="B252" s="93"/>
      <c r="C252" s="118"/>
      <c r="D252" s="103"/>
      <c r="E252" s="93"/>
      <c r="F252" s="93"/>
      <c r="G252" s="106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</row>
    <row r="253" ht="27.0" customHeight="1">
      <c r="A253" s="93"/>
      <c r="B253" s="93"/>
      <c r="C253" s="118"/>
      <c r="D253" s="103"/>
      <c r="E253" s="93"/>
      <c r="F253" s="93"/>
      <c r="G253" s="106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</row>
    <row r="254" ht="27.0" customHeight="1">
      <c r="A254" s="93"/>
      <c r="B254" s="93"/>
      <c r="C254" s="118"/>
      <c r="D254" s="103"/>
      <c r="E254" s="93"/>
      <c r="F254" s="93"/>
      <c r="G254" s="106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</row>
    <row r="255" ht="27.0" customHeight="1">
      <c r="A255" s="93"/>
      <c r="B255" s="93"/>
      <c r="C255" s="118"/>
      <c r="D255" s="103"/>
      <c r="E255" s="93"/>
      <c r="F255" s="93"/>
      <c r="G255" s="106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</row>
    <row r="256" ht="27.0" customHeight="1">
      <c r="A256" s="93"/>
      <c r="B256" s="93"/>
      <c r="C256" s="118"/>
      <c r="D256" s="103"/>
      <c r="E256" s="93"/>
      <c r="F256" s="93"/>
      <c r="G256" s="106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</row>
    <row r="257" ht="27.0" customHeight="1">
      <c r="A257" s="93"/>
      <c r="B257" s="93"/>
      <c r="C257" s="118"/>
      <c r="D257" s="103"/>
      <c r="E257" s="93"/>
      <c r="F257" s="93"/>
      <c r="G257" s="106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</row>
    <row r="258" ht="27.0" customHeight="1">
      <c r="A258" s="93"/>
      <c r="B258" s="93"/>
      <c r="C258" s="118"/>
      <c r="D258" s="103"/>
      <c r="E258" s="93"/>
      <c r="F258" s="93"/>
      <c r="G258" s="106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</row>
    <row r="259" ht="27.0" customHeight="1">
      <c r="A259" s="93"/>
      <c r="B259" s="93"/>
      <c r="C259" s="118"/>
      <c r="D259" s="103"/>
      <c r="E259" s="93"/>
      <c r="F259" s="93"/>
      <c r="G259" s="106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</row>
    <row r="260" ht="27.0" customHeight="1">
      <c r="A260" s="93"/>
      <c r="B260" s="93"/>
      <c r="C260" s="118"/>
      <c r="D260" s="103"/>
      <c r="E260" s="93"/>
      <c r="F260" s="93"/>
      <c r="G260" s="106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</row>
    <row r="261" ht="27.0" customHeight="1">
      <c r="A261" s="93"/>
      <c r="B261" s="93"/>
      <c r="C261" s="118"/>
      <c r="D261" s="103"/>
      <c r="E261" s="93"/>
      <c r="F261" s="93"/>
      <c r="G261" s="106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</row>
    <row r="262" ht="27.0" customHeight="1">
      <c r="A262" s="93"/>
      <c r="B262" s="93"/>
      <c r="C262" s="118"/>
      <c r="D262" s="103"/>
      <c r="E262" s="93"/>
      <c r="F262" s="93"/>
      <c r="G262" s="106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</row>
    <row r="263" ht="27.0" customHeight="1">
      <c r="A263" s="93"/>
      <c r="B263" s="93"/>
      <c r="C263" s="118"/>
      <c r="D263" s="103"/>
      <c r="E263" s="93"/>
      <c r="F263" s="93"/>
      <c r="G263" s="106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</row>
    <row r="264" ht="27.0" customHeight="1">
      <c r="A264" s="93"/>
      <c r="B264" s="93"/>
      <c r="C264" s="118"/>
      <c r="D264" s="103"/>
      <c r="E264" s="93"/>
      <c r="F264" s="93"/>
      <c r="G264" s="106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</row>
    <row r="265" ht="27.0" customHeight="1">
      <c r="A265" s="93"/>
      <c r="B265" s="93"/>
      <c r="C265" s="118"/>
      <c r="D265" s="103"/>
      <c r="E265" s="93"/>
      <c r="F265" s="93"/>
      <c r="G265" s="106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</row>
    <row r="266" ht="27.0" customHeight="1">
      <c r="A266" s="93"/>
      <c r="B266" s="93"/>
      <c r="C266" s="118"/>
      <c r="D266" s="103"/>
      <c r="E266" s="93"/>
      <c r="F266" s="93"/>
      <c r="G266" s="106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</row>
    <row r="267" ht="27.0" customHeight="1">
      <c r="A267" s="93"/>
      <c r="B267" s="93"/>
      <c r="C267" s="118"/>
      <c r="D267" s="103"/>
      <c r="E267" s="93"/>
      <c r="F267" s="93"/>
      <c r="G267" s="106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</row>
    <row r="268" ht="27.0" customHeight="1">
      <c r="A268" s="93"/>
      <c r="B268" s="93"/>
      <c r="C268" s="118"/>
      <c r="D268" s="103"/>
      <c r="E268" s="93"/>
      <c r="F268" s="93"/>
      <c r="G268" s="106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</row>
    <row r="269" ht="27.0" customHeight="1">
      <c r="A269" s="93"/>
      <c r="B269" s="93"/>
      <c r="C269" s="118"/>
      <c r="D269" s="103"/>
      <c r="E269" s="93"/>
      <c r="F269" s="93"/>
      <c r="G269" s="106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</row>
    <row r="270" ht="27.0" customHeight="1">
      <c r="A270" s="93"/>
      <c r="B270" s="93"/>
      <c r="C270" s="118"/>
      <c r="D270" s="103"/>
      <c r="E270" s="93"/>
      <c r="F270" s="93"/>
      <c r="G270" s="106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</row>
    <row r="271" ht="27.0" customHeight="1">
      <c r="A271" s="93"/>
      <c r="B271" s="93"/>
      <c r="C271" s="118"/>
      <c r="D271" s="103"/>
      <c r="E271" s="93"/>
      <c r="F271" s="93"/>
      <c r="G271" s="106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</row>
    <row r="272" ht="27.0" customHeight="1">
      <c r="A272" s="93"/>
      <c r="B272" s="93"/>
      <c r="C272" s="118"/>
      <c r="D272" s="103"/>
      <c r="E272" s="93"/>
      <c r="F272" s="93"/>
      <c r="G272" s="106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</row>
    <row r="273" ht="27.0" customHeight="1">
      <c r="A273" s="93"/>
      <c r="B273" s="93"/>
      <c r="C273" s="118"/>
      <c r="D273" s="103"/>
      <c r="E273" s="93"/>
      <c r="F273" s="93"/>
      <c r="G273" s="106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</row>
    <row r="274" ht="27.0" customHeight="1">
      <c r="A274" s="93"/>
      <c r="B274" s="93"/>
      <c r="C274" s="118"/>
      <c r="D274" s="103"/>
      <c r="E274" s="93"/>
      <c r="F274" s="93"/>
      <c r="G274" s="106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</row>
    <row r="275" ht="27.0" customHeight="1">
      <c r="A275" s="93"/>
      <c r="B275" s="93"/>
      <c r="C275" s="118"/>
      <c r="D275" s="103"/>
      <c r="E275" s="93"/>
      <c r="F275" s="93"/>
      <c r="G275" s="106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</row>
    <row r="276" ht="27.0" customHeight="1">
      <c r="A276" s="93"/>
      <c r="B276" s="93"/>
      <c r="C276" s="118"/>
      <c r="D276" s="103"/>
      <c r="E276" s="93"/>
      <c r="F276" s="93"/>
      <c r="G276" s="106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</row>
    <row r="277" ht="27.0" customHeight="1">
      <c r="A277" s="93"/>
      <c r="B277" s="93"/>
      <c r="C277" s="118"/>
      <c r="D277" s="103"/>
      <c r="E277" s="93"/>
      <c r="F277" s="93"/>
      <c r="G277" s="106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</row>
    <row r="278" ht="27.0" customHeight="1">
      <c r="A278" s="93"/>
      <c r="B278" s="93"/>
      <c r="C278" s="118"/>
      <c r="D278" s="103"/>
      <c r="E278" s="93"/>
      <c r="F278" s="93"/>
      <c r="G278" s="106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</row>
    <row r="279" ht="27.0" customHeight="1">
      <c r="A279" s="93"/>
      <c r="B279" s="93"/>
      <c r="C279" s="118"/>
      <c r="D279" s="103"/>
      <c r="E279" s="93"/>
      <c r="F279" s="93"/>
      <c r="G279" s="106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</row>
    <row r="280" ht="27.0" customHeight="1">
      <c r="A280" s="93"/>
      <c r="B280" s="93"/>
      <c r="C280" s="118"/>
      <c r="D280" s="103"/>
      <c r="E280" s="93"/>
      <c r="F280" s="93"/>
      <c r="G280" s="106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</row>
    <row r="281" ht="27.0" customHeight="1">
      <c r="A281" s="93"/>
      <c r="B281" s="93"/>
      <c r="C281" s="118"/>
      <c r="D281" s="103"/>
      <c r="E281" s="93"/>
      <c r="F281" s="93"/>
      <c r="G281" s="106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</row>
    <row r="282" ht="27.0" customHeight="1">
      <c r="A282" s="93"/>
      <c r="B282" s="93"/>
      <c r="C282" s="118"/>
      <c r="D282" s="103"/>
      <c r="E282" s="93"/>
      <c r="F282" s="93"/>
      <c r="G282" s="106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</row>
    <row r="283" ht="27.0" customHeight="1">
      <c r="A283" s="93"/>
      <c r="B283" s="93"/>
      <c r="C283" s="118"/>
      <c r="D283" s="103"/>
      <c r="E283" s="93"/>
      <c r="F283" s="93"/>
      <c r="G283" s="106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</row>
    <row r="284" ht="27.0" customHeight="1">
      <c r="A284" s="93"/>
      <c r="B284" s="93"/>
      <c r="C284" s="118"/>
      <c r="D284" s="103"/>
      <c r="E284" s="93"/>
      <c r="F284" s="93"/>
      <c r="G284" s="106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</row>
    <row r="285" ht="27.0" customHeight="1">
      <c r="A285" s="93"/>
      <c r="B285" s="93"/>
      <c r="C285" s="118"/>
      <c r="D285" s="103"/>
      <c r="E285" s="93"/>
      <c r="F285" s="93"/>
      <c r="G285" s="106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</row>
    <row r="286" ht="27.0" customHeight="1">
      <c r="A286" s="93"/>
      <c r="B286" s="93"/>
      <c r="C286" s="118"/>
      <c r="D286" s="103"/>
      <c r="E286" s="93"/>
      <c r="F286" s="93"/>
      <c r="G286" s="106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</row>
    <row r="287" ht="27.0" customHeight="1">
      <c r="A287" s="93"/>
      <c r="B287" s="93"/>
      <c r="C287" s="118"/>
      <c r="D287" s="103"/>
      <c r="E287" s="93"/>
      <c r="F287" s="93"/>
      <c r="G287" s="106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</row>
    <row r="288" ht="27.0" customHeight="1">
      <c r="A288" s="93"/>
      <c r="B288" s="93"/>
      <c r="C288" s="118"/>
      <c r="D288" s="103"/>
      <c r="E288" s="93"/>
      <c r="F288" s="93"/>
      <c r="G288" s="106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</row>
    <row r="289" ht="27.0" customHeight="1">
      <c r="A289" s="93"/>
      <c r="B289" s="93"/>
      <c r="C289" s="118"/>
      <c r="D289" s="103"/>
      <c r="E289" s="93"/>
      <c r="F289" s="93"/>
      <c r="G289" s="106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</row>
    <row r="290" ht="27.0" customHeight="1">
      <c r="A290" s="93"/>
      <c r="B290" s="93"/>
      <c r="C290" s="118"/>
      <c r="D290" s="103"/>
      <c r="E290" s="93"/>
      <c r="F290" s="93"/>
      <c r="G290" s="106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</row>
    <row r="291" ht="27.0" customHeight="1">
      <c r="A291" s="93"/>
      <c r="B291" s="93"/>
      <c r="C291" s="118"/>
      <c r="D291" s="103"/>
      <c r="E291" s="93"/>
      <c r="F291" s="93"/>
      <c r="G291" s="106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</row>
    <row r="292" ht="27.0" customHeight="1">
      <c r="A292" s="93"/>
      <c r="B292" s="93"/>
      <c r="C292" s="118"/>
      <c r="D292" s="103"/>
      <c r="E292" s="93"/>
      <c r="F292" s="93"/>
      <c r="G292" s="106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</row>
    <row r="293" ht="27.0" customHeight="1">
      <c r="A293" s="93"/>
      <c r="B293" s="93"/>
      <c r="C293" s="118"/>
      <c r="D293" s="103"/>
      <c r="E293" s="93"/>
      <c r="F293" s="93"/>
      <c r="G293" s="106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</row>
    <row r="294" ht="27.0" customHeight="1">
      <c r="A294" s="93"/>
      <c r="B294" s="93"/>
      <c r="C294" s="118"/>
      <c r="D294" s="103"/>
      <c r="E294" s="93"/>
      <c r="F294" s="93"/>
      <c r="G294" s="106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</row>
    <row r="295" ht="27.0" customHeight="1">
      <c r="A295" s="93"/>
      <c r="B295" s="93"/>
      <c r="C295" s="118"/>
      <c r="D295" s="103"/>
      <c r="E295" s="93"/>
      <c r="F295" s="93"/>
      <c r="G295" s="106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</row>
    <row r="296" ht="27.0" customHeight="1">
      <c r="A296" s="93"/>
      <c r="B296" s="93"/>
      <c r="C296" s="118"/>
      <c r="D296" s="103"/>
      <c r="E296" s="93"/>
      <c r="F296" s="93"/>
      <c r="G296" s="106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</row>
    <row r="297" ht="27.0" customHeight="1">
      <c r="A297" s="93"/>
      <c r="B297" s="93"/>
      <c r="C297" s="118"/>
      <c r="D297" s="103"/>
      <c r="E297" s="93"/>
      <c r="F297" s="93"/>
      <c r="G297" s="106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</row>
    <row r="298" ht="27.0" customHeight="1">
      <c r="A298" s="93"/>
      <c r="B298" s="93"/>
      <c r="C298" s="118"/>
      <c r="D298" s="103"/>
      <c r="E298" s="93"/>
      <c r="F298" s="93"/>
      <c r="G298" s="106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</row>
    <row r="299" ht="27.0" customHeight="1">
      <c r="A299" s="93"/>
      <c r="B299" s="93"/>
      <c r="C299" s="118"/>
      <c r="D299" s="103"/>
      <c r="E299" s="93"/>
      <c r="F299" s="93"/>
      <c r="G299" s="106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</row>
    <row r="300" ht="27.0" customHeight="1">
      <c r="A300" s="93"/>
      <c r="B300" s="93"/>
      <c r="C300" s="118"/>
      <c r="D300" s="103"/>
      <c r="E300" s="93"/>
      <c r="F300" s="93"/>
      <c r="G300" s="106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</row>
    <row r="301" ht="27.0" customHeight="1">
      <c r="A301" s="93"/>
      <c r="B301" s="93"/>
      <c r="C301" s="118"/>
      <c r="D301" s="103"/>
      <c r="E301" s="93"/>
      <c r="F301" s="93"/>
      <c r="G301" s="106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</row>
    <row r="302" ht="27.0" customHeight="1">
      <c r="A302" s="93"/>
      <c r="B302" s="93"/>
      <c r="C302" s="118"/>
      <c r="D302" s="103"/>
      <c r="E302" s="93"/>
      <c r="F302" s="93"/>
      <c r="G302" s="106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</row>
    <row r="303" ht="27.0" customHeight="1">
      <c r="A303" s="93"/>
      <c r="B303" s="93"/>
      <c r="C303" s="118"/>
      <c r="D303" s="103"/>
      <c r="E303" s="93"/>
      <c r="F303" s="93"/>
      <c r="G303" s="106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</row>
    <row r="304" ht="27.0" customHeight="1">
      <c r="A304" s="93"/>
      <c r="B304" s="93"/>
      <c r="C304" s="118"/>
      <c r="D304" s="103"/>
      <c r="E304" s="93"/>
      <c r="F304" s="93"/>
      <c r="G304" s="106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</row>
    <row r="305" ht="27.0" customHeight="1">
      <c r="A305" s="93"/>
      <c r="B305" s="93"/>
      <c r="C305" s="118"/>
      <c r="D305" s="103"/>
      <c r="E305" s="93"/>
      <c r="F305" s="93"/>
      <c r="G305" s="106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</row>
    <row r="306" ht="27.0" customHeight="1">
      <c r="A306" s="93"/>
      <c r="B306" s="93"/>
      <c r="C306" s="118"/>
      <c r="D306" s="103"/>
      <c r="E306" s="93"/>
      <c r="F306" s="93"/>
      <c r="G306" s="106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</row>
    <row r="307" ht="27.0" customHeight="1">
      <c r="A307" s="93"/>
      <c r="B307" s="93"/>
      <c r="C307" s="118"/>
      <c r="D307" s="103"/>
      <c r="E307" s="93"/>
      <c r="F307" s="93"/>
      <c r="G307" s="106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</row>
    <row r="308" ht="27.0" customHeight="1">
      <c r="A308" s="93"/>
      <c r="B308" s="93"/>
      <c r="C308" s="118"/>
      <c r="D308" s="103"/>
      <c r="E308" s="93"/>
      <c r="F308" s="93"/>
      <c r="G308" s="106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</row>
    <row r="309" ht="27.0" customHeight="1">
      <c r="A309" s="93"/>
      <c r="B309" s="93"/>
      <c r="C309" s="118"/>
      <c r="D309" s="103"/>
      <c r="E309" s="93"/>
      <c r="F309" s="93"/>
      <c r="G309" s="106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</row>
    <row r="310" ht="27.0" customHeight="1">
      <c r="A310" s="93"/>
      <c r="B310" s="93"/>
      <c r="C310" s="118"/>
      <c r="D310" s="103"/>
      <c r="E310" s="93"/>
      <c r="F310" s="93"/>
      <c r="G310" s="106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</row>
    <row r="311" ht="27.0" customHeight="1">
      <c r="A311" s="93"/>
      <c r="B311" s="93"/>
      <c r="C311" s="118"/>
      <c r="D311" s="103"/>
      <c r="E311" s="93"/>
      <c r="F311" s="93"/>
      <c r="G311" s="106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</row>
    <row r="312" ht="27.0" customHeight="1">
      <c r="A312" s="93"/>
      <c r="B312" s="93"/>
      <c r="C312" s="118"/>
      <c r="D312" s="103"/>
      <c r="E312" s="93"/>
      <c r="F312" s="93"/>
      <c r="G312" s="106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</row>
    <row r="313" ht="27.0" customHeight="1">
      <c r="A313" s="93"/>
      <c r="B313" s="93"/>
      <c r="C313" s="118"/>
      <c r="D313" s="103"/>
      <c r="E313" s="93"/>
      <c r="F313" s="93"/>
      <c r="G313" s="106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</row>
    <row r="314" ht="27.0" customHeight="1">
      <c r="A314" s="93"/>
      <c r="B314" s="93"/>
      <c r="C314" s="118"/>
      <c r="D314" s="103"/>
      <c r="E314" s="93"/>
      <c r="F314" s="93"/>
      <c r="G314" s="106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</row>
    <row r="315" ht="27.0" customHeight="1">
      <c r="A315" s="93"/>
      <c r="B315" s="93"/>
      <c r="C315" s="118"/>
      <c r="D315" s="103"/>
      <c r="E315" s="93"/>
      <c r="F315" s="93"/>
      <c r="G315" s="106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</row>
    <row r="316" ht="27.0" customHeight="1">
      <c r="A316" s="93"/>
      <c r="B316" s="93"/>
      <c r="C316" s="118"/>
      <c r="D316" s="103"/>
      <c r="E316" s="93"/>
      <c r="F316" s="93"/>
      <c r="G316" s="106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</row>
    <row r="317" ht="27.0" customHeight="1">
      <c r="A317" s="93"/>
      <c r="B317" s="93"/>
      <c r="C317" s="118"/>
      <c r="D317" s="103"/>
      <c r="E317" s="93"/>
      <c r="F317" s="93"/>
      <c r="G317" s="106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</row>
    <row r="318" ht="27.0" customHeight="1">
      <c r="A318" s="93"/>
      <c r="B318" s="93"/>
      <c r="C318" s="118"/>
      <c r="D318" s="103"/>
      <c r="E318" s="93"/>
      <c r="F318" s="93"/>
      <c r="G318" s="106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</row>
    <row r="319" ht="27.0" customHeight="1">
      <c r="A319" s="93"/>
      <c r="B319" s="93"/>
      <c r="C319" s="118"/>
      <c r="D319" s="103"/>
      <c r="E319" s="93"/>
      <c r="F319" s="93"/>
      <c r="G319" s="106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</row>
    <row r="320" ht="27.0" customHeight="1">
      <c r="A320" s="93"/>
      <c r="B320" s="93"/>
      <c r="C320" s="118"/>
      <c r="D320" s="103"/>
      <c r="E320" s="93"/>
      <c r="F320" s="93"/>
      <c r="G320" s="106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</row>
    <row r="321" ht="27.0" customHeight="1">
      <c r="A321" s="93"/>
      <c r="B321" s="93"/>
      <c r="C321" s="118"/>
      <c r="D321" s="103"/>
      <c r="E321" s="93"/>
      <c r="F321" s="93"/>
      <c r="G321" s="106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</row>
    <row r="322" ht="27.0" customHeight="1">
      <c r="A322" s="93"/>
      <c r="B322" s="93"/>
      <c r="C322" s="118"/>
      <c r="D322" s="103"/>
      <c r="E322" s="93"/>
      <c r="F322" s="93"/>
      <c r="G322" s="106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</row>
    <row r="323" ht="27.0" customHeight="1">
      <c r="A323" s="93"/>
      <c r="B323" s="93"/>
      <c r="C323" s="118"/>
      <c r="D323" s="103"/>
      <c r="E323" s="93"/>
      <c r="F323" s="93"/>
      <c r="G323" s="106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</row>
    <row r="324" ht="27.0" customHeight="1">
      <c r="A324" s="93"/>
      <c r="B324" s="93"/>
      <c r="C324" s="118"/>
      <c r="D324" s="103"/>
      <c r="E324" s="93"/>
      <c r="F324" s="93"/>
      <c r="G324" s="106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</row>
    <row r="325" ht="27.0" customHeight="1">
      <c r="A325" s="93"/>
      <c r="B325" s="93"/>
      <c r="C325" s="118"/>
      <c r="D325" s="103"/>
      <c r="E325" s="93"/>
      <c r="F325" s="93"/>
      <c r="G325" s="106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</row>
    <row r="326" ht="27.0" customHeight="1">
      <c r="A326" s="93"/>
      <c r="B326" s="93"/>
      <c r="C326" s="118"/>
      <c r="D326" s="103"/>
      <c r="E326" s="93"/>
      <c r="F326" s="93"/>
      <c r="G326" s="106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</row>
    <row r="327" ht="27.0" customHeight="1">
      <c r="A327" s="93"/>
      <c r="B327" s="93"/>
      <c r="C327" s="118"/>
      <c r="D327" s="103"/>
      <c r="E327" s="93"/>
      <c r="F327" s="93"/>
      <c r="G327" s="106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</row>
    <row r="328" ht="27.0" customHeight="1">
      <c r="A328" s="93"/>
      <c r="B328" s="93"/>
      <c r="C328" s="118"/>
      <c r="D328" s="103"/>
      <c r="E328" s="93"/>
      <c r="F328" s="93"/>
      <c r="G328" s="106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</row>
    <row r="329" ht="27.0" customHeight="1">
      <c r="A329" s="93"/>
      <c r="B329" s="93"/>
      <c r="C329" s="118"/>
      <c r="D329" s="103"/>
      <c r="E329" s="93"/>
      <c r="F329" s="93"/>
      <c r="G329" s="106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</row>
    <row r="330" ht="27.0" customHeight="1">
      <c r="A330" s="93"/>
      <c r="B330" s="93"/>
      <c r="C330" s="118"/>
      <c r="D330" s="103"/>
      <c r="E330" s="93"/>
      <c r="F330" s="93"/>
      <c r="G330" s="106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</row>
    <row r="331" ht="27.0" customHeight="1">
      <c r="A331" s="93"/>
      <c r="B331" s="93"/>
      <c r="C331" s="118"/>
      <c r="D331" s="103"/>
      <c r="E331" s="93"/>
      <c r="F331" s="93"/>
      <c r="G331" s="106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</row>
    <row r="332" ht="27.0" customHeight="1">
      <c r="A332" s="93"/>
      <c r="B332" s="93"/>
      <c r="C332" s="118"/>
      <c r="D332" s="103"/>
      <c r="E332" s="93"/>
      <c r="F332" s="93"/>
      <c r="G332" s="106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</row>
    <row r="333" ht="27.0" customHeight="1">
      <c r="A333" s="93"/>
      <c r="B333" s="93"/>
      <c r="C333" s="118"/>
      <c r="D333" s="103"/>
      <c r="E333" s="93"/>
      <c r="F333" s="93"/>
      <c r="G333" s="106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</row>
    <row r="334" ht="27.0" customHeight="1">
      <c r="A334" s="93"/>
      <c r="B334" s="93"/>
      <c r="C334" s="118"/>
      <c r="D334" s="103"/>
      <c r="E334" s="93"/>
      <c r="F334" s="93"/>
      <c r="G334" s="106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</row>
    <row r="335" ht="27.0" customHeight="1">
      <c r="A335" s="93"/>
      <c r="B335" s="93"/>
      <c r="C335" s="118"/>
      <c r="D335" s="103"/>
      <c r="E335" s="93"/>
      <c r="F335" s="93"/>
      <c r="G335" s="106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</row>
    <row r="336" ht="27.0" customHeight="1">
      <c r="A336" s="93"/>
      <c r="B336" s="93"/>
      <c r="C336" s="118"/>
      <c r="D336" s="103"/>
      <c r="E336" s="93"/>
      <c r="F336" s="93"/>
      <c r="G336" s="106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</row>
    <row r="337" ht="27.0" customHeight="1">
      <c r="A337" s="93"/>
      <c r="B337" s="93"/>
      <c r="C337" s="118"/>
      <c r="D337" s="103"/>
      <c r="E337" s="93"/>
      <c r="F337" s="93"/>
      <c r="G337" s="106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</row>
    <row r="338" ht="27.0" customHeight="1">
      <c r="A338" s="93"/>
      <c r="B338" s="93"/>
      <c r="C338" s="118"/>
      <c r="D338" s="103"/>
      <c r="E338" s="93"/>
      <c r="F338" s="93"/>
      <c r="G338" s="106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</row>
    <row r="339" ht="27.0" customHeight="1">
      <c r="A339" s="93"/>
      <c r="B339" s="93"/>
      <c r="C339" s="118"/>
      <c r="D339" s="103"/>
      <c r="E339" s="93"/>
      <c r="F339" s="93"/>
      <c r="G339" s="106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</row>
    <row r="340" ht="27.0" customHeight="1">
      <c r="A340" s="93"/>
      <c r="B340" s="93"/>
      <c r="C340" s="118"/>
      <c r="D340" s="103"/>
      <c r="E340" s="93"/>
      <c r="F340" s="93"/>
      <c r="G340" s="106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</row>
    <row r="341" ht="27.0" customHeight="1">
      <c r="A341" s="93"/>
      <c r="B341" s="93"/>
      <c r="C341" s="118"/>
      <c r="D341" s="103"/>
      <c r="E341" s="93"/>
      <c r="F341" s="93"/>
      <c r="G341" s="106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</row>
    <row r="342" ht="27.0" customHeight="1">
      <c r="A342" s="93"/>
      <c r="B342" s="93"/>
      <c r="C342" s="118"/>
      <c r="D342" s="103"/>
      <c r="E342" s="93"/>
      <c r="F342" s="93"/>
      <c r="G342" s="106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</row>
    <row r="343" ht="27.0" customHeight="1">
      <c r="A343" s="93"/>
      <c r="B343" s="93"/>
      <c r="C343" s="118"/>
      <c r="D343" s="103"/>
      <c r="E343" s="93"/>
      <c r="F343" s="93"/>
      <c r="G343" s="106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</row>
    <row r="344" ht="27.0" customHeight="1">
      <c r="A344" s="93"/>
      <c r="B344" s="93"/>
      <c r="C344" s="118"/>
      <c r="D344" s="103"/>
      <c r="E344" s="93"/>
      <c r="F344" s="93"/>
      <c r="G344" s="106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</row>
    <row r="345" ht="27.0" customHeight="1">
      <c r="A345" s="93"/>
      <c r="B345" s="93"/>
      <c r="C345" s="118"/>
      <c r="D345" s="103"/>
      <c r="E345" s="93"/>
      <c r="F345" s="93"/>
      <c r="G345" s="106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</row>
    <row r="346" ht="27.0" customHeight="1">
      <c r="A346" s="93"/>
      <c r="B346" s="93"/>
      <c r="C346" s="118"/>
      <c r="D346" s="103"/>
      <c r="E346" s="93"/>
      <c r="F346" s="93"/>
      <c r="G346" s="106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</row>
    <row r="347" ht="27.0" customHeight="1">
      <c r="A347" s="93"/>
      <c r="B347" s="93"/>
      <c r="C347" s="118"/>
      <c r="D347" s="103"/>
      <c r="E347" s="93"/>
      <c r="F347" s="93"/>
      <c r="G347" s="106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</row>
    <row r="348" ht="27.0" customHeight="1">
      <c r="A348" s="93"/>
      <c r="B348" s="93"/>
      <c r="C348" s="118"/>
      <c r="D348" s="103"/>
      <c r="E348" s="93"/>
      <c r="F348" s="93"/>
      <c r="G348" s="106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</row>
    <row r="349" ht="27.0" customHeight="1">
      <c r="A349" s="93"/>
      <c r="B349" s="93"/>
      <c r="C349" s="118"/>
      <c r="D349" s="103"/>
      <c r="E349" s="93"/>
      <c r="F349" s="93"/>
      <c r="G349" s="106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</row>
    <row r="350" ht="27.0" customHeight="1">
      <c r="A350" s="93"/>
      <c r="B350" s="93"/>
      <c r="C350" s="118"/>
      <c r="D350" s="103"/>
      <c r="E350" s="93"/>
      <c r="F350" s="93"/>
      <c r="G350" s="106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</row>
    <row r="351" ht="27.0" customHeight="1">
      <c r="A351" s="93"/>
      <c r="B351" s="93"/>
      <c r="C351" s="118"/>
      <c r="D351" s="103"/>
      <c r="E351" s="93"/>
      <c r="F351" s="93"/>
      <c r="G351" s="106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</row>
    <row r="352" ht="27.0" customHeight="1">
      <c r="A352" s="93"/>
      <c r="B352" s="93"/>
      <c r="C352" s="118"/>
      <c r="D352" s="103"/>
      <c r="E352" s="93"/>
      <c r="F352" s="93"/>
      <c r="G352" s="106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</row>
    <row r="353" ht="27.0" customHeight="1">
      <c r="A353" s="93"/>
      <c r="B353" s="93"/>
      <c r="C353" s="118"/>
      <c r="D353" s="103"/>
      <c r="E353" s="93"/>
      <c r="F353" s="93"/>
      <c r="G353" s="106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</row>
    <row r="354" ht="27.0" customHeight="1">
      <c r="A354" s="93"/>
      <c r="B354" s="93"/>
      <c r="C354" s="118"/>
      <c r="D354" s="103"/>
      <c r="E354" s="93"/>
      <c r="F354" s="93"/>
      <c r="G354" s="106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</row>
    <row r="355" ht="27.0" customHeight="1">
      <c r="A355" s="93"/>
      <c r="B355" s="93"/>
      <c r="C355" s="118"/>
      <c r="D355" s="103"/>
      <c r="E355" s="93"/>
      <c r="F355" s="93"/>
      <c r="G355" s="106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</row>
    <row r="356" ht="27.0" customHeight="1">
      <c r="A356" s="93"/>
      <c r="B356" s="93"/>
      <c r="C356" s="118"/>
      <c r="D356" s="103"/>
      <c r="E356" s="93"/>
      <c r="F356" s="93"/>
      <c r="G356" s="106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</row>
    <row r="357" ht="27.0" customHeight="1">
      <c r="A357" s="93"/>
      <c r="B357" s="93"/>
      <c r="C357" s="118"/>
      <c r="D357" s="103"/>
      <c r="E357" s="93"/>
      <c r="F357" s="93"/>
      <c r="G357" s="106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</row>
    <row r="358" ht="27.0" customHeight="1">
      <c r="A358" s="93"/>
      <c r="B358" s="93"/>
      <c r="C358" s="118"/>
      <c r="D358" s="103"/>
      <c r="E358" s="93"/>
      <c r="F358" s="93"/>
      <c r="G358" s="106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</row>
    <row r="359" ht="27.0" customHeight="1">
      <c r="A359" s="93"/>
      <c r="B359" s="93"/>
      <c r="C359" s="118"/>
      <c r="D359" s="103"/>
      <c r="E359" s="93"/>
      <c r="F359" s="93"/>
      <c r="G359" s="106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</row>
    <row r="360" ht="27.0" customHeight="1">
      <c r="A360" s="93"/>
      <c r="B360" s="93"/>
      <c r="C360" s="118"/>
      <c r="D360" s="103"/>
      <c r="E360" s="93"/>
      <c r="F360" s="93"/>
      <c r="G360" s="106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</row>
    <row r="361" ht="27.0" customHeight="1">
      <c r="A361" s="93"/>
      <c r="B361" s="93"/>
      <c r="C361" s="118"/>
      <c r="D361" s="103"/>
      <c r="E361" s="93"/>
      <c r="F361" s="93"/>
      <c r="G361" s="106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</row>
    <row r="362" ht="27.0" customHeight="1">
      <c r="A362" s="93"/>
      <c r="B362" s="93"/>
      <c r="C362" s="118"/>
      <c r="D362" s="103"/>
      <c r="E362" s="93"/>
      <c r="F362" s="93"/>
      <c r="G362" s="106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</row>
    <row r="363" ht="27.0" customHeight="1">
      <c r="A363" s="93"/>
      <c r="B363" s="93"/>
      <c r="C363" s="118"/>
      <c r="D363" s="103"/>
      <c r="E363" s="93"/>
      <c r="F363" s="93"/>
      <c r="G363" s="106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</row>
    <row r="364" ht="27.0" customHeight="1">
      <c r="A364" s="93"/>
      <c r="B364" s="93"/>
      <c r="C364" s="118"/>
      <c r="D364" s="103"/>
      <c r="E364" s="93"/>
      <c r="F364" s="93"/>
      <c r="G364" s="106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</row>
    <row r="365" ht="27.0" customHeight="1">
      <c r="A365" s="93"/>
      <c r="B365" s="93"/>
      <c r="C365" s="118"/>
      <c r="D365" s="103"/>
      <c r="E365" s="93"/>
      <c r="F365" s="93"/>
      <c r="G365" s="106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</row>
    <row r="366" ht="27.0" customHeight="1">
      <c r="A366" s="93"/>
      <c r="B366" s="93"/>
      <c r="C366" s="118"/>
      <c r="D366" s="103"/>
      <c r="E366" s="93"/>
      <c r="F366" s="93"/>
      <c r="G366" s="106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</row>
    <row r="367" ht="27.0" customHeight="1">
      <c r="A367" s="93"/>
      <c r="B367" s="93"/>
      <c r="C367" s="118"/>
      <c r="D367" s="103"/>
      <c r="E367" s="93"/>
      <c r="F367" s="93"/>
      <c r="G367" s="106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</row>
    <row r="368" ht="27.0" customHeight="1">
      <c r="A368" s="93"/>
      <c r="B368" s="93"/>
      <c r="C368" s="118"/>
      <c r="D368" s="103"/>
      <c r="E368" s="93"/>
      <c r="F368" s="93"/>
      <c r="G368" s="106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</row>
    <row r="369" ht="27.0" customHeight="1">
      <c r="A369" s="93"/>
      <c r="B369" s="93"/>
      <c r="C369" s="118"/>
      <c r="D369" s="103"/>
      <c r="E369" s="93"/>
      <c r="F369" s="93"/>
      <c r="G369" s="106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</row>
    <row r="370" ht="27.0" customHeight="1">
      <c r="A370" s="93"/>
      <c r="B370" s="93"/>
      <c r="C370" s="118"/>
      <c r="D370" s="103"/>
      <c r="E370" s="93"/>
      <c r="F370" s="93"/>
      <c r="G370" s="106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</row>
    <row r="371" ht="27.0" customHeight="1">
      <c r="A371" s="93"/>
      <c r="B371" s="93"/>
      <c r="C371" s="118"/>
      <c r="D371" s="103"/>
      <c r="E371" s="93"/>
      <c r="F371" s="93"/>
      <c r="G371" s="106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</row>
    <row r="372" ht="27.0" customHeight="1">
      <c r="A372" s="93"/>
      <c r="B372" s="93"/>
      <c r="C372" s="118"/>
      <c r="D372" s="103"/>
      <c r="E372" s="93"/>
      <c r="F372" s="93"/>
      <c r="G372" s="106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</row>
    <row r="373" ht="27.0" customHeight="1">
      <c r="A373" s="93"/>
      <c r="B373" s="93"/>
      <c r="C373" s="118"/>
      <c r="D373" s="103"/>
      <c r="E373" s="93"/>
      <c r="F373" s="93"/>
      <c r="G373" s="106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</row>
    <row r="374" ht="27.0" customHeight="1">
      <c r="A374" s="93"/>
      <c r="B374" s="93"/>
      <c r="C374" s="118"/>
      <c r="D374" s="103"/>
      <c r="E374" s="93"/>
      <c r="F374" s="93"/>
      <c r="G374" s="106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</row>
    <row r="375" ht="27.0" customHeight="1">
      <c r="A375" s="93"/>
      <c r="B375" s="93"/>
      <c r="C375" s="118"/>
      <c r="D375" s="103"/>
      <c r="E375" s="93"/>
      <c r="F375" s="93"/>
      <c r="G375" s="106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</row>
    <row r="376" ht="27.0" customHeight="1">
      <c r="A376" s="93"/>
      <c r="B376" s="93"/>
      <c r="C376" s="118"/>
      <c r="D376" s="103"/>
      <c r="E376" s="93"/>
      <c r="F376" s="93"/>
      <c r="G376" s="106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</row>
    <row r="377" ht="27.0" customHeight="1">
      <c r="A377" s="93"/>
      <c r="B377" s="93"/>
      <c r="C377" s="118"/>
      <c r="D377" s="103"/>
      <c r="E377" s="93"/>
      <c r="F377" s="93"/>
      <c r="G377" s="106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</row>
    <row r="378" ht="27.0" customHeight="1">
      <c r="A378" s="93"/>
      <c r="B378" s="93"/>
      <c r="C378" s="118"/>
      <c r="D378" s="103"/>
      <c r="E378" s="93"/>
      <c r="F378" s="93"/>
      <c r="G378" s="106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</row>
    <row r="379" ht="27.0" customHeight="1">
      <c r="A379" s="93"/>
      <c r="B379" s="93"/>
      <c r="C379" s="118"/>
      <c r="D379" s="103"/>
      <c r="E379" s="93"/>
      <c r="F379" s="93"/>
      <c r="G379" s="106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</row>
    <row r="380" ht="27.0" customHeight="1">
      <c r="A380" s="93"/>
      <c r="B380" s="93"/>
      <c r="C380" s="118"/>
      <c r="D380" s="103"/>
      <c r="E380" s="93"/>
      <c r="F380" s="93"/>
      <c r="G380" s="106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</row>
    <row r="381" ht="27.0" customHeight="1">
      <c r="A381" s="93"/>
      <c r="B381" s="93"/>
      <c r="C381" s="118"/>
      <c r="D381" s="103"/>
      <c r="E381" s="93"/>
      <c r="F381" s="93"/>
      <c r="G381" s="106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</row>
    <row r="382" ht="27.0" customHeight="1">
      <c r="A382" s="93"/>
      <c r="B382" s="93"/>
      <c r="C382" s="118"/>
      <c r="D382" s="103"/>
      <c r="E382" s="93"/>
      <c r="F382" s="93"/>
      <c r="G382" s="106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</row>
    <row r="383" ht="27.0" customHeight="1">
      <c r="A383" s="93"/>
      <c r="B383" s="93"/>
      <c r="C383" s="118"/>
      <c r="D383" s="103"/>
      <c r="E383" s="93"/>
      <c r="F383" s="93"/>
      <c r="G383" s="106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</row>
    <row r="384" ht="27.0" customHeight="1">
      <c r="A384" s="93"/>
      <c r="B384" s="93"/>
      <c r="C384" s="118"/>
      <c r="D384" s="103"/>
      <c r="E384" s="93"/>
      <c r="F384" s="93"/>
      <c r="G384" s="106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</row>
    <row r="385" ht="27.0" customHeight="1">
      <c r="A385" s="93"/>
      <c r="B385" s="93"/>
      <c r="C385" s="118"/>
      <c r="D385" s="103"/>
      <c r="E385" s="93"/>
      <c r="F385" s="93"/>
      <c r="G385" s="106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</row>
    <row r="386" ht="27.0" customHeight="1">
      <c r="A386" s="93"/>
      <c r="B386" s="93"/>
      <c r="C386" s="118"/>
      <c r="D386" s="103"/>
      <c r="E386" s="93"/>
      <c r="F386" s="93"/>
      <c r="G386" s="106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</row>
    <row r="387" ht="27.0" customHeight="1">
      <c r="A387" s="93"/>
      <c r="B387" s="93"/>
      <c r="C387" s="118"/>
      <c r="D387" s="103"/>
      <c r="E387" s="93"/>
      <c r="F387" s="93"/>
      <c r="G387" s="106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</row>
    <row r="388" ht="27.0" customHeight="1">
      <c r="A388" s="93"/>
      <c r="B388" s="93"/>
      <c r="C388" s="118"/>
      <c r="D388" s="103"/>
      <c r="E388" s="93"/>
      <c r="F388" s="93"/>
      <c r="G388" s="106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</row>
    <row r="389" ht="27.0" customHeight="1">
      <c r="A389" s="93"/>
      <c r="B389" s="93"/>
      <c r="C389" s="118"/>
      <c r="D389" s="103"/>
      <c r="E389" s="93"/>
      <c r="F389" s="93"/>
      <c r="G389" s="106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</row>
    <row r="390" ht="27.0" customHeight="1">
      <c r="A390" s="93"/>
      <c r="B390" s="93"/>
      <c r="C390" s="118"/>
      <c r="D390" s="103"/>
      <c r="E390" s="93"/>
      <c r="F390" s="93"/>
      <c r="G390" s="106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</row>
    <row r="391" ht="27.0" customHeight="1">
      <c r="A391" s="93"/>
      <c r="B391" s="93"/>
      <c r="C391" s="118"/>
      <c r="D391" s="103"/>
      <c r="E391" s="93"/>
      <c r="F391" s="93"/>
      <c r="G391" s="106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</row>
    <row r="392" ht="27.0" customHeight="1">
      <c r="A392" s="93"/>
      <c r="B392" s="93"/>
      <c r="C392" s="118"/>
      <c r="D392" s="103"/>
      <c r="E392" s="93"/>
      <c r="F392" s="93"/>
      <c r="G392" s="106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</row>
    <row r="393" ht="27.0" customHeight="1">
      <c r="A393" s="93"/>
      <c r="B393" s="93"/>
      <c r="C393" s="118"/>
      <c r="D393" s="103"/>
      <c r="E393" s="93"/>
      <c r="F393" s="93"/>
      <c r="G393" s="106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</row>
    <row r="394" ht="27.0" customHeight="1">
      <c r="A394" s="93"/>
      <c r="B394" s="93"/>
      <c r="C394" s="118"/>
      <c r="D394" s="103"/>
      <c r="E394" s="93"/>
      <c r="F394" s="93"/>
      <c r="G394" s="106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</row>
    <row r="395" ht="27.0" customHeight="1">
      <c r="A395" s="93"/>
      <c r="B395" s="93"/>
      <c r="C395" s="118"/>
      <c r="D395" s="103"/>
      <c r="E395" s="93"/>
      <c r="F395" s="93"/>
      <c r="G395" s="106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</row>
    <row r="396" ht="27.0" customHeight="1">
      <c r="A396" s="93"/>
      <c r="B396" s="93"/>
      <c r="C396" s="118"/>
      <c r="D396" s="103"/>
      <c r="E396" s="93"/>
      <c r="F396" s="93"/>
      <c r="G396" s="106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</row>
    <row r="397" ht="27.0" customHeight="1">
      <c r="A397" s="93"/>
      <c r="B397" s="93"/>
      <c r="C397" s="118"/>
      <c r="D397" s="103"/>
      <c r="E397" s="93"/>
      <c r="F397" s="93"/>
      <c r="G397" s="106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</row>
    <row r="398" ht="27.0" customHeight="1">
      <c r="A398" s="93"/>
      <c r="B398" s="93"/>
      <c r="C398" s="118"/>
      <c r="D398" s="103"/>
      <c r="E398" s="93"/>
      <c r="F398" s="93"/>
      <c r="G398" s="106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</row>
    <row r="399" ht="27.0" customHeight="1">
      <c r="A399" s="93"/>
      <c r="B399" s="93"/>
      <c r="C399" s="118"/>
      <c r="D399" s="103"/>
      <c r="E399" s="93"/>
      <c r="F399" s="93"/>
      <c r="G399" s="106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</row>
    <row r="400" ht="27.0" customHeight="1">
      <c r="A400" s="93"/>
      <c r="B400" s="93"/>
      <c r="C400" s="118"/>
      <c r="D400" s="103"/>
      <c r="E400" s="93"/>
      <c r="F400" s="93"/>
      <c r="G400" s="106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</row>
    <row r="401" ht="27.0" customHeight="1">
      <c r="A401" s="93"/>
      <c r="B401" s="93"/>
      <c r="C401" s="118"/>
      <c r="D401" s="103"/>
      <c r="E401" s="93"/>
      <c r="F401" s="93"/>
      <c r="G401" s="106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</row>
    <row r="402" ht="27.0" customHeight="1">
      <c r="A402" s="93"/>
      <c r="B402" s="93"/>
      <c r="C402" s="118"/>
      <c r="D402" s="103"/>
      <c r="E402" s="93"/>
      <c r="F402" s="93"/>
      <c r="G402" s="106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</row>
    <row r="403" ht="27.0" customHeight="1">
      <c r="A403" s="93"/>
      <c r="B403" s="93"/>
      <c r="C403" s="118"/>
      <c r="D403" s="103"/>
      <c r="E403" s="93"/>
      <c r="F403" s="93"/>
      <c r="G403" s="106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</row>
    <row r="404" ht="27.0" customHeight="1">
      <c r="A404" s="93"/>
      <c r="B404" s="93"/>
      <c r="C404" s="118"/>
      <c r="D404" s="103"/>
      <c r="E404" s="93"/>
      <c r="F404" s="93"/>
      <c r="G404" s="106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</row>
    <row r="405" ht="27.0" customHeight="1">
      <c r="A405" s="93"/>
      <c r="B405" s="93"/>
      <c r="C405" s="118"/>
      <c r="D405" s="103"/>
      <c r="E405" s="93"/>
      <c r="F405" s="93"/>
      <c r="G405" s="106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</row>
    <row r="406" ht="27.0" customHeight="1">
      <c r="A406" s="93"/>
      <c r="B406" s="93"/>
      <c r="C406" s="118"/>
      <c r="D406" s="103"/>
      <c r="E406" s="93"/>
      <c r="F406" s="93"/>
      <c r="G406" s="106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</row>
    <row r="407" ht="27.0" customHeight="1">
      <c r="A407" s="93"/>
      <c r="B407" s="93"/>
      <c r="C407" s="118"/>
      <c r="D407" s="103"/>
      <c r="E407" s="93"/>
      <c r="F407" s="93"/>
      <c r="G407" s="106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</row>
    <row r="408" ht="27.0" customHeight="1">
      <c r="A408" s="93"/>
      <c r="B408" s="93"/>
      <c r="C408" s="118"/>
      <c r="D408" s="103"/>
      <c r="E408" s="93"/>
      <c r="F408" s="93"/>
      <c r="G408" s="106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</row>
    <row r="409" ht="27.0" customHeight="1">
      <c r="A409" s="93"/>
      <c r="B409" s="93"/>
      <c r="C409" s="118"/>
      <c r="D409" s="103"/>
      <c r="E409" s="93"/>
      <c r="F409" s="93"/>
      <c r="G409" s="106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</row>
    <row r="410" ht="27.0" customHeight="1">
      <c r="A410" s="93"/>
      <c r="B410" s="93"/>
      <c r="C410" s="118"/>
      <c r="D410" s="103"/>
      <c r="E410" s="93"/>
      <c r="F410" s="93"/>
      <c r="G410" s="106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</row>
    <row r="411" ht="27.0" customHeight="1">
      <c r="A411" s="93"/>
      <c r="B411" s="93"/>
      <c r="C411" s="118"/>
      <c r="D411" s="103"/>
      <c r="E411" s="93"/>
      <c r="F411" s="93"/>
      <c r="G411" s="106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</row>
    <row r="412" ht="27.0" customHeight="1">
      <c r="A412" s="93"/>
      <c r="B412" s="93"/>
      <c r="C412" s="118"/>
      <c r="D412" s="103"/>
      <c r="E412" s="93"/>
      <c r="F412" s="93"/>
      <c r="G412" s="106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</row>
    <row r="413" ht="27.0" customHeight="1">
      <c r="A413" s="93"/>
      <c r="B413" s="93"/>
      <c r="C413" s="118"/>
      <c r="D413" s="103"/>
      <c r="E413" s="93"/>
      <c r="F413" s="93"/>
      <c r="G413" s="106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</row>
    <row r="414" ht="27.0" customHeight="1">
      <c r="A414" s="93"/>
      <c r="B414" s="93"/>
      <c r="C414" s="118"/>
      <c r="D414" s="103"/>
      <c r="E414" s="93"/>
      <c r="F414" s="93"/>
      <c r="G414" s="106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</row>
    <row r="415" ht="27.0" customHeight="1">
      <c r="A415" s="93"/>
      <c r="B415" s="93"/>
      <c r="C415" s="118"/>
      <c r="D415" s="103"/>
      <c r="E415" s="93"/>
      <c r="F415" s="93"/>
      <c r="G415" s="106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</row>
    <row r="416" ht="27.0" customHeight="1">
      <c r="A416" s="93"/>
      <c r="B416" s="93"/>
      <c r="C416" s="118"/>
      <c r="D416" s="103"/>
      <c r="E416" s="93"/>
      <c r="F416" s="93"/>
      <c r="G416" s="106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</row>
    <row r="417" ht="27.0" customHeight="1">
      <c r="A417" s="93"/>
      <c r="B417" s="93"/>
      <c r="C417" s="118"/>
      <c r="D417" s="103"/>
      <c r="E417" s="93"/>
      <c r="F417" s="93"/>
      <c r="G417" s="106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</row>
    <row r="418" ht="27.0" customHeight="1">
      <c r="A418" s="93"/>
      <c r="B418" s="93"/>
      <c r="C418" s="118"/>
      <c r="D418" s="103"/>
      <c r="E418" s="93"/>
      <c r="F418" s="93"/>
      <c r="G418" s="106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</row>
    <row r="419" ht="27.0" customHeight="1">
      <c r="A419" s="93"/>
      <c r="B419" s="93"/>
      <c r="C419" s="118"/>
      <c r="D419" s="103"/>
      <c r="E419" s="93"/>
      <c r="F419" s="93"/>
      <c r="G419" s="106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</row>
    <row r="420" ht="27.0" customHeight="1">
      <c r="A420" s="93"/>
      <c r="B420" s="93"/>
      <c r="C420" s="118"/>
      <c r="D420" s="103"/>
      <c r="E420" s="93"/>
      <c r="F420" s="93"/>
      <c r="G420" s="106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</row>
    <row r="421" ht="27.0" customHeight="1">
      <c r="A421" s="93"/>
      <c r="B421" s="93"/>
      <c r="C421" s="118"/>
      <c r="D421" s="103"/>
      <c r="E421" s="93"/>
      <c r="F421" s="93"/>
      <c r="G421" s="106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</row>
    <row r="422" ht="27.0" customHeight="1">
      <c r="A422" s="93"/>
      <c r="B422" s="93"/>
      <c r="C422" s="118"/>
      <c r="D422" s="103"/>
      <c r="E422" s="93"/>
      <c r="F422" s="93"/>
      <c r="G422" s="106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</row>
    <row r="423" ht="27.0" customHeight="1">
      <c r="A423" s="93"/>
      <c r="B423" s="93"/>
      <c r="C423" s="118"/>
      <c r="D423" s="103"/>
      <c r="E423" s="93"/>
      <c r="F423" s="93"/>
      <c r="G423" s="106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</row>
    <row r="424" ht="27.0" customHeight="1">
      <c r="A424" s="93"/>
      <c r="B424" s="93"/>
      <c r="C424" s="118"/>
      <c r="D424" s="103"/>
      <c r="E424" s="93"/>
      <c r="F424" s="93"/>
      <c r="G424" s="106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</row>
    <row r="425" ht="27.0" customHeight="1">
      <c r="A425" s="93"/>
      <c r="B425" s="93"/>
      <c r="C425" s="118"/>
      <c r="D425" s="103"/>
      <c r="E425" s="93"/>
      <c r="F425" s="93"/>
      <c r="G425" s="106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</row>
    <row r="426" ht="27.0" customHeight="1">
      <c r="A426" s="93"/>
      <c r="B426" s="93"/>
      <c r="C426" s="118"/>
      <c r="D426" s="103"/>
      <c r="E426" s="93"/>
      <c r="F426" s="93"/>
      <c r="G426" s="106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</row>
    <row r="427" ht="27.0" customHeight="1">
      <c r="A427" s="93"/>
      <c r="B427" s="93"/>
      <c r="C427" s="118"/>
      <c r="D427" s="103"/>
      <c r="E427" s="93"/>
      <c r="F427" s="93"/>
      <c r="G427" s="106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</row>
    <row r="428" ht="27.0" customHeight="1">
      <c r="A428" s="93"/>
      <c r="B428" s="93"/>
      <c r="C428" s="118"/>
      <c r="D428" s="103"/>
      <c r="E428" s="93"/>
      <c r="F428" s="93"/>
      <c r="G428" s="106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</row>
    <row r="429" ht="27.0" customHeight="1">
      <c r="A429" s="93"/>
      <c r="B429" s="93"/>
      <c r="C429" s="118"/>
      <c r="D429" s="103"/>
      <c r="E429" s="93"/>
      <c r="F429" s="93"/>
      <c r="G429" s="106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</row>
    <row r="430" ht="27.0" customHeight="1">
      <c r="A430" s="93"/>
      <c r="B430" s="93"/>
      <c r="C430" s="118"/>
      <c r="D430" s="103"/>
      <c r="E430" s="93"/>
      <c r="F430" s="93"/>
      <c r="G430" s="106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</row>
    <row r="431" ht="27.0" customHeight="1">
      <c r="A431" s="93"/>
      <c r="B431" s="93"/>
      <c r="C431" s="118"/>
      <c r="D431" s="103"/>
      <c r="E431" s="93"/>
      <c r="F431" s="93"/>
      <c r="G431" s="106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</row>
    <row r="432" ht="27.0" customHeight="1">
      <c r="A432" s="93"/>
      <c r="B432" s="93"/>
      <c r="C432" s="118"/>
      <c r="D432" s="103"/>
      <c r="E432" s="93"/>
      <c r="F432" s="93"/>
      <c r="G432" s="106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</row>
    <row r="433" ht="27.0" customHeight="1">
      <c r="A433" s="93"/>
      <c r="B433" s="93"/>
      <c r="C433" s="118"/>
      <c r="D433" s="103"/>
      <c r="E433" s="93"/>
      <c r="F433" s="93"/>
      <c r="G433" s="106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</row>
    <row r="434" ht="27.0" customHeight="1">
      <c r="A434" s="93"/>
      <c r="B434" s="93"/>
      <c r="C434" s="118"/>
      <c r="D434" s="103"/>
      <c r="E434" s="93"/>
      <c r="F434" s="93"/>
      <c r="G434" s="106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</row>
    <row r="435" ht="27.0" customHeight="1">
      <c r="A435" s="93"/>
      <c r="B435" s="93"/>
      <c r="C435" s="118"/>
      <c r="D435" s="103"/>
      <c r="E435" s="93"/>
      <c r="F435" s="93"/>
      <c r="G435" s="106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</row>
    <row r="436" ht="27.0" customHeight="1">
      <c r="A436" s="93"/>
      <c r="B436" s="93"/>
      <c r="C436" s="118"/>
      <c r="D436" s="103"/>
      <c r="E436" s="93"/>
      <c r="F436" s="93"/>
      <c r="G436" s="106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</row>
    <row r="437" ht="27.0" customHeight="1">
      <c r="A437" s="93"/>
      <c r="B437" s="93"/>
      <c r="C437" s="118"/>
      <c r="D437" s="103"/>
      <c r="E437" s="93"/>
      <c r="F437" s="93"/>
      <c r="G437" s="106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</row>
    <row r="438" ht="27.0" customHeight="1">
      <c r="A438" s="93"/>
      <c r="B438" s="93"/>
      <c r="C438" s="118"/>
      <c r="D438" s="103"/>
      <c r="E438" s="93"/>
      <c r="F438" s="93"/>
      <c r="G438" s="106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</row>
    <row r="439" ht="27.0" customHeight="1">
      <c r="A439" s="93"/>
      <c r="B439" s="93"/>
      <c r="C439" s="118"/>
      <c r="D439" s="103"/>
      <c r="E439" s="93"/>
      <c r="F439" s="93"/>
      <c r="G439" s="106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</row>
    <row r="440" ht="27.0" customHeight="1">
      <c r="A440" s="93"/>
      <c r="B440" s="93"/>
      <c r="C440" s="118"/>
      <c r="D440" s="103"/>
      <c r="E440" s="93"/>
      <c r="F440" s="93"/>
      <c r="G440" s="106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</row>
    <row r="441" ht="27.0" customHeight="1">
      <c r="A441" s="93"/>
      <c r="B441" s="93"/>
      <c r="C441" s="118"/>
      <c r="D441" s="103"/>
      <c r="E441" s="93"/>
      <c r="F441" s="93"/>
      <c r="G441" s="106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</row>
    <row r="442" ht="27.0" customHeight="1">
      <c r="A442" s="93"/>
      <c r="B442" s="93"/>
      <c r="C442" s="118"/>
      <c r="D442" s="103"/>
      <c r="E442" s="93"/>
      <c r="F442" s="93"/>
      <c r="G442" s="106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</row>
    <row r="443" ht="27.0" customHeight="1">
      <c r="A443" s="93"/>
      <c r="B443" s="93"/>
      <c r="C443" s="118"/>
      <c r="D443" s="103"/>
      <c r="E443" s="93"/>
      <c r="F443" s="93"/>
      <c r="G443" s="106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</row>
    <row r="444" ht="27.0" customHeight="1">
      <c r="A444" s="93"/>
      <c r="B444" s="93"/>
      <c r="C444" s="118"/>
      <c r="D444" s="103"/>
      <c r="E444" s="93"/>
      <c r="F444" s="93"/>
      <c r="G444" s="106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</row>
    <row r="445" ht="27.0" customHeight="1">
      <c r="A445" s="93"/>
      <c r="B445" s="93"/>
      <c r="C445" s="118"/>
      <c r="D445" s="103"/>
      <c r="E445" s="93"/>
      <c r="F445" s="93"/>
      <c r="G445" s="106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</row>
    <row r="446" ht="27.0" customHeight="1">
      <c r="A446" s="93"/>
      <c r="B446" s="93"/>
      <c r="C446" s="118"/>
      <c r="D446" s="103"/>
      <c r="E446" s="93"/>
      <c r="F446" s="93"/>
      <c r="G446" s="106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</row>
    <row r="447" ht="27.0" customHeight="1">
      <c r="A447" s="93"/>
      <c r="B447" s="93"/>
      <c r="C447" s="118"/>
      <c r="D447" s="103"/>
      <c r="E447" s="93"/>
      <c r="F447" s="93"/>
      <c r="G447" s="106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</row>
    <row r="448" ht="27.0" customHeight="1">
      <c r="A448" s="93"/>
      <c r="B448" s="93"/>
      <c r="C448" s="118"/>
      <c r="D448" s="103"/>
      <c r="E448" s="93"/>
      <c r="F448" s="93"/>
      <c r="G448" s="106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</row>
    <row r="449" ht="27.0" customHeight="1">
      <c r="A449" s="93"/>
      <c r="B449" s="93"/>
      <c r="C449" s="118"/>
      <c r="D449" s="103"/>
      <c r="E449" s="93"/>
      <c r="F449" s="93"/>
      <c r="G449" s="106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</row>
    <row r="450" ht="27.0" customHeight="1">
      <c r="A450" s="93"/>
      <c r="B450" s="93"/>
      <c r="C450" s="118"/>
      <c r="D450" s="103"/>
      <c r="E450" s="93"/>
      <c r="F450" s="93"/>
      <c r="G450" s="106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</row>
    <row r="451" ht="27.0" customHeight="1">
      <c r="A451" s="93"/>
      <c r="B451" s="93"/>
      <c r="C451" s="118"/>
      <c r="D451" s="103"/>
      <c r="E451" s="93"/>
      <c r="F451" s="93"/>
      <c r="G451" s="106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</row>
    <row r="452" ht="27.0" customHeight="1">
      <c r="A452" s="93"/>
      <c r="B452" s="93"/>
      <c r="C452" s="118"/>
      <c r="D452" s="103"/>
      <c r="E452" s="93"/>
      <c r="F452" s="93"/>
      <c r="G452" s="106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</row>
    <row r="453" ht="27.0" customHeight="1">
      <c r="A453" s="93"/>
      <c r="B453" s="93"/>
      <c r="C453" s="118"/>
      <c r="D453" s="103"/>
      <c r="E453" s="93"/>
      <c r="F453" s="93"/>
      <c r="G453" s="106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</row>
    <row r="454" ht="27.0" customHeight="1">
      <c r="A454" s="93"/>
      <c r="B454" s="93"/>
      <c r="C454" s="118"/>
      <c r="D454" s="103"/>
      <c r="E454" s="93"/>
      <c r="F454" s="93"/>
      <c r="G454" s="106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</row>
    <row r="455" ht="27.0" customHeight="1">
      <c r="A455" s="93"/>
      <c r="B455" s="93"/>
      <c r="C455" s="118"/>
      <c r="D455" s="103"/>
      <c r="E455" s="93"/>
      <c r="F455" s="93"/>
      <c r="G455" s="106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</row>
    <row r="456" ht="27.0" customHeight="1">
      <c r="A456" s="93"/>
      <c r="B456" s="93"/>
      <c r="C456" s="118"/>
      <c r="D456" s="103"/>
      <c r="E456" s="93"/>
      <c r="F456" s="93"/>
      <c r="G456" s="106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</row>
    <row r="457" ht="27.0" customHeight="1">
      <c r="A457" s="93"/>
      <c r="B457" s="93"/>
      <c r="C457" s="118"/>
      <c r="D457" s="103"/>
      <c r="E457" s="93"/>
      <c r="F457" s="93"/>
      <c r="G457" s="106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</row>
    <row r="458" ht="27.0" customHeight="1">
      <c r="A458" s="93"/>
      <c r="B458" s="93"/>
      <c r="C458" s="118"/>
      <c r="D458" s="103"/>
      <c r="E458" s="93"/>
      <c r="F458" s="93"/>
      <c r="G458" s="106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</row>
    <row r="459" ht="27.0" customHeight="1">
      <c r="A459" s="93"/>
      <c r="B459" s="93"/>
      <c r="C459" s="118"/>
      <c r="D459" s="103"/>
      <c r="E459" s="93"/>
      <c r="F459" s="93"/>
      <c r="G459" s="106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</row>
    <row r="460" ht="27.0" customHeight="1">
      <c r="A460" s="93"/>
      <c r="B460" s="93"/>
      <c r="C460" s="118"/>
      <c r="D460" s="103"/>
      <c r="E460" s="93"/>
      <c r="F460" s="93"/>
      <c r="G460" s="106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</row>
    <row r="461" ht="27.0" customHeight="1">
      <c r="A461" s="93"/>
      <c r="B461" s="93"/>
      <c r="C461" s="118"/>
      <c r="D461" s="103"/>
      <c r="E461" s="93"/>
      <c r="F461" s="93"/>
      <c r="G461" s="106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</row>
    <row r="462" ht="27.0" customHeight="1">
      <c r="A462" s="93"/>
      <c r="B462" s="93"/>
      <c r="C462" s="118"/>
      <c r="D462" s="103"/>
      <c r="E462" s="93"/>
      <c r="F462" s="93"/>
      <c r="G462" s="106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</row>
    <row r="463" ht="27.0" customHeight="1">
      <c r="A463" s="93"/>
      <c r="B463" s="93"/>
      <c r="C463" s="118"/>
      <c r="D463" s="103"/>
      <c r="E463" s="93"/>
      <c r="F463" s="93"/>
      <c r="G463" s="106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</row>
    <row r="464" ht="27.0" customHeight="1">
      <c r="A464" s="93"/>
      <c r="B464" s="93"/>
      <c r="C464" s="118"/>
      <c r="D464" s="103"/>
      <c r="E464" s="93"/>
      <c r="F464" s="93"/>
      <c r="G464" s="106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</row>
    <row r="465" ht="27.0" customHeight="1">
      <c r="A465" s="93"/>
      <c r="B465" s="93"/>
      <c r="C465" s="118"/>
      <c r="D465" s="103"/>
      <c r="E465" s="93"/>
      <c r="F465" s="93"/>
      <c r="G465" s="106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</row>
    <row r="466" ht="27.0" customHeight="1">
      <c r="A466" s="93"/>
      <c r="B466" s="93"/>
      <c r="C466" s="118"/>
      <c r="D466" s="103"/>
      <c r="E466" s="93"/>
      <c r="F466" s="93"/>
      <c r="G466" s="106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</row>
    <row r="467" ht="27.0" customHeight="1">
      <c r="A467" s="93"/>
      <c r="B467" s="93"/>
      <c r="C467" s="118"/>
      <c r="D467" s="103"/>
      <c r="E467" s="93"/>
      <c r="F467" s="93"/>
      <c r="G467" s="106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</row>
    <row r="468" ht="27.0" customHeight="1">
      <c r="A468" s="93"/>
      <c r="B468" s="93"/>
      <c r="C468" s="118"/>
      <c r="D468" s="103"/>
      <c r="E468" s="93"/>
      <c r="F468" s="93"/>
      <c r="G468" s="106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</row>
    <row r="469" ht="27.0" customHeight="1">
      <c r="A469" s="93"/>
      <c r="B469" s="93"/>
      <c r="C469" s="118"/>
      <c r="D469" s="103"/>
      <c r="E469" s="93"/>
      <c r="F469" s="93"/>
      <c r="G469" s="106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</row>
    <row r="470" ht="27.0" customHeight="1">
      <c r="A470" s="93"/>
      <c r="B470" s="93"/>
      <c r="C470" s="118"/>
      <c r="D470" s="103"/>
      <c r="E470" s="93"/>
      <c r="F470" s="93"/>
      <c r="G470" s="106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</row>
    <row r="471" ht="27.0" customHeight="1">
      <c r="A471" s="93"/>
      <c r="B471" s="93"/>
      <c r="C471" s="118"/>
      <c r="D471" s="103"/>
      <c r="E471" s="93"/>
      <c r="F471" s="93"/>
      <c r="G471" s="106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</row>
    <row r="472" ht="27.0" customHeight="1">
      <c r="A472" s="93"/>
      <c r="B472" s="93"/>
      <c r="C472" s="118"/>
      <c r="D472" s="103"/>
      <c r="E472" s="93"/>
      <c r="F472" s="93"/>
      <c r="G472" s="106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</row>
    <row r="473" ht="27.0" customHeight="1">
      <c r="A473" s="93"/>
      <c r="B473" s="93"/>
      <c r="C473" s="118"/>
      <c r="D473" s="103"/>
      <c r="E473" s="93"/>
      <c r="F473" s="93"/>
      <c r="G473" s="106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</row>
    <row r="474" ht="27.0" customHeight="1">
      <c r="A474" s="93"/>
      <c r="B474" s="93"/>
      <c r="C474" s="118"/>
      <c r="D474" s="103"/>
      <c r="E474" s="93"/>
      <c r="F474" s="93"/>
      <c r="G474" s="106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</row>
    <row r="475" ht="27.0" customHeight="1">
      <c r="A475" s="93"/>
      <c r="B475" s="93"/>
      <c r="C475" s="118"/>
      <c r="D475" s="103"/>
      <c r="E475" s="93"/>
      <c r="F475" s="93"/>
      <c r="G475" s="106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</row>
    <row r="476" ht="27.0" customHeight="1">
      <c r="A476" s="93"/>
      <c r="B476" s="93"/>
      <c r="C476" s="118"/>
      <c r="D476" s="103"/>
      <c r="E476" s="93"/>
      <c r="F476" s="93"/>
      <c r="G476" s="106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</row>
    <row r="477" ht="27.0" customHeight="1">
      <c r="A477" s="93"/>
      <c r="B477" s="93"/>
      <c r="C477" s="118"/>
      <c r="D477" s="103"/>
      <c r="E477" s="93"/>
      <c r="F477" s="93"/>
      <c r="G477" s="106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</row>
    <row r="478" ht="27.0" customHeight="1">
      <c r="A478" s="93"/>
      <c r="B478" s="93"/>
      <c r="C478" s="118"/>
      <c r="D478" s="103"/>
      <c r="E478" s="93"/>
      <c r="F478" s="93"/>
      <c r="G478" s="106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</row>
    <row r="479" ht="27.0" customHeight="1">
      <c r="A479" s="93"/>
      <c r="B479" s="93"/>
      <c r="C479" s="118"/>
      <c r="D479" s="103"/>
      <c r="E479" s="93"/>
      <c r="F479" s="93"/>
      <c r="G479" s="106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</row>
    <row r="480" ht="27.0" customHeight="1">
      <c r="A480" s="93"/>
      <c r="B480" s="93"/>
      <c r="C480" s="118"/>
      <c r="D480" s="103"/>
      <c r="E480" s="93"/>
      <c r="F480" s="93"/>
      <c r="G480" s="106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</row>
    <row r="481" ht="27.0" customHeight="1">
      <c r="A481" s="93"/>
      <c r="B481" s="93"/>
      <c r="C481" s="118"/>
      <c r="D481" s="103"/>
      <c r="E481" s="93"/>
      <c r="F481" s="93"/>
      <c r="G481" s="106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</row>
    <row r="482" ht="27.0" customHeight="1">
      <c r="A482" s="93"/>
      <c r="B482" s="93"/>
      <c r="C482" s="118"/>
      <c r="D482" s="103"/>
      <c r="E482" s="93"/>
      <c r="F482" s="93"/>
      <c r="G482" s="106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</row>
    <row r="483" ht="27.0" customHeight="1">
      <c r="A483" s="93"/>
      <c r="B483" s="93"/>
      <c r="C483" s="118"/>
      <c r="D483" s="103"/>
      <c r="E483" s="93"/>
      <c r="F483" s="93"/>
      <c r="G483" s="106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</row>
    <row r="484" ht="27.0" customHeight="1">
      <c r="A484" s="93"/>
      <c r="B484" s="93"/>
      <c r="C484" s="118"/>
      <c r="D484" s="103"/>
      <c r="E484" s="93"/>
      <c r="F484" s="93"/>
      <c r="G484" s="106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</row>
    <row r="485" ht="27.0" customHeight="1">
      <c r="A485" s="93"/>
      <c r="B485" s="93"/>
      <c r="C485" s="118"/>
      <c r="D485" s="103"/>
      <c r="E485" s="93"/>
      <c r="F485" s="93"/>
      <c r="G485" s="106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</row>
    <row r="486" ht="27.0" customHeight="1">
      <c r="A486" s="93"/>
      <c r="B486" s="93"/>
      <c r="C486" s="118"/>
      <c r="D486" s="103"/>
      <c r="E486" s="93"/>
      <c r="F486" s="93"/>
      <c r="G486" s="106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</row>
    <row r="487" ht="27.0" customHeight="1">
      <c r="A487" s="93"/>
      <c r="B487" s="93"/>
      <c r="C487" s="118"/>
      <c r="D487" s="103"/>
      <c r="E487" s="93"/>
      <c r="F487" s="93"/>
      <c r="G487" s="106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</row>
    <row r="488" ht="27.0" customHeight="1">
      <c r="A488" s="93"/>
      <c r="B488" s="93"/>
      <c r="C488" s="118"/>
      <c r="D488" s="103"/>
      <c r="E488" s="93"/>
      <c r="F488" s="93"/>
      <c r="G488" s="106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</row>
    <row r="489" ht="27.0" customHeight="1">
      <c r="A489" s="93"/>
      <c r="B489" s="93"/>
      <c r="C489" s="118"/>
      <c r="D489" s="103"/>
      <c r="E489" s="93"/>
      <c r="F489" s="93"/>
      <c r="G489" s="106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</row>
    <row r="490" ht="27.0" customHeight="1">
      <c r="A490" s="93"/>
      <c r="B490" s="93"/>
      <c r="C490" s="118"/>
      <c r="D490" s="103"/>
      <c r="E490" s="93"/>
      <c r="F490" s="93"/>
      <c r="G490" s="106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</row>
    <row r="491" ht="27.0" customHeight="1">
      <c r="A491" s="93"/>
      <c r="B491" s="93"/>
      <c r="C491" s="118"/>
      <c r="D491" s="103"/>
      <c r="E491" s="93"/>
      <c r="F491" s="93"/>
      <c r="G491" s="106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</row>
    <row r="492" ht="27.0" customHeight="1">
      <c r="A492" s="93"/>
      <c r="B492" s="93"/>
      <c r="C492" s="118"/>
      <c r="D492" s="103"/>
      <c r="E492" s="93"/>
      <c r="F492" s="93"/>
      <c r="G492" s="106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</row>
    <row r="493" ht="27.0" customHeight="1">
      <c r="A493" s="93"/>
      <c r="B493" s="93"/>
      <c r="C493" s="118"/>
      <c r="D493" s="103"/>
      <c r="E493" s="93"/>
      <c r="F493" s="93"/>
      <c r="G493" s="106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</row>
    <row r="494" ht="27.0" customHeight="1">
      <c r="A494" s="93"/>
      <c r="B494" s="93"/>
      <c r="C494" s="118"/>
      <c r="D494" s="103"/>
      <c r="E494" s="93"/>
      <c r="F494" s="93"/>
      <c r="G494" s="106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</row>
    <row r="495" ht="27.0" customHeight="1">
      <c r="A495" s="93"/>
      <c r="B495" s="93"/>
      <c r="C495" s="118"/>
      <c r="D495" s="103"/>
      <c r="E495" s="93"/>
      <c r="F495" s="93"/>
      <c r="G495" s="106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</row>
    <row r="496" ht="27.0" customHeight="1">
      <c r="A496" s="93"/>
      <c r="B496" s="93"/>
      <c r="C496" s="118"/>
      <c r="D496" s="103"/>
      <c r="E496" s="93"/>
      <c r="F496" s="93"/>
      <c r="G496" s="106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</row>
    <row r="497" ht="27.0" customHeight="1">
      <c r="A497" s="93"/>
      <c r="B497" s="93"/>
      <c r="C497" s="118"/>
      <c r="D497" s="103"/>
      <c r="E497" s="93"/>
      <c r="F497" s="93"/>
      <c r="G497" s="106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</row>
    <row r="498" ht="27.0" customHeight="1">
      <c r="A498" s="93"/>
      <c r="B498" s="93"/>
      <c r="C498" s="118"/>
      <c r="D498" s="103"/>
      <c r="E498" s="93"/>
      <c r="F498" s="93"/>
      <c r="G498" s="106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</row>
    <row r="499" ht="27.0" customHeight="1">
      <c r="A499" s="93"/>
      <c r="B499" s="93"/>
      <c r="C499" s="118"/>
      <c r="D499" s="103"/>
      <c r="E499" s="93"/>
      <c r="F499" s="93"/>
      <c r="G499" s="106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</row>
    <row r="500" ht="27.0" customHeight="1">
      <c r="A500" s="93"/>
      <c r="B500" s="93"/>
      <c r="C500" s="118"/>
      <c r="D500" s="103"/>
      <c r="E500" s="93"/>
      <c r="F500" s="93"/>
      <c r="G500" s="106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</row>
    <row r="501" ht="27.0" customHeight="1">
      <c r="A501" s="93"/>
      <c r="B501" s="93"/>
      <c r="C501" s="118"/>
      <c r="D501" s="103"/>
      <c r="E501" s="93"/>
      <c r="F501" s="93"/>
      <c r="G501" s="106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</row>
    <row r="502" ht="27.0" customHeight="1">
      <c r="A502" s="93"/>
      <c r="B502" s="93"/>
      <c r="C502" s="118"/>
      <c r="D502" s="103"/>
      <c r="E502" s="93"/>
      <c r="F502" s="93"/>
      <c r="G502" s="106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</row>
    <row r="503" ht="27.0" customHeight="1">
      <c r="A503" s="93"/>
      <c r="B503" s="93"/>
      <c r="C503" s="118"/>
      <c r="D503" s="103"/>
      <c r="E503" s="93"/>
      <c r="F503" s="93"/>
      <c r="G503" s="106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</row>
    <row r="504" ht="27.0" customHeight="1">
      <c r="A504" s="93"/>
      <c r="B504" s="93"/>
      <c r="C504" s="118"/>
      <c r="D504" s="103"/>
      <c r="E504" s="93"/>
      <c r="F504" s="93"/>
      <c r="G504" s="106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</row>
    <row r="505" ht="27.0" customHeight="1">
      <c r="A505" s="93"/>
      <c r="B505" s="93"/>
      <c r="C505" s="118"/>
      <c r="D505" s="103"/>
      <c r="E505" s="93"/>
      <c r="F505" s="93"/>
      <c r="G505" s="106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</row>
    <row r="506" ht="27.0" customHeight="1">
      <c r="A506" s="93"/>
      <c r="B506" s="93"/>
      <c r="C506" s="118"/>
      <c r="D506" s="103"/>
      <c r="E506" s="93"/>
      <c r="F506" s="93"/>
      <c r="G506" s="106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</row>
    <row r="507" ht="27.0" customHeight="1">
      <c r="A507" s="93"/>
      <c r="B507" s="93"/>
      <c r="C507" s="118"/>
      <c r="D507" s="103"/>
      <c r="E507" s="93"/>
      <c r="F507" s="93"/>
      <c r="G507" s="106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</row>
    <row r="508" ht="27.0" customHeight="1">
      <c r="A508" s="93"/>
      <c r="B508" s="93"/>
      <c r="C508" s="118"/>
      <c r="D508" s="103"/>
      <c r="E508" s="93"/>
      <c r="F508" s="93"/>
      <c r="G508" s="106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</row>
    <row r="509" ht="27.0" customHeight="1">
      <c r="A509" s="93"/>
      <c r="B509" s="93"/>
      <c r="C509" s="118"/>
      <c r="D509" s="103"/>
      <c r="E509" s="93"/>
      <c r="F509" s="93"/>
      <c r="G509" s="106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</row>
    <row r="510" ht="27.0" customHeight="1">
      <c r="A510" s="93"/>
      <c r="B510" s="93"/>
      <c r="C510" s="118"/>
      <c r="D510" s="103"/>
      <c r="E510" s="93"/>
      <c r="F510" s="93"/>
      <c r="G510" s="106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</row>
    <row r="511" ht="27.0" customHeight="1">
      <c r="A511" s="93"/>
      <c r="B511" s="93"/>
      <c r="C511" s="118"/>
      <c r="D511" s="103"/>
      <c r="E511" s="93"/>
      <c r="F511" s="93"/>
      <c r="G511" s="106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</row>
    <row r="512" ht="27.0" customHeight="1">
      <c r="A512" s="93"/>
      <c r="B512" s="93"/>
      <c r="C512" s="118"/>
      <c r="D512" s="103"/>
      <c r="E512" s="93"/>
      <c r="F512" s="93"/>
      <c r="G512" s="106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</row>
    <row r="513" ht="27.0" customHeight="1">
      <c r="A513" s="93"/>
      <c r="B513" s="93"/>
      <c r="C513" s="118"/>
      <c r="D513" s="103"/>
      <c r="E513" s="93"/>
      <c r="F513" s="93"/>
      <c r="G513" s="106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</row>
    <row r="514" ht="27.0" customHeight="1">
      <c r="A514" s="93"/>
      <c r="B514" s="93"/>
      <c r="C514" s="118"/>
      <c r="D514" s="103"/>
      <c r="E514" s="93"/>
      <c r="F514" s="93"/>
      <c r="G514" s="106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</row>
    <row r="515" ht="27.0" customHeight="1">
      <c r="A515" s="93"/>
      <c r="B515" s="93"/>
      <c r="C515" s="118"/>
      <c r="D515" s="103"/>
      <c r="E515" s="93"/>
      <c r="F515" s="93"/>
      <c r="G515" s="106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</row>
    <row r="516" ht="27.0" customHeight="1">
      <c r="A516" s="93"/>
      <c r="B516" s="93"/>
      <c r="C516" s="118"/>
      <c r="D516" s="103"/>
      <c r="E516" s="93"/>
      <c r="F516" s="93"/>
      <c r="G516" s="106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</row>
    <row r="517" ht="27.0" customHeight="1">
      <c r="A517" s="93"/>
      <c r="B517" s="93"/>
      <c r="C517" s="118"/>
      <c r="D517" s="103"/>
      <c r="E517" s="93"/>
      <c r="F517" s="93"/>
      <c r="G517" s="106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</row>
    <row r="518" ht="27.0" customHeight="1">
      <c r="A518" s="93"/>
      <c r="B518" s="93"/>
      <c r="C518" s="118"/>
      <c r="D518" s="103"/>
      <c r="E518" s="93"/>
      <c r="F518" s="93"/>
      <c r="G518" s="106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</row>
    <row r="519" ht="27.0" customHeight="1">
      <c r="A519" s="93"/>
      <c r="B519" s="93"/>
      <c r="C519" s="118"/>
      <c r="D519" s="103"/>
      <c r="E519" s="93"/>
      <c r="F519" s="93"/>
      <c r="G519" s="106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</row>
    <row r="520" ht="27.0" customHeight="1">
      <c r="A520" s="93"/>
      <c r="B520" s="93"/>
      <c r="C520" s="118"/>
      <c r="D520" s="103"/>
      <c r="E520" s="93"/>
      <c r="F520" s="93"/>
      <c r="G520" s="106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</row>
    <row r="521" ht="27.0" customHeight="1">
      <c r="A521" s="93"/>
      <c r="B521" s="93"/>
      <c r="C521" s="118"/>
      <c r="D521" s="103"/>
      <c r="E521" s="93"/>
      <c r="F521" s="93"/>
      <c r="G521" s="106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</row>
    <row r="522" ht="27.0" customHeight="1">
      <c r="A522" s="93"/>
      <c r="B522" s="93"/>
      <c r="C522" s="118"/>
      <c r="D522" s="103"/>
      <c r="E522" s="93"/>
      <c r="F522" s="93"/>
      <c r="G522" s="106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</row>
    <row r="523" ht="27.0" customHeight="1">
      <c r="A523" s="93"/>
      <c r="B523" s="93"/>
      <c r="C523" s="118"/>
      <c r="D523" s="103"/>
      <c r="E523" s="93"/>
      <c r="F523" s="93"/>
      <c r="G523" s="106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</row>
    <row r="524" ht="27.0" customHeight="1">
      <c r="A524" s="93"/>
      <c r="B524" s="93"/>
      <c r="C524" s="118"/>
      <c r="D524" s="103"/>
      <c r="E524" s="93"/>
      <c r="F524" s="93"/>
      <c r="G524" s="106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</row>
    <row r="525" ht="27.0" customHeight="1">
      <c r="A525" s="93"/>
      <c r="B525" s="93"/>
      <c r="C525" s="118"/>
      <c r="D525" s="103"/>
      <c r="E525" s="93"/>
      <c r="F525" s="93"/>
      <c r="G525" s="106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</row>
    <row r="526" ht="27.0" customHeight="1">
      <c r="A526" s="93"/>
      <c r="B526" s="93"/>
      <c r="C526" s="118"/>
      <c r="D526" s="103"/>
      <c r="E526" s="93"/>
      <c r="F526" s="93"/>
      <c r="G526" s="106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</row>
    <row r="527" ht="27.0" customHeight="1">
      <c r="A527" s="93"/>
      <c r="B527" s="93"/>
      <c r="C527" s="118"/>
      <c r="D527" s="103"/>
      <c r="E527" s="93"/>
      <c r="F527" s="93"/>
      <c r="G527" s="106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</row>
    <row r="528" ht="27.0" customHeight="1">
      <c r="A528" s="93"/>
      <c r="B528" s="93"/>
      <c r="C528" s="118"/>
      <c r="D528" s="103"/>
      <c r="E528" s="93"/>
      <c r="F528" s="93"/>
      <c r="G528" s="106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</row>
    <row r="529" ht="27.0" customHeight="1">
      <c r="A529" s="93"/>
      <c r="B529" s="93"/>
      <c r="C529" s="118"/>
      <c r="D529" s="103"/>
      <c r="E529" s="93"/>
      <c r="F529" s="93"/>
      <c r="G529" s="106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</row>
    <row r="530" ht="27.0" customHeight="1">
      <c r="A530" s="93"/>
      <c r="B530" s="93"/>
      <c r="C530" s="118"/>
      <c r="D530" s="103"/>
      <c r="E530" s="93"/>
      <c r="F530" s="93"/>
      <c r="G530" s="106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</row>
    <row r="531" ht="27.0" customHeight="1">
      <c r="A531" s="93"/>
      <c r="B531" s="93"/>
      <c r="C531" s="118"/>
      <c r="D531" s="103"/>
      <c r="E531" s="93"/>
      <c r="F531" s="93"/>
      <c r="G531" s="106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</row>
    <row r="532" ht="27.0" customHeight="1">
      <c r="A532" s="93"/>
      <c r="B532" s="93"/>
      <c r="C532" s="118"/>
      <c r="D532" s="103"/>
      <c r="E532" s="93"/>
      <c r="F532" s="93"/>
      <c r="G532" s="106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</row>
    <row r="533" ht="27.0" customHeight="1">
      <c r="A533" s="93"/>
      <c r="B533" s="93"/>
      <c r="C533" s="118"/>
      <c r="D533" s="103"/>
      <c r="E533" s="93"/>
      <c r="F533" s="93"/>
      <c r="G533" s="106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</row>
    <row r="534" ht="27.0" customHeight="1">
      <c r="A534" s="93"/>
      <c r="B534" s="93"/>
      <c r="C534" s="118"/>
      <c r="D534" s="103"/>
      <c r="E534" s="93"/>
      <c r="F534" s="93"/>
      <c r="G534" s="106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</row>
    <row r="535" ht="27.0" customHeight="1">
      <c r="A535" s="93"/>
      <c r="B535" s="93"/>
      <c r="C535" s="118"/>
      <c r="D535" s="103"/>
      <c r="E535" s="93"/>
      <c r="F535" s="93"/>
      <c r="G535" s="106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</row>
    <row r="536" ht="27.0" customHeight="1">
      <c r="A536" s="93"/>
      <c r="B536" s="93"/>
      <c r="C536" s="118"/>
      <c r="D536" s="103"/>
      <c r="E536" s="93"/>
      <c r="F536" s="93"/>
      <c r="G536" s="106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</row>
    <row r="537" ht="27.0" customHeight="1">
      <c r="A537" s="93"/>
      <c r="B537" s="93"/>
      <c r="C537" s="118"/>
      <c r="D537" s="103"/>
      <c r="E537" s="93"/>
      <c r="F537" s="93"/>
      <c r="G537" s="106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</row>
    <row r="538" ht="27.0" customHeight="1">
      <c r="A538" s="93"/>
      <c r="B538" s="93"/>
      <c r="C538" s="118"/>
      <c r="D538" s="103"/>
      <c r="E538" s="93"/>
      <c r="F538" s="93"/>
      <c r="G538" s="106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</row>
    <row r="539" ht="27.0" customHeight="1">
      <c r="A539" s="93"/>
      <c r="B539" s="93"/>
      <c r="C539" s="118"/>
      <c r="D539" s="103"/>
      <c r="E539" s="93"/>
      <c r="F539" s="93"/>
      <c r="G539" s="106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</row>
    <row r="540" ht="27.0" customHeight="1">
      <c r="A540" s="93"/>
      <c r="B540" s="93"/>
      <c r="C540" s="118"/>
      <c r="D540" s="103"/>
      <c r="E540" s="93"/>
      <c r="F540" s="93"/>
      <c r="G540" s="106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</row>
    <row r="541" ht="27.0" customHeight="1">
      <c r="A541" s="93"/>
      <c r="B541" s="93"/>
      <c r="C541" s="118"/>
      <c r="D541" s="103"/>
      <c r="E541" s="93"/>
      <c r="F541" s="93"/>
      <c r="G541" s="106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</row>
    <row r="542" ht="27.0" customHeight="1">
      <c r="A542" s="93"/>
      <c r="B542" s="93"/>
      <c r="C542" s="118"/>
      <c r="D542" s="103"/>
      <c r="E542" s="93"/>
      <c r="F542" s="93"/>
      <c r="G542" s="106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</row>
    <row r="543" ht="27.0" customHeight="1">
      <c r="A543" s="93"/>
      <c r="B543" s="93"/>
      <c r="C543" s="118"/>
      <c r="D543" s="103"/>
      <c r="E543" s="93"/>
      <c r="F543" s="93"/>
      <c r="G543" s="106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</row>
    <row r="544" ht="27.0" customHeight="1">
      <c r="A544" s="93"/>
      <c r="B544" s="93"/>
      <c r="C544" s="118"/>
      <c r="D544" s="103"/>
      <c r="E544" s="93"/>
      <c r="F544" s="93"/>
      <c r="G544" s="106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</row>
    <row r="545" ht="27.0" customHeight="1">
      <c r="A545" s="93"/>
      <c r="B545" s="93"/>
      <c r="C545" s="118"/>
      <c r="D545" s="103"/>
      <c r="E545" s="93"/>
      <c r="F545" s="93"/>
      <c r="G545" s="106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</row>
    <row r="546" ht="27.0" customHeight="1">
      <c r="A546" s="93"/>
      <c r="B546" s="93"/>
      <c r="C546" s="118"/>
      <c r="D546" s="103"/>
      <c r="E546" s="93"/>
      <c r="F546" s="93"/>
      <c r="G546" s="106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</row>
    <row r="547" ht="27.0" customHeight="1">
      <c r="A547" s="93"/>
      <c r="B547" s="93"/>
      <c r="C547" s="118"/>
      <c r="D547" s="103"/>
      <c r="E547" s="93"/>
      <c r="F547" s="93"/>
      <c r="G547" s="106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</row>
    <row r="548" ht="27.0" customHeight="1">
      <c r="A548" s="93"/>
      <c r="B548" s="93"/>
      <c r="C548" s="118"/>
      <c r="D548" s="103"/>
      <c r="E548" s="93"/>
      <c r="F548" s="93"/>
      <c r="G548" s="106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</row>
    <row r="549" ht="27.0" customHeight="1">
      <c r="A549" s="93"/>
      <c r="B549" s="93"/>
      <c r="C549" s="118"/>
      <c r="D549" s="103"/>
      <c r="E549" s="93"/>
      <c r="F549" s="93"/>
      <c r="G549" s="106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</row>
    <row r="550" ht="27.0" customHeight="1">
      <c r="A550" s="93"/>
      <c r="B550" s="93"/>
      <c r="C550" s="118"/>
      <c r="D550" s="103"/>
      <c r="E550" s="93"/>
      <c r="F550" s="93"/>
      <c r="G550" s="106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</row>
    <row r="551" ht="27.0" customHeight="1">
      <c r="A551" s="93"/>
      <c r="B551" s="93"/>
      <c r="C551" s="118"/>
      <c r="D551" s="103"/>
      <c r="E551" s="93"/>
      <c r="F551" s="93"/>
      <c r="G551" s="106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</row>
    <row r="552" ht="27.0" customHeight="1">
      <c r="A552" s="93"/>
      <c r="B552" s="93"/>
      <c r="C552" s="118"/>
      <c r="D552" s="103"/>
      <c r="E552" s="93"/>
      <c r="F552" s="93"/>
      <c r="G552" s="106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</row>
    <row r="553" ht="27.0" customHeight="1">
      <c r="A553" s="93"/>
      <c r="B553" s="93"/>
      <c r="C553" s="118"/>
      <c r="D553" s="103"/>
      <c r="E553" s="93"/>
      <c r="F553" s="93"/>
      <c r="G553" s="106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</row>
    <row r="554" ht="27.0" customHeight="1">
      <c r="A554" s="93"/>
      <c r="B554" s="93"/>
      <c r="C554" s="118"/>
      <c r="D554" s="103"/>
      <c r="E554" s="93"/>
      <c r="F554" s="93"/>
      <c r="G554" s="106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</row>
    <row r="555" ht="27.0" customHeight="1">
      <c r="A555" s="93"/>
      <c r="B555" s="93"/>
      <c r="C555" s="118"/>
      <c r="D555" s="103"/>
      <c r="E555" s="93"/>
      <c r="F555" s="93"/>
      <c r="G555" s="106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</row>
    <row r="556" ht="27.0" customHeight="1">
      <c r="A556" s="93"/>
      <c r="B556" s="93"/>
      <c r="C556" s="118"/>
      <c r="D556" s="103"/>
      <c r="E556" s="93"/>
      <c r="F556" s="93"/>
      <c r="G556" s="106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</row>
    <row r="557" ht="27.0" customHeight="1">
      <c r="A557" s="93"/>
      <c r="B557" s="93"/>
      <c r="C557" s="118"/>
      <c r="D557" s="103"/>
      <c r="E557" s="93"/>
      <c r="F557" s="93"/>
      <c r="G557" s="106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</row>
    <row r="558" ht="27.0" customHeight="1">
      <c r="A558" s="93"/>
      <c r="B558" s="93"/>
      <c r="C558" s="118"/>
      <c r="D558" s="103"/>
      <c r="E558" s="93"/>
      <c r="F558" s="93"/>
      <c r="G558" s="106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</row>
    <row r="559" ht="27.0" customHeight="1">
      <c r="A559" s="93"/>
      <c r="B559" s="93"/>
      <c r="C559" s="118"/>
      <c r="D559" s="103"/>
      <c r="E559" s="93"/>
      <c r="F559" s="93"/>
      <c r="G559" s="106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</row>
    <row r="560" ht="27.0" customHeight="1">
      <c r="A560" s="93"/>
      <c r="B560" s="93"/>
      <c r="C560" s="118"/>
      <c r="D560" s="103"/>
      <c r="E560" s="93"/>
      <c r="F560" s="93"/>
      <c r="G560" s="106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</row>
    <row r="561" ht="27.0" customHeight="1">
      <c r="A561" s="93"/>
      <c r="B561" s="93"/>
      <c r="C561" s="118"/>
      <c r="D561" s="103"/>
      <c r="E561" s="93"/>
      <c r="F561" s="93"/>
      <c r="G561" s="106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</row>
    <row r="562" ht="27.0" customHeight="1">
      <c r="A562" s="93"/>
      <c r="B562" s="93"/>
      <c r="C562" s="118"/>
      <c r="D562" s="103"/>
      <c r="E562" s="93"/>
      <c r="F562" s="93"/>
      <c r="G562" s="106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</row>
    <row r="563" ht="27.0" customHeight="1">
      <c r="A563" s="93"/>
      <c r="B563" s="93"/>
      <c r="C563" s="118"/>
      <c r="D563" s="103"/>
      <c r="E563" s="93"/>
      <c r="F563" s="93"/>
      <c r="G563" s="106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</row>
    <row r="564" ht="27.0" customHeight="1">
      <c r="A564" s="93"/>
      <c r="B564" s="93"/>
      <c r="C564" s="118"/>
      <c r="D564" s="103"/>
      <c r="E564" s="93"/>
      <c r="F564" s="93"/>
      <c r="G564" s="106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</row>
    <row r="565" ht="27.0" customHeight="1">
      <c r="A565" s="93"/>
      <c r="B565" s="93"/>
      <c r="C565" s="118"/>
      <c r="D565" s="103"/>
      <c r="E565" s="93"/>
      <c r="F565" s="93"/>
      <c r="G565" s="106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</row>
    <row r="566" ht="27.0" customHeight="1">
      <c r="A566" s="93"/>
      <c r="B566" s="93"/>
      <c r="C566" s="118"/>
      <c r="D566" s="103"/>
      <c r="E566" s="93"/>
      <c r="F566" s="93"/>
      <c r="G566" s="106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</row>
    <row r="567" ht="27.0" customHeight="1">
      <c r="A567" s="93"/>
      <c r="B567" s="93"/>
      <c r="C567" s="118"/>
      <c r="D567" s="103"/>
      <c r="E567" s="93"/>
      <c r="F567" s="93"/>
      <c r="G567" s="106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</row>
    <row r="568" ht="27.0" customHeight="1">
      <c r="A568" s="93"/>
      <c r="B568" s="93"/>
      <c r="C568" s="118"/>
      <c r="D568" s="103"/>
      <c r="E568" s="93"/>
      <c r="F568" s="93"/>
      <c r="G568" s="106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</row>
    <row r="569" ht="27.0" customHeight="1">
      <c r="A569" s="93"/>
      <c r="B569" s="93"/>
      <c r="C569" s="118"/>
      <c r="D569" s="103"/>
      <c r="E569" s="93"/>
      <c r="F569" s="93"/>
      <c r="G569" s="106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</row>
    <row r="570" ht="27.0" customHeight="1">
      <c r="A570" s="93"/>
      <c r="B570" s="93"/>
      <c r="C570" s="118"/>
      <c r="D570" s="103"/>
      <c r="E570" s="93"/>
      <c r="F570" s="93"/>
      <c r="G570" s="106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</row>
    <row r="571" ht="27.0" customHeight="1">
      <c r="A571" s="93"/>
      <c r="B571" s="93"/>
      <c r="C571" s="118"/>
      <c r="D571" s="103"/>
      <c r="E571" s="93"/>
      <c r="F571" s="93"/>
      <c r="G571" s="106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</row>
    <row r="572" ht="27.0" customHeight="1">
      <c r="A572" s="93"/>
      <c r="B572" s="93"/>
      <c r="C572" s="118"/>
      <c r="D572" s="103"/>
      <c r="E572" s="93"/>
      <c r="F572" s="93"/>
      <c r="G572" s="106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</row>
    <row r="573" ht="27.0" customHeight="1">
      <c r="A573" s="93"/>
      <c r="B573" s="93"/>
      <c r="C573" s="118"/>
      <c r="D573" s="103"/>
      <c r="E573" s="93"/>
      <c r="F573" s="93"/>
      <c r="G573" s="106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</row>
    <row r="574" ht="27.0" customHeight="1">
      <c r="A574" s="93"/>
      <c r="B574" s="93"/>
      <c r="C574" s="118"/>
      <c r="D574" s="103"/>
      <c r="E574" s="93"/>
      <c r="F574" s="93"/>
      <c r="G574" s="106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</row>
    <row r="575" ht="27.0" customHeight="1">
      <c r="A575" s="93"/>
      <c r="B575" s="93"/>
      <c r="C575" s="118"/>
      <c r="D575" s="103"/>
      <c r="E575" s="93"/>
      <c r="F575" s="93"/>
      <c r="G575" s="106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</row>
    <row r="576" ht="27.0" customHeight="1">
      <c r="A576" s="93"/>
      <c r="B576" s="93"/>
      <c r="C576" s="118"/>
      <c r="D576" s="103"/>
      <c r="E576" s="93"/>
      <c r="F576" s="93"/>
      <c r="G576" s="106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</row>
    <row r="577" ht="27.0" customHeight="1">
      <c r="A577" s="93"/>
      <c r="B577" s="93"/>
      <c r="C577" s="118"/>
      <c r="D577" s="103"/>
      <c r="E577" s="93"/>
      <c r="F577" s="93"/>
      <c r="G577" s="106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</row>
    <row r="578" ht="27.0" customHeight="1">
      <c r="A578" s="93"/>
      <c r="B578" s="93"/>
      <c r="C578" s="118"/>
      <c r="D578" s="103"/>
      <c r="E578" s="93"/>
      <c r="F578" s="93"/>
      <c r="G578" s="106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</row>
    <row r="579" ht="27.0" customHeight="1">
      <c r="A579" s="93"/>
      <c r="B579" s="93"/>
      <c r="C579" s="118"/>
      <c r="D579" s="103"/>
      <c r="E579" s="93"/>
      <c r="F579" s="93"/>
      <c r="G579" s="106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</row>
    <row r="580" ht="27.0" customHeight="1">
      <c r="A580" s="93"/>
      <c r="B580" s="93"/>
      <c r="C580" s="118"/>
      <c r="D580" s="103"/>
      <c r="E580" s="93"/>
      <c r="F580" s="93"/>
      <c r="G580" s="106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</row>
    <row r="581" ht="27.0" customHeight="1">
      <c r="A581" s="93"/>
      <c r="B581" s="93"/>
      <c r="C581" s="118"/>
      <c r="D581" s="103"/>
      <c r="E581" s="93"/>
      <c r="F581" s="93"/>
      <c r="G581" s="106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</row>
    <row r="582" ht="27.0" customHeight="1">
      <c r="A582" s="93"/>
      <c r="B582" s="93"/>
      <c r="C582" s="118"/>
      <c r="D582" s="103"/>
      <c r="E582" s="93"/>
      <c r="F582" s="93"/>
      <c r="G582" s="106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</row>
    <row r="583" ht="27.0" customHeight="1">
      <c r="A583" s="93"/>
      <c r="B583" s="93"/>
      <c r="C583" s="118"/>
      <c r="D583" s="103"/>
      <c r="E583" s="93"/>
      <c r="F583" s="93"/>
      <c r="G583" s="106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</row>
    <row r="584" ht="27.0" customHeight="1">
      <c r="A584" s="93"/>
      <c r="B584" s="93"/>
      <c r="C584" s="118"/>
      <c r="D584" s="103"/>
      <c r="E584" s="93"/>
      <c r="F584" s="93"/>
      <c r="G584" s="106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</row>
    <row r="585" ht="27.0" customHeight="1">
      <c r="A585" s="93"/>
      <c r="B585" s="93"/>
      <c r="C585" s="118"/>
      <c r="D585" s="103"/>
      <c r="E585" s="93"/>
      <c r="F585" s="93"/>
      <c r="G585" s="106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</row>
    <row r="586" ht="27.0" customHeight="1">
      <c r="A586" s="93"/>
      <c r="B586" s="93"/>
      <c r="C586" s="118"/>
      <c r="D586" s="103"/>
      <c r="E586" s="93"/>
      <c r="F586" s="93"/>
      <c r="G586" s="106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</row>
    <row r="587" ht="27.0" customHeight="1">
      <c r="A587" s="93"/>
      <c r="B587" s="93"/>
      <c r="C587" s="118"/>
      <c r="D587" s="103"/>
      <c r="E587" s="93"/>
      <c r="F587" s="93"/>
      <c r="G587" s="106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</row>
    <row r="588" ht="27.0" customHeight="1">
      <c r="A588" s="93"/>
      <c r="B588" s="93"/>
      <c r="C588" s="118"/>
      <c r="D588" s="103"/>
      <c r="E588" s="93"/>
      <c r="F588" s="93"/>
      <c r="G588" s="106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</row>
    <row r="589" ht="27.0" customHeight="1">
      <c r="A589" s="93"/>
      <c r="B589" s="93"/>
      <c r="C589" s="118"/>
      <c r="D589" s="103"/>
      <c r="E589" s="93"/>
      <c r="F589" s="93"/>
      <c r="G589" s="106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</row>
    <row r="590" ht="27.0" customHeight="1">
      <c r="A590" s="93"/>
      <c r="B590" s="93"/>
      <c r="C590" s="118"/>
      <c r="D590" s="103"/>
      <c r="E590" s="93"/>
      <c r="F590" s="93"/>
      <c r="G590" s="106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</row>
    <row r="591" ht="27.0" customHeight="1">
      <c r="A591" s="93"/>
      <c r="B591" s="93"/>
      <c r="C591" s="118"/>
      <c r="D591" s="103"/>
      <c r="E591" s="93"/>
      <c r="F591" s="93"/>
      <c r="G591" s="106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</row>
    <row r="592" ht="27.0" customHeight="1">
      <c r="A592" s="93"/>
      <c r="B592" s="93"/>
      <c r="C592" s="118"/>
      <c r="D592" s="103"/>
      <c r="E592" s="93"/>
      <c r="F592" s="93"/>
      <c r="G592" s="106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</row>
    <row r="593" ht="27.0" customHeight="1">
      <c r="A593" s="93"/>
      <c r="B593" s="93"/>
      <c r="C593" s="118"/>
      <c r="D593" s="103"/>
      <c r="E593" s="93"/>
      <c r="F593" s="93"/>
      <c r="G593" s="106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</row>
    <row r="594" ht="27.0" customHeight="1">
      <c r="A594" s="93"/>
      <c r="B594" s="93"/>
      <c r="C594" s="118"/>
      <c r="D594" s="103"/>
      <c r="E594" s="93"/>
      <c r="F594" s="93"/>
      <c r="G594" s="106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</row>
    <row r="595" ht="27.0" customHeight="1">
      <c r="A595" s="93"/>
      <c r="B595" s="93"/>
      <c r="C595" s="118"/>
      <c r="D595" s="103"/>
      <c r="E595" s="93"/>
      <c r="F595" s="93"/>
      <c r="G595" s="106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</row>
    <row r="596" ht="27.0" customHeight="1">
      <c r="A596" s="93"/>
      <c r="B596" s="93"/>
      <c r="C596" s="118"/>
      <c r="D596" s="103"/>
      <c r="E596" s="93"/>
      <c r="F596" s="93"/>
      <c r="G596" s="106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</row>
    <row r="597" ht="27.0" customHeight="1">
      <c r="A597" s="93"/>
      <c r="B597" s="93"/>
      <c r="C597" s="118"/>
      <c r="D597" s="103"/>
      <c r="E597" s="93"/>
      <c r="F597" s="93"/>
      <c r="G597" s="106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</row>
    <row r="598" ht="27.0" customHeight="1">
      <c r="A598" s="93"/>
      <c r="B598" s="93"/>
      <c r="C598" s="118"/>
      <c r="D598" s="103"/>
      <c r="E598" s="93"/>
      <c r="F598" s="93"/>
      <c r="G598" s="106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</row>
    <row r="599" ht="27.0" customHeight="1">
      <c r="A599" s="93"/>
      <c r="B599" s="93"/>
      <c r="C599" s="118"/>
      <c r="D599" s="103"/>
      <c r="E599" s="93"/>
      <c r="F599" s="93"/>
      <c r="G599" s="106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</row>
    <row r="600" ht="27.0" customHeight="1">
      <c r="A600" s="93"/>
      <c r="B600" s="93"/>
      <c r="C600" s="118"/>
      <c r="D600" s="103"/>
      <c r="E600" s="93"/>
      <c r="F600" s="93"/>
      <c r="G600" s="106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</row>
    <row r="601" ht="27.0" customHeight="1">
      <c r="A601" s="93"/>
      <c r="B601" s="93"/>
      <c r="C601" s="118"/>
      <c r="D601" s="103"/>
      <c r="E601" s="93"/>
      <c r="F601" s="93"/>
      <c r="G601" s="106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</row>
    <row r="602" ht="27.0" customHeight="1">
      <c r="A602" s="93"/>
      <c r="B602" s="93"/>
      <c r="C602" s="118"/>
      <c r="D602" s="103"/>
      <c r="E602" s="93"/>
      <c r="F602" s="93"/>
      <c r="G602" s="106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</row>
    <row r="603" ht="27.0" customHeight="1">
      <c r="A603" s="93"/>
      <c r="B603" s="93"/>
      <c r="C603" s="118"/>
      <c r="D603" s="103"/>
      <c r="E603" s="93"/>
      <c r="F603" s="93"/>
      <c r="G603" s="106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</row>
    <row r="604" ht="27.0" customHeight="1">
      <c r="A604" s="93"/>
      <c r="B604" s="93"/>
      <c r="C604" s="118"/>
      <c r="D604" s="103"/>
      <c r="E604" s="93"/>
      <c r="F604" s="93"/>
      <c r="G604" s="106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</row>
    <row r="605" ht="27.0" customHeight="1">
      <c r="A605" s="93"/>
      <c r="B605" s="93"/>
      <c r="C605" s="118"/>
      <c r="D605" s="103"/>
      <c r="E605" s="93"/>
      <c r="F605" s="93"/>
      <c r="G605" s="106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</row>
    <row r="606" ht="27.0" customHeight="1">
      <c r="A606" s="93"/>
      <c r="B606" s="93"/>
      <c r="C606" s="118"/>
      <c r="D606" s="103"/>
      <c r="E606" s="93"/>
      <c r="F606" s="93"/>
      <c r="G606" s="106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</row>
    <row r="607" ht="27.0" customHeight="1">
      <c r="A607" s="93"/>
      <c r="B607" s="93"/>
      <c r="C607" s="118"/>
      <c r="D607" s="103"/>
      <c r="E607" s="93"/>
      <c r="F607" s="93"/>
      <c r="G607" s="106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</row>
    <row r="608" ht="27.0" customHeight="1">
      <c r="A608" s="93"/>
      <c r="B608" s="93"/>
      <c r="C608" s="118"/>
      <c r="D608" s="103"/>
      <c r="E608" s="93"/>
      <c r="F608" s="93"/>
      <c r="G608" s="106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</row>
    <row r="609" ht="27.0" customHeight="1">
      <c r="A609" s="93"/>
      <c r="B609" s="93"/>
      <c r="C609" s="118"/>
      <c r="D609" s="103"/>
      <c r="E609" s="93"/>
      <c r="F609" s="93"/>
      <c r="G609" s="106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</row>
    <row r="610" ht="27.0" customHeight="1">
      <c r="A610" s="93"/>
      <c r="B610" s="93"/>
      <c r="C610" s="118"/>
      <c r="D610" s="103"/>
      <c r="E610" s="93"/>
      <c r="F610" s="93"/>
      <c r="G610" s="106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</row>
    <row r="611" ht="27.0" customHeight="1">
      <c r="A611" s="93"/>
      <c r="B611" s="93"/>
      <c r="C611" s="118"/>
      <c r="D611" s="103"/>
      <c r="E611" s="93"/>
      <c r="F611" s="93"/>
      <c r="G611" s="106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</row>
    <row r="612" ht="27.0" customHeight="1">
      <c r="A612" s="93"/>
      <c r="B612" s="93"/>
      <c r="C612" s="118"/>
      <c r="D612" s="103"/>
      <c r="E612" s="93"/>
      <c r="F612" s="93"/>
      <c r="G612" s="106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</row>
    <row r="613" ht="27.0" customHeight="1">
      <c r="A613" s="93"/>
      <c r="B613" s="93"/>
      <c r="C613" s="118"/>
      <c r="D613" s="103"/>
      <c r="E613" s="93"/>
      <c r="F613" s="93"/>
      <c r="G613" s="106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</row>
    <row r="614" ht="27.0" customHeight="1">
      <c r="A614" s="93"/>
      <c r="B614" s="93"/>
      <c r="C614" s="118"/>
      <c r="D614" s="103"/>
      <c r="E614" s="93"/>
      <c r="F614" s="93"/>
      <c r="G614" s="106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</row>
    <row r="615" ht="27.0" customHeight="1">
      <c r="A615" s="93"/>
      <c r="B615" s="93"/>
      <c r="C615" s="118"/>
      <c r="D615" s="103"/>
      <c r="E615" s="93"/>
      <c r="F615" s="93"/>
      <c r="G615" s="106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</row>
    <row r="616" ht="27.0" customHeight="1">
      <c r="A616" s="93"/>
      <c r="B616" s="93"/>
      <c r="C616" s="118"/>
      <c r="D616" s="103"/>
      <c r="E616" s="93"/>
      <c r="F616" s="93"/>
      <c r="G616" s="106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</row>
    <row r="617" ht="27.0" customHeight="1">
      <c r="A617" s="93"/>
      <c r="B617" s="93"/>
      <c r="C617" s="118"/>
      <c r="D617" s="103"/>
      <c r="E617" s="93"/>
      <c r="F617" s="93"/>
      <c r="G617" s="106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</row>
    <row r="618" ht="27.0" customHeight="1">
      <c r="A618" s="93"/>
      <c r="B618" s="93"/>
      <c r="C618" s="118"/>
      <c r="D618" s="103"/>
      <c r="E618" s="93"/>
      <c r="F618" s="93"/>
      <c r="G618" s="106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</row>
    <row r="619" ht="27.0" customHeight="1">
      <c r="A619" s="93"/>
      <c r="B619" s="93"/>
      <c r="C619" s="118"/>
      <c r="D619" s="103"/>
      <c r="E619" s="93"/>
      <c r="F619" s="93"/>
      <c r="G619" s="106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</row>
    <row r="620" ht="27.0" customHeight="1">
      <c r="A620" s="93"/>
      <c r="B620" s="93"/>
      <c r="C620" s="118"/>
      <c r="D620" s="103"/>
      <c r="E620" s="93"/>
      <c r="F620" s="93"/>
      <c r="G620" s="106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</row>
    <row r="621" ht="27.0" customHeight="1">
      <c r="A621" s="93"/>
      <c r="B621" s="93"/>
      <c r="C621" s="118"/>
      <c r="D621" s="103"/>
      <c r="E621" s="93"/>
      <c r="F621" s="93"/>
      <c r="G621" s="106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</row>
    <row r="622" ht="27.0" customHeight="1">
      <c r="A622" s="93"/>
      <c r="B622" s="93"/>
      <c r="C622" s="118"/>
      <c r="D622" s="103"/>
      <c r="E622" s="93"/>
      <c r="F622" s="93"/>
      <c r="G622" s="106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</row>
    <row r="623" ht="27.0" customHeight="1">
      <c r="A623" s="93"/>
      <c r="B623" s="93"/>
      <c r="C623" s="118"/>
      <c r="D623" s="103"/>
      <c r="E623" s="93"/>
      <c r="F623" s="93"/>
      <c r="G623" s="106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</row>
    <row r="624" ht="27.0" customHeight="1">
      <c r="A624" s="93"/>
      <c r="B624" s="93"/>
      <c r="C624" s="118"/>
      <c r="D624" s="103"/>
      <c r="E624" s="93"/>
      <c r="F624" s="93"/>
      <c r="G624" s="106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</row>
    <row r="625" ht="27.0" customHeight="1">
      <c r="A625" s="93"/>
      <c r="B625" s="93"/>
      <c r="C625" s="118"/>
      <c r="D625" s="103"/>
      <c r="E625" s="93"/>
      <c r="F625" s="93"/>
      <c r="G625" s="106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</row>
    <row r="626" ht="27.0" customHeight="1">
      <c r="A626" s="93"/>
      <c r="B626" s="93"/>
      <c r="C626" s="118"/>
      <c r="D626" s="103"/>
      <c r="E626" s="93"/>
      <c r="F626" s="93"/>
      <c r="G626" s="106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</row>
    <row r="627" ht="27.0" customHeight="1">
      <c r="A627" s="93"/>
      <c r="B627" s="93"/>
      <c r="C627" s="118"/>
      <c r="D627" s="103"/>
      <c r="E627" s="93"/>
      <c r="F627" s="93"/>
      <c r="G627" s="106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</row>
    <row r="628" ht="27.0" customHeight="1">
      <c r="A628" s="93"/>
      <c r="B628" s="93"/>
      <c r="C628" s="118"/>
      <c r="D628" s="103"/>
      <c r="E628" s="93"/>
      <c r="F628" s="93"/>
      <c r="G628" s="106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</row>
    <row r="629" ht="27.0" customHeight="1">
      <c r="A629" s="93"/>
      <c r="B629" s="93"/>
      <c r="C629" s="118"/>
      <c r="D629" s="103"/>
      <c r="E629" s="93"/>
      <c r="F629" s="93"/>
      <c r="G629" s="106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</row>
    <row r="630" ht="27.0" customHeight="1">
      <c r="A630" s="93"/>
      <c r="B630" s="93"/>
      <c r="C630" s="118"/>
      <c r="D630" s="103"/>
      <c r="E630" s="93"/>
      <c r="F630" s="93"/>
      <c r="G630" s="106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</row>
    <row r="631" ht="27.0" customHeight="1">
      <c r="A631" s="93"/>
      <c r="B631" s="93"/>
      <c r="C631" s="118"/>
      <c r="D631" s="103"/>
      <c r="E631" s="93"/>
      <c r="F631" s="93"/>
      <c r="G631" s="106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</row>
    <row r="632" ht="27.0" customHeight="1">
      <c r="A632" s="93"/>
      <c r="B632" s="93"/>
      <c r="C632" s="118"/>
      <c r="D632" s="103"/>
      <c r="E632" s="93"/>
      <c r="F632" s="93"/>
      <c r="G632" s="106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</row>
    <row r="633" ht="27.0" customHeight="1">
      <c r="A633" s="93"/>
      <c r="B633" s="93"/>
      <c r="C633" s="118"/>
      <c r="D633" s="103"/>
      <c r="E633" s="93"/>
      <c r="F633" s="93"/>
      <c r="G633" s="106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</row>
    <row r="634" ht="27.0" customHeight="1">
      <c r="A634" s="93"/>
      <c r="B634" s="93"/>
      <c r="C634" s="118"/>
      <c r="D634" s="103"/>
      <c r="E634" s="93"/>
      <c r="F634" s="93"/>
      <c r="G634" s="106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</row>
    <row r="635" ht="27.0" customHeight="1">
      <c r="A635" s="93"/>
      <c r="B635" s="93"/>
      <c r="C635" s="118"/>
      <c r="D635" s="103"/>
      <c r="E635" s="93"/>
      <c r="F635" s="93"/>
      <c r="G635" s="106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</row>
    <row r="636" ht="27.0" customHeight="1">
      <c r="A636" s="93"/>
      <c r="B636" s="93"/>
      <c r="C636" s="118"/>
      <c r="D636" s="103"/>
      <c r="E636" s="93"/>
      <c r="F636" s="93"/>
      <c r="G636" s="106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</row>
    <row r="637" ht="27.0" customHeight="1">
      <c r="A637" s="93"/>
      <c r="B637" s="93"/>
      <c r="C637" s="118"/>
      <c r="D637" s="103"/>
      <c r="E637" s="93"/>
      <c r="F637" s="93"/>
      <c r="G637" s="106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</row>
    <row r="638" ht="27.0" customHeight="1">
      <c r="A638" s="93"/>
      <c r="B638" s="93"/>
      <c r="C638" s="118"/>
      <c r="D638" s="103"/>
      <c r="E638" s="93"/>
      <c r="F638" s="93"/>
      <c r="G638" s="106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</row>
    <row r="639" ht="27.0" customHeight="1">
      <c r="A639" s="93"/>
      <c r="B639" s="93"/>
      <c r="C639" s="118"/>
      <c r="D639" s="103"/>
      <c r="E639" s="93"/>
      <c r="F639" s="93"/>
      <c r="G639" s="106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</row>
    <row r="640" ht="27.0" customHeight="1">
      <c r="A640" s="93"/>
      <c r="B640" s="93"/>
      <c r="C640" s="118"/>
      <c r="D640" s="103"/>
      <c r="E640" s="93"/>
      <c r="F640" s="93"/>
      <c r="G640" s="106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</row>
    <row r="641" ht="27.0" customHeight="1">
      <c r="A641" s="93"/>
      <c r="B641" s="93"/>
      <c r="C641" s="118"/>
      <c r="D641" s="103"/>
      <c r="E641" s="93"/>
      <c r="F641" s="93"/>
      <c r="G641" s="106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</row>
    <row r="642" ht="27.0" customHeight="1">
      <c r="A642" s="93"/>
      <c r="B642" s="93"/>
      <c r="C642" s="118"/>
      <c r="D642" s="103"/>
      <c r="E642" s="93"/>
      <c r="F642" s="93"/>
      <c r="G642" s="106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</row>
    <row r="643" ht="27.0" customHeight="1">
      <c r="A643" s="93"/>
      <c r="B643" s="93"/>
      <c r="C643" s="118"/>
      <c r="D643" s="103"/>
      <c r="E643" s="93"/>
      <c r="F643" s="93"/>
      <c r="G643" s="106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</row>
    <row r="644" ht="27.0" customHeight="1">
      <c r="A644" s="93"/>
      <c r="B644" s="93"/>
      <c r="C644" s="118"/>
      <c r="D644" s="103"/>
      <c r="E644" s="93"/>
      <c r="F644" s="93"/>
      <c r="G644" s="106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</row>
    <row r="645" ht="27.0" customHeight="1">
      <c r="A645" s="93"/>
      <c r="B645" s="93"/>
      <c r="C645" s="118"/>
      <c r="D645" s="103"/>
      <c r="E645" s="93"/>
      <c r="F645" s="93"/>
      <c r="G645" s="106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</row>
    <row r="646" ht="27.0" customHeight="1">
      <c r="A646" s="93"/>
      <c r="B646" s="93"/>
      <c r="C646" s="118"/>
      <c r="D646" s="103"/>
      <c r="E646" s="93"/>
      <c r="F646" s="93"/>
      <c r="G646" s="106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</row>
    <row r="647" ht="27.0" customHeight="1">
      <c r="A647" s="93"/>
      <c r="B647" s="93"/>
      <c r="C647" s="118"/>
      <c r="D647" s="103"/>
      <c r="E647" s="93"/>
      <c r="F647" s="93"/>
      <c r="G647" s="106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</row>
    <row r="648" ht="27.0" customHeight="1">
      <c r="A648" s="93"/>
      <c r="B648" s="93"/>
      <c r="C648" s="118"/>
      <c r="D648" s="103"/>
      <c r="E648" s="93"/>
      <c r="F648" s="93"/>
      <c r="G648" s="106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</row>
    <row r="649" ht="27.0" customHeight="1">
      <c r="A649" s="93"/>
      <c r="B649" s="93"/>
      <c r="C649" s="118"/>
      <c r="D649" s="103"/>
      <c r="E649" s="93"/>
      <c r="F649" s="93"/>
      <c r="G649" s="106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</row>
    <row r="650" ht="27.0" customHeight="1">
      <c r="A650" s="93"/>
      <c r="B650" s="93"/>
      <c r="C650" s="118"/>
      <c r="D650" s="103"/>
      <c r="E650" s="93"/>
      <c r="F650" s="93"/>
      <c r="G650" s="106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</row>
    <row r="651" ht="27.0" customHeight="1">
      <c r="A651" s="93"/>
      <c r="B651" s="93"/>
      <c r="C651" s="118"/>
      <c r="D651" s="103"/>
      <c r="E651" s="93"/>
      <c r="F651" s="93"/>
      <c r="G651" s="106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</row>
    <row r="652" ht="27.0" customHeight="1">
      <c r="A652" s="93"/>
      <c r="B652" s="93"/>
      <c r="C652" s="118"/>
      <c r="D652" s="103"/>
      <c r="E652" s="93"/>
      <c r="F652" s="93"/>
      <c r="G652" s="106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</row>
    <row r="653" ht="27.0" customHeight="1">
      <c r="A653" s="93"/>
      <c r="B653" s="93"/>
      <c r="C653" s="118"/>
      <c r="D653" s="103"/>
      <c r="E653" s="93"/>
      <c r="F653" s="93"/>
      <c r="G653" s="106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</row>
    <row r="654" ht="27.0" customHeight="1">
      <c r="A654" s="93"/>
      <c r="B654" s="93"/>
      <c r="C654" s="118"/>
      <c r="D654" s="103"/>
      <c r="E654" s="93"/>
      <c r="F654" s="93"/>
      <c r="G654" s="106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</row>
    <row r="655" ht="27.0" customHeight="1">
      <c r="A655" s="93"/>
      <c r="B655" s="93"/>
      <c r="C655" s="118"/>
      <c r="D655" s="103"/>
      <c r="E655" s="93"/>
      <c r="F655" s="93"/>
      <c r="G655" s="106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</row>
    <row r="656" ht="27.0" customHeight="1">
      <c r="A656" s="93"/>
      <c r="B656" s="93"/>
      <c r="C656" s="118"/>
      <c r="D656" s="103"/>
      <c r="E656" s="93"/>
      <c r="F656" s="93"/>
      <c r="G656" s="106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</row>
    <row r="657" ht="27.0" customHeight="1">
      <c r="A657" s="93"/>
      <c r="B657" s="93"/>
      <c r="C657" s="118"/>
      <c r="D657" s="103"/>
      <c r="E657" s="93"/>
      <c r="F657" s="93"/>
      <c r="G657" s="106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</row>
    <row r="658" ht="27.0" customHeight="1">
      <c r="A658" s="93"/>
      <c r="B658" s="93"/>
      <c r="C658" s="118"/>
      <c r="D658" s="103"/>
      <c r="E658" s="93"/>
      <c r="F658" s="93"/>
      <c r="G658" s="106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</row>
    <row r="659" ht="27.0" customHeight="1">
      <c r="A659" s="93"/>
      <c r="B659" s="93"/>
      <c r="C659" s="118"/>
      <c r="D659" s="103"/>
      <c r="E659" s="93"/>
      <c r="F659" s="93"/>
      <c r="G659" s="106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</row>
    <row r="660" ht="27.0" customHeight="1">
      <c r="A660" s="93"/>
      <c r="B660" s="93"/>
      <c r="C660" s="118"/>
      <c r="D660" s="103"/>
      <c r="E660" s="93"/>
      <c r="F660" s="93"/>
      <c r="G660" s="106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</row>
    <row r="661" ht="27.0" customHeight="1">
      <c r="A661" s="93"/>
      <c r="B661" s="93"/>
      <c r="C661" s="118"/>
      <c r="D661" s="103"/>
      <c r="E661" s="93"/>
      <c r="F661" s="93"/>
      <c r="G661" s="106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</row>
    <row r="662" ht="27.0" customHeight="1">
      <c r="A662" s="93"/>
      <c r="B662" s="93"/>
      <c r="C662" s="118"/>
      <c r="D662" s="103"/>
      <c r="E662" s="93"/>
      <c r="F662" s="93"/>
      <c r="G662" s="106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</row>
    <row r="663" ht="27.0" customHeight="1">
      <c r="A663" s="93"/>
      <c r="B663" s="93"/>
      <c r="C663" s="118"/>
      <c r="D663" s="103"/>
      <c r="E663" s="93"/>
      <c r="F663" s="93"/>
      <c r="G663" s="106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</row>
    <row r="664" ht="27.0" customHeight="1">
      <c r="A664" s="93"/>
      <c r="B664" s="93"/>
      <c r="C664" s="118"/>
      <c r="D664" s="103"/>
      <c r="E664" s="93"/>
      <c r="F664" s="93"/>
      <c r="G664" s="106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</row>
    <row r="665" ht="27.0" customHeight="1">
      <c r="A665" s="93"/>
      <c r="B665" s="93"/>
      <c r="C665" s="118"/>
      <c r="D665" s="103"/>
      <c r="E665" s="93"/>
      <c r="F665" s="93"/>
      <c r="G665" s="106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</row>
    <row r="666" ht="27.0" customHeight="1">
      <c r="A666" s="93"/>
      <c r="B666" s="93"/>
      <c r="C666" s="118"/>
      <c r="D666" s="103"/>
      <c r="E666" s="93"/>
      <c r="F666" s="93"/>
      <c r="G666" s="106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</row>
    <row r="667" ht="27.0" customHeight="1">
      <c r="A667" s="93"/>
      <c r="B667" s="93"/>
      <c r="C667" s="118"/>
      <c r="D667" s="103"/>
      <c r="E667" s="93"/>
      <c r="F667" s="93"/>
      <c r="G667" s="106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</row>
    <row r="668" ht="27.0" customHeight="1">
      <c r="A668" s="93"/>
      <c r="B668" s="93"/>
      <c r="C668" s="118"/>
      <c r="D668" s="103"/>
      <c r="E668" s="93"/>
      <c r="F668" s="93"/>
      <c r="G668" s="106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</row>
    <row r="669" ht="27.0" customHeight="1">
      <c r="A669" s="93"/>
      <c r="B669" s="93"/>
      <c r="C669" s="118"/>
      <c r="D669" s="103"/>
      <c r="E669" s="93"/>
      <c r="F669" s="93"/>
      <c r="G669" s="106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</row>
    <row r="670" ht="27.0" customHeight="1">
      <c r="A670" s="93"/>
      <c r="B670" s="93"/>
      <c r="C670" s="118"/>
      <c r="D670" s="103"/>
      <c r="E670" s="93"/>
      <c r="F670" s="93"/>
      <c r="G670" s="106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</row>
    <row r="671" ht="27.0" customHeight="1">
      <c r="A671" s="93"/>
      <c r="B671" s="93"/>
      <c r="C671" s="118"/>
      <c r="D671" s="103"/>
      <c r="E671" s="93"/>
      <c r="F671" s="93"/>
      <c r="G671" s="106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</row>
    <row r="672" ht="27.0" customHeight="1">
      <c r="A672" s="93"/>
      <c r="B672" s="93"/>
      <c r="C672" s="118"/>
      <c r="D672" s="103"/>
      <c r="E672" s="93"/>
      <c r="F672" s="93"/>
      <c r="G672" s="106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</row>
    <row r="673" ht="27.0" customHeight="1">
      <c r="A673" s="93"/>
      <c r="B673" s="93"/>
      <c r="C673" s="118"/>
      <c r="D673" s="103"/>
      <c r="E673" s="93"/>
      <c r="F673" s="93"/>
      <c r="G673" s="106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</row>
    <row r="674" ht="27.0" customHeight="1">
      <c r="A674" s="93"/>
      <c r="B674" s="93"/>
      <c r="C674" s="118"/>
      <c r="D674" s="103"/>
      <c r="E674" s="93"/>
      <c r="F674" s="93"/>
      <c r="G674" s="106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</row>
    <row r="675" ht="27.0" customHeight="1">
      <c r="A675" s="93"/>
      <c r="B675" s="93"/>
      <c r="C675" s="118"/>
      <c r="D675" s="103"/>
      <c r="E675" s="93"/>
      <c r="F675" s="93"/>
      <c r="G675" s="106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</row>
    <row r="676" ht="27.0" customHeight="1">
      <c r="A676" s="93"/>
      <c r="B676" s="93"/>
      <c r="C676" s="118"/>
      <c r="D676" s="103"/>
      <c r="E676" s="93"/>
      <c r="F676" s="93"/>
      <c r="G676" s="106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</row>
    <row r="677" ht="27.0" customHeight="1">
      <c r="A677" s="93"/>
      <c r="B677" s="93"/>
      <c r="C677" s="118"/>
      <c r="D677" s="103"/>
      <c r="E677" s="93"/>
      <c r="F677" s="93"/>
      <c r="G677" s="106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</row>
    <row r="678" ht="27.0" customHeight="1">
      <c r="A678" s="93"/>
      <c r="B678" s="93"/>
      <c r="C678" s="118"/>
      <c r="D678" s="103"/>
      <c r="E678" s="93"/>
      <c r="F678" s="93"/>
      <c r="G678" s="106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</row>
    <row r="679" ht="27.0" customHeight="1">
      <c r="A679" s="93"/>
      <c r="B679" s="93"/>
      <c r="C679" s="118"/>
      <c r="D679" s="103"/>
      <c r="E679" s="93"/>
      <c r="F679" s="93"/>
      <c r="G679" s="106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</row>
    <row r="680" ht="27.0" customHeight="1">
      <c r="A680" s="93"/>
      <c r="B680" s="93"/>
      <c r="C680" s="118"/>
      <c r="D680" s="103"/>
      <c r="E680" s="93"/>
      <c r="F680" s="93"/>
      <c r="G680" s="106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</row>
    <row r="681" ht="27.0" customHeight="1">
      <c r="A681" s="93"/>
      <c r="B681" s="93"/>
      <c r="C681" s="118"/>
      <c r="D681" s="103"/>
      <c r="E681" s="93"/>
      <c r="F681" s="93"/>
      <c r="G681" s="106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</row>
    <row r="682" ht="27.0" customHeight="1">
      <c r="A682" s="93"/>
      <c r="B682" s="93"/>
      <c r="C682" s="118"/>
      <c r="D682" s="103"/>
      <c r="E682" s="93"/>
      <c r="F682" s="93"/>
      <c r="G682" s="106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</row>
    <row r="683" ht="27.0" customHeight="1">
      <c r="A683" s="93"/>
      <c r="B683" s="93"/>
      <c r="C683" s="118"/>
      <c r="D683" s="103"/>
      <c r="E683" s="93"/>
      <c r="F683" s="93"/>
      <c r="G683" s="106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</row>
    <row r="684" ht="27.0" customHeight="1">
      <c r="A684" s="93"/>
      <c r="B684" s="93"/>
      <c r="C684" s="118"/>
      <c r="D684" s="103"/>
      <c r="E684" s="93"/>
      <c r="F684" s="93"/>
      <c r="G684" s="106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</row>
    <row r="685" ht="27.0" customHeight="1">
      <c r="A685" s="93"/>
      <c r="B685" s="93"/>
      <c r="C685" s="118"/>
      <c r="D685" s="103"/>
      <c r="E685" s="93"/>
      <c r="F685" s="93"/>
      <c r="G685" s="106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</row>
    <row r="686" ht="27.0" customHeight="1">
      <c r="A686" s="93"/>
      <c r="B686" s="93"/>
      <c r="C686" s="118"/>
      <c r="D686" s="103"/>
      <c r="E686" s="93"/>
      <c r="F686" s="93"/>
      <c r="G686" s="106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</row>
    <row r="687" ht="27.0" customHeight="1">
      <c r="A687" s="93"/>
      <c r="B687" s="93"/>
      <c r="C687" s="118"/>
      <c r="D687" s="103"/>
      <c r="E687" s="93"/>
      <c r="F687" s="93"/>
      <c r="G687" s="106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</row>
    <row r="688" ht="27.0" customHeight="1">
      <c r="A688" s="93"/>
      <c r="B688" s="93"/>
      <c r="C688" s="118"/>
      <c r="D688" s="103"/>
      <c r="E688" s="93"/>
      <c r="F688" s="93"/>
      <c r="G688" s="106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</row>
    <row r="689" ht="27.0" customHeight="1">
      <c r="A689" s="93"/>
      <c r="B689" s="93"/>
      <c r="C689" s="118"/>
      <c r="D689" s="103"/>
      <c r="E689" s="93"/>
      <c r="F689" s="93"/>
      <c r="G689" s="106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</row>
    <row r="690" ht="27.0" customHeight="1">
      <c r="A690" s="93"/>
      <c r="B690" s="93"/>
      <c r="C690" s="118"/>
      <c r="D690" s="103"/>
      <c r="E690" s="93"/>
      <c r="F690" s="93"/>
      <c r="G690" s="106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</row>
    <row r="691" ht="27.0" customHeight="1">
      <c r="A691" s="93"/>
      <c r="B691" s="93"/>
      <c r="C691" s="118"/>
      <c r="D691" s="103"/>
      <c r="E691" s="93"/>
      <c r="F691" s="93"/>
      <c r="G691" s="106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</row>
    <row r="692" ht="27.0" customHeight="1">
      <c r="A692" s="93"/>
      <c r="B692" s="93"/>
      <c r="C692" s="118"/>
      <c r="D692" s="103"/>
      <c r="E692" s="93"/>
      <c r="F692" s="93"/>
      <c r="G692" s="106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</row>
    <row r="693" ht="27.0" customHeight="1">
      <c r="A693" s="93"/>
      <c r="B693" s="93"/>
      <c r="C693" s="118"/>
      <c r="D693" s="103"/>
      <c r="E693" s="93"/>
      <c r="F693" s="93"/>
      <c r="G693" s="106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</row>
    <row r="694" ht="27.0" customHeight="1">
      <c r="A694" s="93"/>
      <c r="B694" s="93"/>
      <c r="C694" s="118"/>
      <c r="D694" s="103"/>
      <c r="E694" s="93"/>
      <c r="F694" s="93"/>
      <c r="G694" s="106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</row>
    <row r="695" ht="27.0" customHeight="1">
      <c r="A695" s="93"/>
      <c r="B695" s="93"/>
      <c r="C695" s="118"/>
      <c r="D695" s="103"/>
      <c r="E695" s="93"/>
      <c r="F695" s="93"/>
      <c r="G695" s="106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</row>
    <row r="696" ht="27.0" customHeight="1">
      <c r="A696" s="93"/>
      <c r="B696" s="93"/>
      <c r="C696" s="118"/>
      <c r="D696" s="103"/>
      <c r="E696" s="93"/>
      <c r="F696" s="93"/>
      <c r="G696" s="106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</row>
    <row r="697" ht="27.0" customHeight="1">
      <c r="A697" s="93"/>
      <c r="B697" s="93"/>
      <c r="C697" s="118"/>
      <c r="D697" s="103"/>
      <c r="E697" s="93"/>
      <c r="F697" s="93"/>
      <c r="G697" s="106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</row>
    <row r="698" ht="27.0" customHeight="1">
      <c r="A698" s="93"/>
      <c r="B698" s="93"/>
      <c r="C698" s="118"/>
      <c r="D698" s="103"/>
      <c r="E698" s="93"/>
      <c r="F698" s="93"/>
      <c r="G698" s="106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</row>
    <row r="699" ht="27.0" customHeight="1">
      <c r="A699" s="93"/>
      <c r="B699" s="93"/>
      <c r="C699" s="118"/>
      <c r="D699" s="103"/>
      <c r="E699" s="93"/>
      <c r="F699" s="93"/>
      <c r="G699" s="106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</row>
    <row r="700" ht="27.0" customHeight="1">
      <c r="A700" s="93"/>
      <c r="B700" s="93"/>
      <c r="C700" s="118"/>
      <c r="D700" s="103"/>
      <c r="E700" s="93"/>
      <c r="F700" s="93"/>
      <c r="G700" s="106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</row>
    <row r="701" ht="27.0" customHeight="1">
      <c r="A701" s="93"/>
      <c r="B701" s="93"/>
      <c r="C701" s="118"/>
      <c r="D701" s="103"/>
      <c r="E701" s="93"/>
      <c r="F701" s="93"/>
      <c r="G701" s="106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</row>
    <row r="702" ht="27.0" customHeight="1">
      <c r="A702" s="93"/>
      <c r="B702" s="93"/>
      <c r="C702" s="118"/>
      <c r="D702" s="103"/>
      <c r="E702" s="93"/>
      <c r="F702" s="93"/>
      <c r="G702" s="106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</row>
    <row r="703" ht="27.0" customHeight="1">
      <c r="A703" s="93"/>
      <c r="B703" s="93"/>
      <c r="C703" s="118"/>
      <c r="D703" s="103"/>
      <c r="E703" s="93"/>
      <c r="F703" s="93"/>
      <c r="G703" s="106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</row>
    <row r="704" ht="27.0" customHeight="1">
      <c r="A704" s="93"/>
      <c r="B704" s="93"/>
      <c r="C704" s="118"/>
      <c r="D704" s="103"/>
      <c r="E704" s="93"/>
      <c r="F704" s="93"/>
      <c r="G704" s="106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</row>
    <row r="705" ht="27.0" customHeight="1">
      <c r="A705" s="93"/>
      <c r="B705" s="93"/>
      <c r="C705" s="118"/>
      <c r="D705" s="103"/>
      <c r="E705" s="93"/>
      <c r="F705" s="93"/>
      <c r="G705" s="106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</row>
    <row r="706" ht="27.0" customHeight="1">
      <c r="A706" s="93"/>
      <c r="B706" s="93"/>
      <c r="C706" s="118"/>
      <c r="D706" s="103"/>
      <c r="E706" s="93"/>
      <c r="F706" s="93"/>
      <c r="G706" s="106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</row>
    <row r="707" ht="27.0" customHeight="1">
      <c r="A707" s="93"/>
      <c r="B707" s="93"/>
      <c r="C707" s="118"/>
      <c r="D707" s="103"/>
      <c r="E707" s="93"/>
      <c r="F707" s="93"/>
      <c r="G707" s="106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</row>
    <row r="708" ht="27.0" customHeight="1">
      <c r="A708" s="93"/>
      <c r="B708" s="93"/>
      <c r="C708" s="118"/>
      <c r="D708" s="103"/>
      <c r="E708" s="93"/>
      <c r="F708" s="93"/>
      <c r="G708" s="106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</row>
    <row r="709" ht="27.0" customHeight="1">
      <c r="A709" s="93"/>
      <c r="B709" s="93"/>
      <c r="C709" s="118"/>
      <c r="D709" s="103"/>
      <c r="E709" s="93"/>
      <c r="F709" s="93"/>
      <c r="G709" s="106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</row>
    <row r="710" ht="27.0" customHeight="1">
      <c r="A710" s="93"/>
      <c r="B710" s="93"/>
      <c r="C710" s="118"/>
      <c r="D710" s="103"/>
      <c r="E710" s="93"/>
      <c r="F710" s="93"/>
      <c r="G710" s="106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</row>
    <row r="711" ht="27.0" customHeight="1">
      <c r="A711" s="93"/>
      <c r="B711" s="93"/>
      <c r="C711" s="118"/>
      <c r="D711" s="103"/>
      <c r="E711" s="93"/>
      <c r="F711" s="93"/>
      <c r="G711" s="106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</row>
    <row r="712" ht="27.0" customHeight="1">
      <c r="A712" s="93"/>
      <c r="B712" s="93"/>
      <c r="C712" s="118"/>
      <c r="D712" s="103"/>
      <c r="E712" s="93"/>
      <c r="F712" s="93"/>
      <c r="G712" s="106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</row>
    <row r="713" ht="27.0" customHeight="1">
      <c r="A713" s="93"/>
      <c r="B713" s="93"/>
      <c r="C713" s="118"/>
      <c r="D713" s="103"/>
      <c r="E713" s="93"/>
      <c r="F713" s="93"/>
      <c r="G713" s="106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</row>
    <row r="714" ht="27.0" customHeight="1">
      <c r="A714" s="93"/>
      <c r="B714" s="93"/>
      <c r="C714" s="118"/>
      <c r="D714" s="103"/>
      <c r="E714" s="93"/>
      <c r="F714" s="93"/>
      <c r="G714" s="106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</row>
    <row r="715" ht="27.0" customHeight="1">
      <c r="A715" s="93"/>
      <c r="B715" s="93"/>
      <c r="C715" s="118"/>
      <c r="D715" s="103"/>
      <c r="E715" s="93"/>
      <c r="F715" s="93"/>
      <c r="G715" s="106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</row>
    <row r="716" ht="27.0" customHeight="1">
      <c r="A716" s="93"/>
      <c r="B716" s="93"/>
      <c r="C716" s="118"/>
      <c r="D716" s="103"/>
      <c r="E716" s="93"/>
      <c r="F716" s="93"/>
      <c r="G716" s="106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</row>
    <row r="717" ht="27.0" customHeight="1">
      <c r="A717" s="93"/>
      <c r="B717" s="93"/>
      <c r="C717" s="118"/>
      <c r="D717" s="103"/>
      <c r="E717" s="93"/>
      <c r="F717" s="93"/>
      <c r="G717" s="106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</row>
    <row r="718" ht="27.0" customHeight="1">
      <c r="A718" s="93"/>
      <c r="B718" s="93"/>
      <c r="C718" s="118"/>
      <c r="D718" s="103"/>
      <c r="E718" s="93"/>
      <c r="F718" s="93"/>
      <c r="G718" s="106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</row>
    <row r="719" ht="27.0" customHeight="1">
      <c r="A719" s="93"/>
      <c r="B719" s="93"/>
      <c r="C719" s="118"/>
      <c r="D719" s="103"/>
      <c r="E719" s="93"/>
      <c r="F719" s="93"/>
      <c r="G719" s="106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</row>
    <row r="720" ht="27.0" customHeight="1">
      <c r="A720" s="93"/>
      <c r="B720" s="93"/>
      <c r="C720" s="118"/>
      <c r="D720" s="103"/>
      <c r="E720" s="93"/>
      <c r="F720" s="93"/>
      <c r="G720" s="106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</row>
    <row r="721" ht="27.0" customHeight="1">
      <c r="A721" s="93"/>
      <c r="B721" s="93"/>
      <c r="C721" s="118"/>
      <c r="D721" s="103"/>
      <c r="E721" s="93"/>
      <c r="F721" s="93"/>
      <c r="G721" s="106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</row>
    <row r="722" ht="27.0" customHeight="1">
      <c r="A722" s="93"/>
      <c r="B722" s="93"/>
      <c r="C722" s="118"/>
      <c r="D722" s="103"/>
      <c r="E722" s="93"/>
      <c r="F722" s="93"/>
      <c r="G722" s="106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</row>
    <row r="723" ht="27.0" customHeight="1">
      <c r="A723" s="93"/>
      <c r="B723" s="93"/>
      <c r="C723" s="118"/>
      <c r="D723" s="103"/>
      <c r="E723" s="93"/>
      <c r="F723" s="93"/>
      <c r="G723" s="106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</row>
    <row r="724" ht="27.0" customHeight="1">
      <c r="A724" s="93"/>
      <c r="B724" s="93"/>
      <c r="C724" s="118"/>
      <c r="D724" s="103"/>
      <c r="E724" s="93"/>
      <c r="F724" s="93"/>
      <c r="G724" s="106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</row>
    <row r="725" ht="27.0" customHeight="1">
      <c r="A725" s="93"/>
      <c r="B725" s="93"/>
      <c r="C725" s="118"/>
      <c r="D725" s="103"/>
      <c r="E725" s="93"/>
      <c r="F725" s="93"/>
      <c r="G725" s="106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</row>
    <row r="726" ht="27.0" customHeight="1">
      <c r="A726" s="93"/>
      <c r="B726" s="93"/>
      <c r="C726" s="118"/>
      <c r="D726" s="103"/>
      <c r="E726" s="93"/>
      <c r="F726" s="93"/>
      <c r="G726" s="106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</row>
    <row r="727" ht="27.0" customHeight="1">
      <c r="A727" s="93"/>
      <c r="B727" s="93"/>
      <c r="C727" s="118"/>
      <c r="D727" s="103"/>
      <c r="E727" s="93"/>
      <c r="F727" s="93"/>
      <c r="G727" s="106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</row>
    <row r="728" ht="27.0" customHeight="1">
      <c r="A728" s="93"/>
      <c r="B728" s="93"/>
      <c r="C728" s="118"/>
      <c r="D728" s="103"/>
      <c r="E728" s="93"/>
      <c r="F728" s="93"/>
      <c r="G728" s="106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</row>
    <row r="729" ht="27.0" customHeight="1">
      <c r="A729" s="93"/>
      <c r="B729" s="93"/>
      <c r="C729" s="118"/>
      <c r="D729" s="103"/>
      <c r="E729" s="93"/>
      <c r="F729" s="93"/>
      <c r="G729" s="106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</row>
    <row r="730" ht="27.0" customHeight="1">
      <c r="A730" s="93"/>
      <c r="B730" s="93"/>
      <c r="C730" s="118"/>
      <c r="D730" s="103"/>
      <c r="E730" s="93"/>
      <c r="F730" s="93"/>
      <c r="G730" s="106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</row>
    <row r="731" ht="27.0" customHeight="1">
      <c r="A731" s="93"/>
      <c r="B731" s="93"/>
      <c r="C731" s="118"/>
      <c r="D731" s="103"/>
      <c r="E731" s="93"/>
      <c r="F731" s="93"/>
      <c r="G731" s="106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</row>
    <row r="732" ht="27.0" customHeight="1">
      <c r="A732" s="93"/>
      <c r="B732" s="93"/>
      <c r="C732" s="118"/>
      <c r="D732" s="103"/>
      <c r="E732" s="93"/>
      <c r="F732" s="93"/>
      <c r="G732" s="106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</row>
    <row r="733" ht="27.0" customHeight="1">
      <c r="A733" s="93"/>
      <c r="B733" s="93"/>
      <c r="C733" s="118"/>
      <c r="D733" s="103"/>
      <c r="E733" s="93"/>
      <c r="F733" s="93"/>
      <c r="G733" s="106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</row>
    <row r="734" ht="27.0" customHeight="1">
      <c r="A734" s="93"/>
      <c r="B734" s="93"/>
      <c r="C734" s="118"/>
      <c r="D734" s="103"/>
      <c r="E734" s="93"/>
      <c r="F734" s="93"/>
      <c r="G734" s="106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</row>
    <row r="735" ht="27.0" customHeight="1">
      <c r="A735" s="93"/>
      <c r="B735" s="93"/>
      <c r="C735" s="118"/>
      <c r="D735" s="103"/>
      <c r="E735" s="93"/>
      <c r="F735" s="93"/>
      <c r="G735" s="106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</row>
    <row r="736" ht="27.0" customHeight="1">
      <c r="A736" s="93"/>
      <c r="B736" s="93"/>
      <c r="C736" s="118"/>
      <c r="D736" s="103"/>
      <c r="E736" s="93"/>
      <c r="F736" s="93"/>
      <c r="G736" s="106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</row>
    <row r="737" ht="27.0" customHeight="1">
      <c r="A737" s="93"/>
      <c r="B737" s="93"/>
      <c r="C737" s="118"/>
      <c r="D737" s="103"/>
      <c r="E737" s="93"/>
      <c r="F737" s="93"/>
      <c r="G737" s="106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</row>
    <row r="738" ht="27.0" customHeight="1">
      <c r="A738" s="93"/>
      <c r="B738" s="93"/>
      <c r="C738" s="118"/>
      <c r="D738" s="103"/>
      <c r="E738" s="93"/>
      <c r="F738" s="93"/>
      <c r="G738" s="106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</row>
    <row r="739" ht="27.0" customHeight="1">
      <c r="A739" s="93"/>
      <c r="B739" s="93"/>
      <c r="C739" s="118"/>
      <c r="D739" s="103"/>
      <c r="E739" s="93"/>
      <c r="F739" s="93"/>
      <c r="G739" s="106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</row>
    <row r="740" ht="27.0" customHeight="1">
      <c r="A740" s="93"/>
      <c r="B740" s="93"/>
      <c r="C740" s="118"/>
      <c r="D740" s="103"/>
      <c r="E740" s="93"/>
      <c r="F740" s="93"/>
      <c r="G740" s="106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</row>
    <row r="741" ht="27.0" customHeight="1">
      <c r="A741" s="93"/>
      <c r="B741" s="93"/>
      <c r="C741" s="118"/>
      <c r="D741" s="103"/>
      <c r="E741" s="93"/>
      <c r="F741" s="93"/>
      <c r="G741" s="106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</row>
    <row r="742" ht="27.0" customHeight="1">
      <c r="A742" s="93"/>
      <c r="B742" s="93"/>
      <c r="C742" s="118"/>
      <c r="D742" s="103"/>
      <c r="E742" s="93"/>
      <c r="F742" s="93"/>
      <c r="G742" s="106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</row>
    <row r="743" ht="27.0" customHeight="1">
      <c r="A743" s="93"/>
      <c r="B743" s="93"/>
      <c r="C743" s="118"/>
      <c r="D743" s="103"/>
      <c r="E743" s="93"/>
      <c r="F743" s="93"/>
      <c r="G743" s="106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</row>
    <row r="744" ht="27.0" customHeight="1">
      <c r="A744" s="93"/>
      <c r="B744" s="93"/>
      <c r="C744" s="118"/>
      <c r="D744" s="103"/>
      <c r="E744" s="93"/>
      <c r="F744" s="93"/>
      <c r="G744" s="106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</row>
    <row r="745" ht="27.0" customHeight="1">
      <c r="A745" s="93"/>
      <c r="B745" s="93"/>
      <c r="C745" s="118"/>
      <c r="D745" s="103"/>
      <c r="E745" s="93"/>
      <c r="F745" s="93"/>
      <c r="G745" s="106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</row>
    <row r="746" ht="27.0" customHeight="1">
      <c r="A746" s="93"/>
      <c r="B746" s="93"/>
      <c r="C746" s="118"/>
      <c r="D746" s="103"/>
      <c r="E746" s="93"/>
      <c r="F746" s="93"/>
      <c r="G746" s="106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</row>
    <row r="747" ht="27.0" customHeight="1">
      <c r="A747" s="93"/>
      <c r="B747" s="93"/>
      <c r="C747" s="118"/>
      <c r="D747" s="103"/>
      <c r="E747" s="93"/>
      <c r="F747" s="93"/>
      <c r="G747" s="106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</row>
    <row r="748" ht="27.0" customHeight="1">
      <c r="A748" s="93"/>
      <c r="B748" s="93"/>
      <c r="C748" s="118"/>
      <c r="D748" s="103"/>
      <c r="E748" s="93"/>
      <c r="F748" s="93"/>
      <c r="G748" s="106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</row>
    <row r="749" ht="27.0" customHeight="1">
      <c r="A749" s="93"/>
      <c r="B749" s="93"/>
      <c r="C749" s="118"/>
      <c r="D749" s="103"/>
      <c r="E749" s="93"/>
      <c r="F749" s="93"/>
      <c r="G749" s="106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</row>
    <row r="750" ht="27.0" customHeight="1">
      <c r="A750" s="93"/>
      <c r="B750" s="93"/>
      <c r="C750" s="118"/>
      <c r="D750" s="103"/>
      <c r="E750" s="93"/>
      <c r="F750" s="93"/>
      <c r="G750" s="106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</row>
    <row r="751" ht="27.0" customHeight="1">
      <c r="A751" s="93"/>
      <c r="B751" s="93"/>
      <c r="C751" s="118"/>
      <c r="D751" s="103"/>
      <c r="E751" s="93"/>
      <c r="F751" s="93"/>
      <c r="G751" s="106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</row>
    <row r="752" ht="27.0" customHeight="1">
      <c r="A752" s="93"/>
      <c r="B752" s="93"/>
      <c r="C752" s="118"/>
      <c r="D752" s="103"/>
      <c r="E752" s="93"/>
      <c r="F752" s="93"/>
      <c r="G752" s="106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</row>
    <row r="753" ht="27.0" customHeight="1">
      <c r="A753" s="93"/>
      <c r="B753" s="93"/>
      <c r="C753" s="118"/>
      <c r="D753" s="103"/>
      <c r="E753" s="93"/>
      <c r="F753" s="93"/>
      <c r="G753" s="106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</row>
    <row r="754" ht="27.0" customHeight="1">
      <c r="A754" s="93"/>
      <c r="B754" s="93"/>
      <c r="C754" s="118"/>
      <c r="D754" s="103"/>
      <c r="E754" s="93"/>
      <c r="F754" s="93"/>
      <c r="G754" s="106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</row>
    <row r="755" ht="27.0" customHeight="1">
      <c r="A755" s="93"/>
      <c r="B755" s="93"/>
      <c r="C755" s="118"/>
      <c r="D755" s="103"/>
      <c r="E755" s="93"/>
      <c r="F755" s="93"/>
      <c r="G755" s="106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</row>
    <row r="756" ht="27.0" customHeight="1">
      <c r="A756" s="93"/>
      <c r="B756" s="93"/>
      <c r="C756" s="118"/>
      <c r="D756" s="103"/>
      <c r="E756" s="93"/>
      <c r="F756" s="93"/>
      <c r="G756" s="106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</row>
    <row r="757" ht="27.0" customHeight="1">
      <c r="A757" s="93"/>
      <c r="B757" s="93"/>
      <c r="C757" s="118"/>
      <c r="D757" s="103"/>
      <c r="E757" s="93"/>
      <c r="F757" s="93"/>
      <c r="G757" s="106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</row>
    <row r="758" ht="27.0" customHeight="1">
      <c r="A758" s="93"/>
      <c r="B758" s="93"/>
      <c r="C758" s="118"/>
      <c r="D758" s="103"/>
      <c r="E758" s="93"/>
      <c r="F758" s="93"/>
      <c r="G758" s="106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</row>
    <row r="759" ht="27.0" customHeight="1">
      <c r="A759" s="93"/>
      <c r="B759" s="93"/>
      <c r="C759" s="118"/>
      <c r="D759" s="103"/>
      <c r="E759" s="93"/>
      <c r="F759" s="93"/>
      <c r="G759" s="106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</row>
    <row r="760" ht="27.0" customHeight="1">
      <c r="A760" s="93"/>
      <c r="B760" s="93"/>
      <c r="C760" s="118"/>
      <c r="D760" s="103"/>
      <c r="E760" s="93"/>
      <c r="F760" s="93"/>
      <c r="G760" s="106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</row>
    <row r="761" ht="27.0" customHeight="1">
      <c r="A761" s="93"/>
      <c r="B761" s="93"/>
      <c r="C761" s="118"/>
      <c r="D761" s="103"/>
      <c r="E761" s="93"/>
      <c r="F761" s="93"/>
      <c r="G761" s="106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</row>
    <row r="762" ht="27.0" customHeight="1">
      <c r="A762" s="93"/>
      <c r="B762" s="93"/>
      <c r="C762" s="118"/>
      <c r="D762" s="103"/>
      <c r="E762" s="93"/>
      <c r="F762" s="93"/>
      <c r="G762" s="106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</row>
    <row r="763" ht="27.0" customHeight="1">
      <c r="A763" s="93"/>
      <c r="B763" s="93"/>
      <c r="C763" s="118"/>
      <c r="D763" s="103"/>
      <c r="E763" s="93"/>
      <c r="F763" s="93"/>
      <c r="G763" s="106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</row>
    <row r="764" ht="27.0" customHeight="1">
      <c r="A764" s="93"/>
      <c r="B764" s="93"/>
      <c r="C764" s="118"/>
      <c r="D764" s="103"/>
      <c r="E764" s="93"/>
      <c r="F764" s="93"/>
      <c r="G764" s="106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</row>
    <row r="765" ht="27.0" customHeight="1">
      <c r="A765" s="93"/>
      <c r="B765" s="93"/>
      <c r="C765" s="118"/>
      <c r="D765" s="103"/>
      <c r="E765" s="93"/>
      <c r="F765" s="93"/>
      <c r="G765" s="106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</row>
    <row r="766" ht="27.0" customHeight="1">
      <c r="A766" s="93"/>
      <c r="B766" s="93"/>
      <c r="C766" s="118"/>
      <c r="D766" s="103"/>
      <c r="E766" s="93"/>
      <c r="F766" s="93"/>
      <c r="G766" s="106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</row>
    <row r="767" ht="27.0" customHeight="1">
      <c r="A767" s="93"/>
      <c r="B767" s="93"/>
      <c r="C767" s="118"/>
      <c r="D767" s="103"/>
      <c r="E767" s="93"/>
      <c r="F767" s="93"/>
      <c r="G767" s="106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</row>
    <row r="768" ht="27.0" customHeight="1">
      <c r="A768" s="93"/>
      <c r="B768" s="93"/>
      <c r="C768" s="118"/>
      <c r="D768" s="103"/>
      <c r="E768" s="93"/>
      <c r="F768" s="93"/>
      <c r="G768" s="106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</row>
    <row r="769" ht="27.0" customHeight="1">
      <c r="A769" s="93"/>
      <c r="B769" s="93"/>
      <c r="C769" s="118"/>
      <c r="D769" s="103"/>
      <c r="E769" s="93"/>
      <c r="F769" s="93"/>
      <c r="G769" s="106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</row>
    <row r="770" ht="27.0" customHeight="1">
      <c r="A770" s="93"/>
      <c r="B770" s="93"/>
      <c r="C770" s="118"/>
      <c r="D770" s="103"/>
      <c r="E770" s="93"/>
      <c r="F770" s="93"/>
      <c r="G770" s="106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</row>
    <row r="771" ht="27.0" customHeight="1">
      <c r="A771" s="93"/>
      <c r="B771" s="93"/>
      <c r="C771" s="118"/>
      <c r="D771" s="103"/>
      <c r="E771" s="93"/>
      <c r="F771" s="93"/>
      <c r="G771" s="106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</row>
    <row r="772" ht="27.0" customHeight="1">
      <c r="A772" s="93"/>
      <c r="B772" s="93"/>
      <c r="C772" s="118"/>
      <c r="D772" s="103"/>
      <c r="E772" s="93"/>
      <c r="F772" s="93"/>
      <c r="G772" s="106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</row>
    <row r="773" ht="27.0" customHeight="1">
      <c r="A773" s="93"/>
      <c r="B773" s="93"/>
      <c r="C773" s="118"/>
      <c r="D773" s="103"/>
      <c r="E773" s="93"/>
      <c r="F773" s="93"/>
      <c r="G773" s="106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</row>
    <row r="774" ht="27.0" customHeight="1">
      <c r="A774" s="93"/>
      <c r="B774" s="93"/>
      <c r="C774" s="118"/>
      <c r="D774" s="103"/>
      <c r="E774" s="93"/>
      <c r="F774" s="93"/>
      <c r="G774" s="106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</row>
    <row r="775" ht="27.0" customHeight="1">
      <c r="A775" s="93"/>
      <c r="B775" s="93"/>
      <c r="C775" s="118"/>
      <c r="D775" s="103"/>
      <c r="E775" s="93"/>
      <c r="F775" s="93"/>
      <c r="G775" s="106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</row>
    <row r="776" ht="27.0" customHeight="1">
      <c r="A776" s="93"/>
      <c r="B776" s="93"/>
      <c r="C776" s="118"/>
      <c r="D776" s="103"/>
      <c r="E776" s="93"/>
      <c r="F776" s="93"/>
      <c r="G776" s="106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</row>
    <row r="777" ht="27.0" customHeight="1">
      <c r="A777" s="93"/>
      <c r="B777" s="93"/>
      <c r="C777" s="118"/>
      <c r="D777" s="103"/>
      <c r="E777" s="93"/>
      <c r="F777" s="93"/>
      <c r="G777" s="106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</row>
    <row r="778" ht="27.0" customHeight="1">
      <c r="A778" s="93"/>
      <c r="B778" s="93"/>
      <c r="C778" s="118"/>
      <c r="D778" s="103"/>
      <c r="E778" s="93"/>
      <c r="F778" s="93"/>
      <c r="G778" s="106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</row>
    <row r="779" ht="27.0" customHeight="1">
      <c r="A779" s="93"/>
      <c r="B779" s="93"/>
      <c r="C779" s="118"/>
      <c r="D779" s="103"/>
      <c r="E779" s="93"/>
      <c r="F779" s="93"/>
      <c r="G779" s="106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</row>
    <row r="780" ht="27.0" customHeight="1">
      <c r="A780" s="93"/>
      <c r="B780" s="93"/>
      <c r="C780" s="118"/>
      <c r="D780" s="103"/>
      <c r="E780" s="93"/>
      <c r="F780" s="93"/>
      <c r="G780" s="106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</row>
    <row r="781" ht="27.0" customHeight="1">
      <c r="A781" s="93"/>
      <c r="B781" s="93"/>
      <c r="C781" s="118"/>
      <c r="D781" s="103"/>
      <c r="E781" s="93"/>
      <c r="F781" s="93"/>
      <c r="G781" s="106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</row>
    <row r="782" ht="27.0" customHeight="1">
      <c r="A782" s="93"/>
      <c r="B782" s="93"/>
      <c r="C782" s="118"/>
      <c r="D782" s="103"/>
      <c r="E782" s="93"/>
      <c r="F782" s="93"/>
      <c r="G782" s="106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</row>
    <row r="783" ht="27.0" customHeight="1">
      <c r="A783" s="93"/>
      <c r="B783" s="93"/>
      <c r="C783" s="118"/>
      <c r="D783" s="103"/>
      <c r="E783" s="93"/>
      <c r="F783" s="93"/>
      <c r="G783" s="106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</row>
    <row r="784" ht="27.0" customHeight="1">
      <c r="A784" s="93"/>
      <c r="B784" s="93"/>
      <c r="C784" s="118"/>
      <c r="D784" s="103"/>
      <c r="E784" s="93"/>
      <c r="F784" s="93"/>
      <c r="G784" s="106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</row>
    <row r="785" ht="27.0" customHeight="1">
      <c r="A785" s="93"/>
      <c r="B785" s="93"/>
      <c r="C785" s="118"/>
      <c r="D785" s="103"/>
      <c r="E785" s="93"/>
      <c r="F785" s="93"/>
      <c r="G785" s="106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</row>
    <row r="786" ht="27.0" customHeight="1">
      <c r="A786" s="93"/>
      <c r="B786" s="93"/>
      <c r="C786" s="118"/>
      <c r="D786" s="103"/>
      <c r="E786" s="93"/>
      <c r="F786" s="93"/>
      <c r="G786" s="106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</row>
    <row r="787" ht="27.0" customHeight="1">
      <c r="A787" s="93"/>
      <c r="B787" s="93"/>
      <c r="C787" s="118"/>
      <c r="D787" s="103"/>
      <c r="E787" s="93"/>
      <c r="F787" s="93"/>
      <c r="G787" s="106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</row>
    <row r="788" ht="27.0" customHeight="1">
      <c r="A788" s="93"/>
      <c r="B788" s="93"/>
      <c r="C788" s="118"/>
      <c r="D788" s="103"/>
      <c r="E788" s="93"/>
      <c r="F788" s="93"/>
      <c r="G788" s="106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</row>
    <row r="789" ht="27.0" customHeight="1">
      <c r="A789" s="93"/>
      <c r="B789" s="93"/>
      <c r="C789" s="118"/>
      <c r="D789" s="103"/>
      <c r="E789" s="93"/>
      <c r="F789" s="93"/>
      <c r="G789" s="106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</row>
    <row r="790" ht="27.0" customHeight="1">
      <c r="A790" s="93"/>
      <c r="B790" s="93"/>
      <c r="C790" s="118"/>
      <c r="D790" s="103"/>
      <c r="E790" s="93"/>
      <c r="F790" s="93"/>
      <c r="G790" s="106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</row>
    <row r="791" ht="27.0" customHeight="1">
      <c r="A791" s="93"/>
      <c r="B791" s="93"/>
      <c r="C791" s="118"/>
      <c r="D791" s="103"/>
      <c r="E791" s="93"/>
      <c r="F791" s="93"/>
      <c r="G791" s="106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</row>
    <row r="792" ht="27.0" customHeight="1">
      <c r="A792" s="93"/>
      <c r="B792" s="93"/>
      <c r="C792" s="118"/>
      <c r="D792" s="103"/>
      <c r="E792" s="93"/>
      <c r="F792" s="93"/>
      <c r="G792" s="106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</row>
    <row r="793" ht="27.0" customHeight="1">
      <c r="A793" s="93"/>
      <c r="B793" s="93"/>
      <c r="C793" s="118"/>
      <c r="D793" s="103"/>
      <c r="E793" s="93"/>
      <c r="F793" s="93"/>
      <c r="G793" s="106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</row>
    <row r="794" ht="27.0" customHeight="1">
      <c r="A794" s="93"/>
      <c r="B794" s="93"/>
      <c r="C794" s="118"/>
      <c r="D794" s="103"/>
      <c r="E794" s="93"/>
      <c r="F794" s="93"/>
      <c r="G794" s="106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</row>
    <row r="795" ht="27.0" customHeight="1">
      <c r="A795" s="93"/>
      <c r="B795" s="93"/>
      <c r="C795" s="118"/>
      <c r="D795" s="103"/>
      <c r="E795" s="93"/>
      <c r="F795" s="93"/>
      <c r="G795" s="106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</row>
    <row r="796" ht="27.0" customHeight="1">
      <c r="A796" s="93"/>
      <c r="B796" s="93"/>
      <c r="C796" s="118"/>
      <c r="D796" s="103"/>
      <c r="E796" s="93"/>
      <c r="F796" s="93"/>
      <c r="G796" s="106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</row>
    <row r="797" ht="27.0" customHeight="1">
      <c r="A797" s="93"/>
      <c r="B797" s="93"/>
      <c r="C797" s="118"/>
      <c r="D797" s="103"/>
      <c r="E797" s="93"/>
      <c r="F797" s="93"/>
      <c r="G797" s="106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</row>
    <row r="798" ht="27.0" customHeight="1">
      <c r="A798" s="93"/>
      <c r="B798" s="93"/>
      <c r="C798" s="118"/>
      <c r="D798" s="103"/>
      <c r="E798" s="93"/>
      <c r="F798" s="93"/>
      <c r="G798" s="106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</row>
    <row r="799" ht="27.0" customHeight="1">
      <c r="A799" s="93"/>
      <c r="B799" s="93"/>
      <c r="C799" s="118"/>
      <c r="D799" s="103"/>
      <c r="E799" s="93"/>
      <c r="F799" s="93"/>
      <c r="G799" s="106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</row>
    <row r="800" ht="27.0" customHeight="1">
      <c r="A800" s="93"/>
      <c r="B800" s="93"/>
      <c r="C800" s="118"/>
      <c r="D800" s="103"/>
      <c r="E800" s="93"/>
      <c r="F800" s="93"/>
      <c r="G800" s="106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</row>
    <row r="801" ht="27.0" customHeight="1">
      <c r="A801" s="93"/>
      <c r="B801" s="93"/>
      <c r="C801" s="118"/>
      <c r="D801" s="103"/>
      <c r="E801" s="93"/>
      <c r="F801" s="93"/>
      <c r="G801" s="106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</row>
    <row r="802" ht="27.0" customHeight="1">
      <c r="A802" s="93"/>
      <c r="B802" s="93"/>
      <c r="C802" s="118"/>
      <c r="D802" s="103"/>
      <c r="E802" s="93"/>
      <c r="F802" s="93"/>
      <c r="G802" s="106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</row>
    <row r="803" ht="27.0" customHeight="1">
      <c r="A803" s="93"/>
      <c r="B803" s="93"/>
      <c r="C803" s="118"/>
      <c r="D803" s="103"/>
      <c r="E803" s="93"/>
      <c r="F803" s="93"/>
      <c r="G803" s="106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</row>
    <row r="804" ht="27.0" customHeight="1">
      <c r="A804" s="93"/>
      <c r="B804" s="93"/>
      <c r="C804" s="118"/>
      <c r="D804" s="103"/>
      <c r="E804" s="93"/>
      <c r="F804" s="93"/>
      <c r="G804" s="106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</row>
    <row r="805" ht="27.0" customHeight="1">
      <c r="A805" s="93"/>
      <c r="B805" s="93"/>
      <c r="C805" s="118"/>
      <c r="D805" s="103"/>
      <c r="E805" s="93"/>
      <c r="F805" s="93"/>
      <c r="G805" s="106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</row>
    <row r="806" ht="27.0" customHeight="1">
      <c r="A806" s="93"/>
      <c r="B806" s="93"/>
      <c r="C806" s="118"/>
      <c r="D806" s="103"/>
      <c r="E806" s="93"/>
      <c r="F806" s="93"/>
      <c r="G806" s="106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</row>
    <row r="807" ht="27.0" customHeight="1">
      <c r="A807" s="93"/>
      <c r="B807" s="93"/>
      <c r="C807" s="118"/>
      <c r="D807" s="103"/>
      <c r="E807" s="93"/>
      <c r="F807" s="93"/>
      <c r="G807" s="106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</row>
    <row r="808" ht="27.0" customHeight="1">
      <c r="A808" s="93"/>
      <c r="B808" s="93"/>
      <c r="C808" s="118"/>
      <c r="D808" s="103"/>
      <c r="E808" s="93"/>
      <c r="F808" s="93"/>
      <c r="G808" s="106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</row>
    <row r="809" ht="27.0" customHeight="1">
      <c r="A809" s="93"/>
      <c r="B809" s="93"/>
      <c r="C809" s="118"/>
      <c r="D809" s="103"/>
      <c r="E809" s="93"/>
      <c r="F809" s="93"/>
      <c r="G809" s="106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</row>
    <row r="810" ht="27.0" customHeight="1">
      <c r="A810" s="93"/>
      <c r="B810" s="93"/>
      <c r="C810" s="118"/>
      <c r="D810" s="103"/>
      <c r="E810" s="93"/>
      <c r="F810" s="93"/>
      <c r="G810" s="106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</row>
    <row r="811" ht="27.0" customHeight="1">
      <c r="A811" s="93"/>
      <c r="B811" s="93"/>
      <c r="C811" s="118"/>
      <c r="D811" s="103"/>
      <c r="E811" s="93"/>
      <c r="F811" s="93"/>
      <c r="G811" s="106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</row>
    <row r="812" ht="27.0" customHeight="1">
      <c r="A812" s="93"/>
      <c r="B812" s="93"/>
      <c r="C812" s="118"/>
      <c r="D812" s="103"/>
      <c r="E812" s="93"/>
      <c r="F812" s="93"/>
      <c r="G812" s="106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</row>
    <row r="813" ht="27.0" customHeight="1">
      <c r="A813" s="93"/>
      <c r="B813" s="93"/>
      <c r="C813" s="118"/>
      <c r="D813" s="103"/>
      <c r="E813" s="93"/>
      <c r="F813" s="93"/>
      <c r="G813" s="106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</row>
    <row r="814" ht="27.0" customHeight="1">
      <c r="A814" s="93"/>
      <c r="B814" s="93"/>
      <c r="C814" s="118"/>
      <c r="D814" s="103"/>
      <c r="E814" s="93"/>
      <c r="F814" s="93"/>
      <c r="G814" s="106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</row>
    <row r="815" ht="27.0" customHeight="1">
      <c r="A815" s="93"/>
      <c r="B815" s="93"/>
      <c r="C815" s="118"/>
      <c r="D815" s="103"/>
      <c r="E815" s="93"/>
      <c r="F815" s="93"/>
      <c r="G815" s="106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</row>
    <row r="816" ht="27.0" customHeight="1">
      <c r="A816" s="93"/>
      <c r="B816" s="93"/>
      <c r="C816" s="118"/>
      <c r="D816" s="103"/>
      <c r="E816" s="93"/>
      <c r="F816" s="93"/>
      <c r="G816" s="106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</row>
    <row r="817" ht="27.0" customHeight="1">
      <c r="A817" s="93"/>
      <c r="B817" s="93"/>
      <c r="C817" s="118"/>
      <c r="D817" s="103"/>
      <c r="E817" s="93"/>
      <c r="F817" s="93"/>
      <c r="G817" s="106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</row>
    <row r="818" ht="27.0" customHeight="1">
      <c r="A818" s="93"/>
      <c r="B818" s="93"/>
      <c r="C818" s="118"/>
      <c r="D818" s="103"/>
      <c r="E818" s="93"/>
      <c r="F818" s="93"/>
      <c r="G818" s="106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</row>
    <row r="819" ht="27.0" customHeight="1">
      <c r="A819" s="93"/>
      <c r="B819" s="93"/>
      <c r="C819" s="118"/>
      <c r="D819" s="103"/>
      <c r="E819" s="93"/>
      <c r="F819" s="93"/>
      <c r="G819" s="106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</row>
    <row r="820" ht="27.0" customHeight="1">
      <c r="A820" s="93"/>
      <c r="B820" s="93"/>
      <c r="C820" s="118"/>
      <c r="D820" s="103"/>
      <c r="E820" s="93"/>
      <c r="F820" s="93"/>
      <c r="G820" s="106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</row>
    <row r="821" ht="27.0" customHeight="1">
      <c r="A821" s="93"/>
      <c r="B821" s="93"/>
      <c r="C821" s="118"/>
      <c r="D821" s="103"/>
      <c r="E821" s="93"/>
      <c r="F821" s="93"/>
      <c r="G821" s="106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</row>
    <row r="822" ht="27.0" customHeight="1">
      <c r="A822" s="93"/>
      <c r="B822" s="93"/>
      <c r="C822" s="118"/>
      <c r="D822" s="103"/>
      <c r="E822" s="93"/>
      <c r="F822" s="93"/>
      <c r="G822" s="106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</row>
    <row r="823" ht="27.0" customHeight="1">
      <c r="A823" s="93"/>
      <c r="B823" s="93"/>
      <c r="C823" s="118"/>
      <c r="D823" s="103"/>
      <c r="E823" s="93"/>
      <c r="F823" s="93"/>
      <c r="G823" s="106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</row>
    <row r="824" ht="27.0" customHeight="1">
      <c r="A824" s="93"/>
      <c r="B824" s="93"/>
      <c r="C824" s="118"/>
      <c r="D824" s="103"/>
      <c r="E824" s="93"/>
      <c r="F824" s="93"/>
      <c r="G824" s="106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</row>
    <row r="825" ht="27.0" customHeight="1">
      <c r="A825" s="93"/>
      <c r="B825" s="93"/>
      <c r="C825" s="118"/>
      <c r="D825" s="103"/>
      <c r="E825" s="93"/>
      <c r="F825" s="93"/>
      <c r="G825" s="106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</row>
    <row r="826" ht="27.0" customHeight="1">
      <c r="A826" s="93"/>
      <c r="B826" s="93"/>
      <c r="C826" s="118"/>
      <c r="D826" s="103"/>
      <c r="E826" s="93"/>
      <c r="F826" s="93"/>
      <c r="G826" s="106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</row>
    <row r="827" ht="27.0" customHeight="1">
      <c r="A827" s="93"/>
      <c r="B827" s="93"/>
      <c r="C827" s="118"/>
      <c r="D827" s="103"/>
      <c r="E827" s="93"/>
      <c r="F827" s="93"/>
      <c r="G827" s="106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</row>
    <row r="828" ht="27.0" customHeight="1">
      <c r="A828" s="93"/>
      <c r="B828" s="93"/>
      <c r="C828" s="118"/>
      <c r="D828" s="103"/>
      <c r="E828" s="93"/>
      <c r="F828" s="93"/>
      <c r="G828" s="106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</row>
    <row r="829" ht="27.0" customHeight="1">
      <c r="A829" s="93"/>
      <c r="B829" s="93"/>
      <c r="C829" s="118"/>
      <c r="D829" s="103"/>
      <c r="E829" s="93"/>
      <c r="F829" s="93"/>
      <c r="G829" s="106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</row>
    <row r="830" ht="27.0" customHeight="1">
      <c r="A830" s="93"/>
      <c r="B830" s="93"/>
      <c r="C830" s="118"/>
      <c r="D830" s="103"/>
      <c r="E830" s="93"/>
      <c r="F830" s="93"/>
      <c r="G830" s="106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</row>
    <row r="831" ht="27.0" customHeight="1">
      <c r="A831" s="93"/>
      <c r="B831" s="93"/>
      <c r="C831" s="118"/>
      <c r="D831" s="103"/>
      <c r="E831" s="93"/>
      <c r="F831" s="93"/>
      <c r="G831" s="106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</row>
    <row r="832" ht="27.0" customHeight="1">
      <c r="A832" s="93"/>
      <c r="B832" s="93"/>
      <c r="C832" s="118"/>
      <c r="D832" s="103"/>
      <c r="E832" s="93"/>
      <c r="F832" s="93"/>
      <c r="G832" s="106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</row>
    <row r="833" ht="27.0" customHeight="1">
      <c r="A833" s="93"/>
      <c r="B833" s="93"/>
      <c r="C833" s="118"/>
      <c r="D833" s="103"/>
      <c r="E833" s="93"/>
      <c r="F833" s="93"/>
      <c r="G833" s="106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</row>
    <row r="834" ht="27.0" customHeight="1">
      <c r="A834" s="93"/>
      <c r="B834" s="93"/>
      <c r="C834" s="118"/>
      <c r="D834" s="103"/>
      <c r="E834" s="93"/>
      <c r="F834" s="93"/>
      <c r="G834" s="106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</row>
    <row r="835" ht="27.0" customHeight="1">
      <c r="A835" s="93"/>
      <c r="B835" s="93"/>
      <c r="C835" s="118"/>
      <c r="D835" s="103"/>
      <c r="E835" s="93"/>
      <c r="F835" s="93"/>
      <c r="G835" s="106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</row>
    <row r="836" ht="27.0" customHeight="1">
      <c r="A836" s="93"/>
      <c r="B836" s="93"/>
      <c r="C836" s="118"/>
      <c r="D836" s="103"/>
      <c r="E836" s="93"/>
      <c r="F836" s="93"/>
      <c r="G836" s="106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</row>
    <row r="837" ht="27.0" customHeight="1">
      <c r="A837" s="93"/>
      <c r="B837" s="93"/>
      <c r="C837" s="118"/>
      <c r="D837" s="103"/>
      <c r="E837" s="93"/>
      <c r="F837" s="93"/>
      <c r="G837" s="106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</row>
    <row r="838" ht="27.0" customHeight="1">
      <c r="A838" s="93"/>
      <c r="B838" s="93"/>
      <c r="C838" s="118"/>
      <c r="D838" s="103"/>
      <c r="E838" s="93"/>
      <c r="F838" s="93"/>
      <c r="G838" s="106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</row>
    <row r="839" ht="27.0" customHeight="1">
      <c r="A839" s="93"/>
      <c r="B839" s="93"/>
      <c r="C839" s="118"/>
      <c r="D839" s="103"/>
      <c r="E839" s="93"/>
      <c r="F839" s="93"/>
      <c r="G839" s="106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</row>
    <row r="840" ht="27.0" customHeight="1">
      <c r="A840" s="93"/>
      <c r="B840" s="93"/>
      <c r="C840" s="118"/>
      <c r="D840" s="103"/>
      <c r="E840" s="93"/>
      <c r="F840" s="93"/>
      <c r="G840" s="106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</row>
    <row r="841" ht="27.0" customHeight="1">
      <c r="A841" s="93"/>
      <c r="B841" s="93"/>
      <c r="C841" s="118"/>
      <c r="D841" s="103"/>
      <c r="E841" s="93"/>
      <c r="F841" s="93"/>
      <c r="G841" s="106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</row>
    <row r="842" ht="27.0" customHeight="1">
      <c r="A842" s="93"/>
      <c r="B842" s="93"/>
      <c r="C842" s="118"/>
      <c r="D842" s="103"/>
      <c r="E842" s="93"/>
      <c r="F842" s="93"/>
      <c r="G842" s="106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</row>
    <row r="843" ht="27.0" customHeight="1">
      <c r="A843" s="93"/>
      <c r="B843" s="93"/>
      <c r="C843" s="118"/>
      <c r="D843" s="103"/>
      <c r="E843" s="93"/>
      <c r="F843" s="93"/>
      <c r="G843" s="106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</row>
    <row r="844" ht="27.0" customHeight="1">
      <c r="A844" s="93"/>
      <c r="B844" s="93"/>
      <c r="C844" s="118"/>
      <c r="D844" s="103"/>
      <c r="E844" s="93"/>
      <c r="F844" s="93"/>
      <c r="G844" s="106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</row>
    <row r="845" ht="27.0" customHeight="1">
      <c r="A845" s="93"/>
      <c r="B845" s="93"/>
      <c r="C845" s="118"/>
      <c r="D845" s="103"/>
      <c r="E845" s="93"/>
      <c r="F845" s="93"/>
      <c r="G845" s="106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</row>
    <row r="846" ht="27.0" customHeight="1">
      <c r="A846" s="93"/>
      <c r="B846" s="93"/>
      <c r="C846" s="118"/>
      <c r="D846" s="103"/>
      <c r="E846" s="93"/>
      <c r="F846" s="93"/>
      <c r="G846" s="106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</row>
    <row r="847" ht="27.0" customHeight="1">
      <c r="A847" s="93"/>
      <c r="B847" s="93"/>
      <c r="C847" s="118"/>
      <c r="D847" s="103"/>
      <c r="E847" s="93"/>
      <c r="F847" s="93"/>
      <c r="G847" s="106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</row>
    <row r="848" ht="27.0" customHeight="1">
      <c r="A848" s="93"/>
      <c r="B848" s="93"/>
      <c r="C848" s="118"/>
      <c r="D848" s="103"/>
      <c r="E848" s="93"/>
      <c r="F848" s="93"/>
      <c r="G848" s="106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</row>
    <row r="849" ht="27.0" customHeight="1">
      <c r="A849" s="93"/>
      <c r="B849" s="93"/>
      <c r="C849" s="118"/>
      <c r="D849" s="103"/>
      <c r="E849" s="93"/>
      <c r="F849" s="93"/>
      <c r="G849" s="106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</row>
    <row r="850" ht="27.0" customHeight="1">
      <c r="A850" s="93"/>
      <c r="B850" s="93"/>
      <c r="C850" s="118"/>
      <c r="D850" s="103"/>
      <c r="E850" s="93"/>
      <c r="F850" s="93"/>
      <c r="G850" s="106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</row>
    <row r="851" ht="27.0" customHeight="1">
      <c r="A851" s="93"/>
      <c r="B851" s="93"/>
      <c r="C851" s="118"/>
      <c r="D851" s="103"/>
      <c r="E851" s="93"/>
      <c r="F851" s="93"/>
      <c r="G851" s="106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</row>
    <row r="852" ht="27.0" customHeight="1">
      <c r="A852" s="93"/>
      <c r="B852" s="93"/>
      <c r="C852" s="118"/>
      <c r="D852" s="103"/>
      <c r="E852" s="93"/>
      <c r="F852" s="93"/>
      <c r="G852" s="106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</row>
    <row r="853" ht="27.0" customHeight="1">
      <c r="A853" s="93"/>
      <c r="B853" s="93"/>
      <c r="C853" s="118"/>
      <c r="D853" s="103"/>
      <c r="E853" s="93"/>
      <c r="F853" s="93"/>
      <c r="G853" s="106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</row>
    <row r="854" ht="27.0" customHeight="1">
      <c r="A854" s="93"/>
      <c r="B854" s="93"/>
      <c r="C854" s="118"/>
      <c r="D854" s="103"/>
      <c r="E854" s="93"/>
      <c r="F854" s="93"/>
      <c r="G854" s="106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</row>
    <row r="855" ht="27.0" customHeight="1">
      <c r="A855" s="93"/>
      <c r="B855" s="93"/>
      <c r="C855" s="118"/>
      <c r="D855" s="103"/>
      <c r="E855" s="93"/>
      <c r="F855" s="93"/>
      <c r="G855" s="106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</row>
    <row r="856" ht="27.0" customHeight="1">
      <c r="A856" s="93"/>
      <c r="B856" s="93"/>
      <c r="C856" s="118"/>
      <c r="D856" s="103"/>
      <c r="E856" s="93"/>
      <c r="F856" s="93"/>
      <c r="G856" s="106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</row>
    <row r="857" ht="27.0" customHeight="1">
      <c r="A857" s="93"/>
      <c r="B857" s="93"/>
      <c r="C857" s="118"/>
      <c r="D857" s="103"/>
      <c r="E857" s="93"/>
      <c r="F857" s="93"/>
      <c r="G857" s="106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</row>
    <row r="858" ht="27.0" customHeight="1">
      <c r="A858" s="93"/>
      <c r="B858" s="93"/>
      <c r="C858" s="118"/>
      <c r="D858" s="103"/>
      <c r="E858" s="93"/>
      <c r="F858" s="93"/>
      <c r="G858" s="106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</row>
    <row r="859" ht="27.0" customHeight="1">
      <c r="A859" s="93"/>
      <c r="B859" s="93"/>
      <c r="C859" s="118"/>
      <c r="D859" s="103"/>
      <c r="E859" s="93"/>
      <c r="F859" s="93"/>
      <c r="G859" s="106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</row>
    <row r="860" ht="27.0" customHeight="1">
      <c r="A860" s="93"/>
      <c r="B860" s="93"/>
      <c r="C860" s="118"/>
      <c r="D860" s="103"/>
      <c r="E860" s="93"/>
      <c r="F860" s="93"/>
      <c r="G860" s="106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</row>
    <row r="861" ht="27.0" customHeight="1">
      <c r="A861" s="93"/>
      <c r="B861" s="93"/>
      <c r="C861" s="118"/>
      <c r="D861" s="103"/>
      <c r="E861" s="93"/>
      <c r="F861" s="93"/>
      <c r="G861" s="106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</row>
    <row r="862" ht="27.0" customHeight="1">
      <c r="A862" s="93"/>
      <c r="B862" s="93"/>
      <c r="C862" s="118"/>
      <c r="D862" s="103"/>
      <c r="E862" s="93"/>
      <c r="F862" s="93"/>
      <c r="G862" s="106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</row>
    <row r="863" ht="27.0" customHeight="1">
      <c r="A863" s="93"/>
      <c r="B863" s="93"/>
      <c r="C863" s="118"/>
      <c r="D863" s="103"/>
      <c r="E863" s="93"/>
      <c r="F863" s="93"/>
      <c r="G863" s="106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</row>
    <row r="864" ht="27.0" customHeight="1">
      <c r="A864" s="93"/>
      <c r="B864" s="93"/>
      <c r="C864" s="118"/>
      <c r="D864" s="103"/>
      <c r="E864" s="93"/>
      <c r="F864" s="93"/>
      <c r="G864" s="106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</row>
    <row r="865" ht="27.0" customHeight="1">
      <c r="A865" s="93"/>
      <c r="B865" s="93"/>
      <c r="C865" s="118"/>
      <c r="D865" s="103"/>
      <c r="E865" s="93"/>
      <c r="F865" s="93"/>
      <c r="G865" s="106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</row>
    <row r="866" ht="27.0" customHeight="1">
      <c r="A866" s="93"/>
      <c r="B866" s="93"/>
      <c r="C866" s="118"/>
      <c r="D866" s="103"/>
      <c r="E866" s="93"/>
      <c r="F866" s="93"/>
      <c r="G866" s="106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</row>
    <row r="867" ht="27.0" customHeight="1">
      <c r="A867" s="93"/>
      <c r="B867" s="93"/>
      <c r="C867" s="118"/>
      <c r="D867" s="103"/>
      <c r="E867" s="93"/>
      <c r="F867" s="93"/>
      <c r="G867" s="106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</row>
    <row r="868" ht="27.0" customHeight="1">
      <c r="A868" s="93"/>
      <c r="B868" s="93"/>
      <c r="C868" s="118"/>
      <c r="D868" s="103"/>
      <c r="E868" s="93"/>
      <c r="F868" s="93"/>
      <c r="G868" s="106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</row>
    <row r="869" ht="27.0" customHeight="1">
      <c r="A869" s="93"/>
      <c r="B869" s="93"/>
      <c r="C869" s="118"/>
      <c r="D869" s="103"/>
      <c r="E869" s="93"/>
      <c r="F869" s="93"/>
      <c r="G869" s="106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</row>
    <row r="870" ht="27.0" customHeight="1">
      <c r="A870" s="93"/>
      <c r="B870" s="93"/>
      <c r="C870" s="118"/>
      <c r="D870" s="103"/>
      <c r="E870" s="93"/>
      <c r="F870" s="93"/>
      <c r="G870" s="106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</row>
    <row r="871" ht="27.0" customHeight="1">
      <c r="A871" s="93"/>
      <c r="B871" s="93"/>
      <c r="C871" s="118"/>
      <c r="D871" s="103"/>
      <c r="E871" s="93"/>
      <c r="F871" s="93"/>
      <c r="G871" s="106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</row>
    <row r="872" ht="27.0" customHeight="1">
      <c r="A872" s="93"/>
      <c r="B872" s="93"/>
      <c r="C872" s="118"/>
      <c r="D872" s="103"/>
      <c r="E872" s="93"/>
      <c r="F872" s="93"/>
      <c r="G872" s="106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</row>
    <row r="873" ht="27.0" customHeight="1">
      <c r="A873" s="93"/>
      <c r="B873" s="93"/>
      <c r="C873" s="118"/>
      <c r="D873" s="103"/>
      <c r="E873" s="93"/>
      <c r="F873" s="93"/>
      <c r="G873" s="106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</row>
    <row r="874" ht="27.0" customHeight="1">
      <c r="A874" s="93"/>
      <c r="B874" s="93"/>
      <c r="C874" s="118"/>
      <c r="D874" s="103"/>
      <c r="E874" s="93"/>
      <c r="F874" s="93"/>
      <c r="G874" s="106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</row>
    <row r="875" ht="27.0" customHeight="1">
      <c r="A875" s="93"/>
      <c r="B875" s="93"/>
      <c r="C875" s="118"/>
      <c r="D875" s="103"/>
      <c r="E875" s="93"/>
      <c r="F875" s="93"/>
      <c r="G875" s="106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</row>
    <row r="876" ht="27.0" customHeight="1">
      <c r="A876" s="93"/>
      <c r="B876" s="93"/>
      <c r="C876" s="118"/>
      <c r="D876" s="103"/>
      <c r="E876" s="93"/>
      <c r="F876" s="93"/>
      <c r="G876" s="106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</row>
    <row r="877" ht="27.0" customHeight="1">
      <c r="A877" s="93"/>
      <c r="B877" s="93"/>
      <c r="C877" s="118"/>
      <c r="D877" s="103"/>
      <c r="E877" s="93"/>
      <c r="F877" s="93"/>
      <c r="G877" s="106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</row>
    <row r="878" ht="27.0" customHeight="1">
      <c r="A878" s="93"/>
      <c r="B878" s="93"/>
      <c r="C878" s="118"/>
      <c r="D878" s="103"/>
      <c r="E878" s="93"/>
      <c r="F878" s="93"/>
      <c r="G878" s="106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</row>
    <row r="879" ht="27.0" customHeight="1">
      <c r="A879" s="93"/>
      <c r="B879" s="93"/>
      <c r="C879" s="118"/>
      <c r="D879" s="103"/>
      <c r="E879" s="93"/>
      <c r="F879" s="93"/>
      <c r="G879" s="106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</row>
    <row r="880" ht="27.0" customHeight="1">
      <c r="A880" s="93"/>
      <c r="B880" s="93"/>
      <c r="C880" s="118"/>
      <c r="D880" s="103"/>
      <c r="E880" s="93"/>
      <c r="F880" s="93"/>
      <c r="G880" s="106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</row>
    <row r="881" ht="27.0" customHeight="1">
      <c r="A881" s="93"/>
      <c r="B881" s="93"/>
      <c r="C881" s="118"/>
      <c r="D881" s="103"/>
      <c r="E881" s="93"/>
      <c r="F881" s="93"/>
      <c r="G881" s="106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</row>
    <row r="882" ht="27.0" customHeight="1">
      <c r="A882" s="93"/>
      <c r="B882" s="93"/>
      <c r="C882" s="118"/>
      <c r="D882" s="103"/>
      <c r="E882" s="93"/>
      <c r="F882" s="93"/>
      <c r="G882" s="106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</row>
    <row r="883" ht="27.0" customHeight="1">
      <c r="A883" s="93"/>
      <c r="B883" s="93"/>
      <c r="C883" s="118"/>
      <c r="D883" s="103"/>
      <c r="E883" s="93"/>
      <c r="F883" s="93"/>
      <c r="G883" s="106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</row>
    <row r="884" ht="27.0" customHeight="1">
      <c r="A884" s="93"/>
      <c r="B884" s="93"/>
      <c r="C884" s="118"/>
      <c r="D884" s="103"/>
      <c r="E884" s="93"/>
      <c r="F884" s="93"/>
      <c r="G884" s="106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</row>
    <row r="885" ht="27.0" customHeight="1">
      <c r="A885" s="93"/>
      <c r="B885" s="93"/>
      <c r="C885" s="118"/>
      <c r="D885" s="103"/>
      <c r="E885" s="93"/>
      <c r="F885" s="93"/>
      <c r="G885" s="106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</row>
    <row r="886" ht="27.0" customHeight="1">
      <c r="A886" s="93"/>
      <c r="B886" s="93"/>
      <c r="C886" s="118"/>
      <c r="D886" s="103"/>
      <c r="E886" s="93"/>
      <c r="F886" s="93"/>
      <c r="G886" s="106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</row>
    <row r="887" ht="27.0" customHeight="1">
      <c r="A887" s="93"/>
      <c r="B887" s="93"/>
      <c r="C887" s="118"/>
      <c r="D887" s="103"/>
      <c r="E887" s="93"/>
      <c r="F887" s="93"/>
      <c r="G887" s="106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</row>
    <row r="888" ht="27.0" customHeight="1">
      <c r="A888" s="93"/>
      <c r="B888" s="93"/>
      <c r="C888" s="118"/>
      <c r="D888" s="103"/>
      <c r="E888" s="93"/>
      <c r="F888" s="93"/>
      <c r="G888" s="106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</row>
    <row r="889" ht="27.0" customHeight="1">
      <c r="A889" s="93"/>
      <c r="B889" s="93"/>
      <c r="C889" s="118"/>
      <c r="D889" s="103"/>
      <c r="E889" s="93"/>
      <c r="F889" s="93"/>
      <c r="G889" s="106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</row>
    <row r="890" ht="27.0" customHeight="1">
      <c r="A890" s="93"/>
      <c r="B890" s="93"/>
      <c r="C890" s="118"/>
      <c r="D890" s="103"/>
      <c r="E890" s="93"/>
      <c r="F890" s="93"/>
      <c r="G890" s="106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</row>
    <row r="891" ht="27.0" customHeight="1">
      <c r="A891" s="93"/>
      <c r="B891" s="93"/>
      <c r="C891" s="118"/>
      <c r="D891" s="103"/>
      <c r="E891" s="93"/>
      <c r="F891" s="93"/>
      <c r="G891" s="106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</row>
    <row r="892" ht="27.0" customHeight="1">
      <c r="A892" s="93"/>
      <c r="B892" s="93"/>
      <c r="C892" s="118"/>
      <c r="D892" s="103"/>
      <c r="E892" s="93"/>
      <c r="F892" s="93"/>
      <c r="G892" s="106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</row>
    <row r="893" ht="27.0" customHeight="1">
      <c r="A893" s="93"/>
      <c r="B893" s="93"/>
      <c r="C893" s="118"/>
      <c r="D893" s="103"/>
      <c r="E893" s="93"/>
      <c r="F893" s="93"/>
      <c r="G893" s="106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</row>
  </sheetData>
  <autoFilter ref="$A$1:$W$31">
    <sortState ref="A1:W31">
      <sortCondition ref="E1:E31"/>
    </sortState>
  </autoFilter>
  <customSheetViews>
    <customSheetView guid="{4C231062-5D4D-4DE6-B9D4-2D8A0C5A4DC8}" filter="1" showAutoFilter="1">
      <autoFilter ref="$A$1:$J$893">
        <sortState ref="A1:J893">
          <sortCondition ref="G1:G893"/>
        </sortState>
      </autoFilter>
    </customSheetView>
    <customSheetView guid="{1F3284C1-1720-4A5A-9858-18A0C2CFEDB8}" filter="1" showAutoFilter="1">
      <autoFilter ref="$A$1:$J$893"/>
    </customSheetView>
  </customSheetView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43"/>
    <col customWidth="1" min="2" max="2" width="9.71"/>
    <col customWidth="1" min="3" max="3" width="21.57"/>
    <col customWidth="1" min="4" max="4" width="15.14"/>
    <col customWidth="1" min="5" max="5" width="14.57"/>
    <col customWidth="1" min="6" max="6" width="12.29"/>
    <col customWidth="1" min="7" max="7" width="11.0"/>
    <col customWidth="1" min="8" max="8" width="40.14"/>
    <col customWidth="1" min="9" max="9" width="24.57"/>
    <col customWidth="1" min="10" max="10" width="12.29"/>
    <col customWidth="1" min="11" max="11" width="15.14"/>
    <col customWidth="1" min="12" max="22" width="12.29"/>
  </cols>
  <sheetData>
    <row r="1" ht="33.0" customHeight="1">
      <c r="A1" s="1" t="s">
        <v>0</v>
      </c>
      <c r="B1" s="1" t="s">
        <v>1</v>
      </c>
      <c r="C1" s="1" t="s">
        <v>2</v>
      </c>
      <c r="D1" s="110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ht="33.0" customHeight="1">
      <c r="A2" s="27" t="s">
        <v>24</v>
      </c>
      <c r="B2" s="27">
        <v>1025.0</v>
      </c>
      <c r="C2" s="27" t="s">
        <v>243</v>
      </c>
      <c r="D2" s="27">
        <v>2.0</v>
      </c>
      <c r="E2" s="116" t="s">
        <v>244</v>
      </c>
      <c r="F2" s="116" t="s">
        <v>245</v>
      </c>
      <c r="G2" s="27">
        <v>4.0</v>
      </c>
      <c r="H2" s="27"/>
      <c r="I2" s="27"/>
      <c r="J2" s="12" t="b">
        <v>0</v>
      </c>
      <c r="K2" s="13" t="s">
        <v>16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ht="33.0" customHeight="1">
      <c r="A3" s="27" t="s">
        <v>24</v>
      </c>
      <c r="B3" s="27">
        <v>1026.0</v>
      </c>
      <c r="C3" s="27" t="s">
        <v>246</v>
      </c>
      <c r="D3" s="27">
        <v>1.0</v>
      </c>
      <c r="E3" s="116" t="s">
        <v>244</v>
      </c>
      <c r="F3" s="116" t="s">
        <v>245</v>
      </c>
      <c r="G3" s="27">
        <v>2.0</v>
      </c>
      <c r="H3" s="27" t="s">
        <v>160</v>
      </c>
      <c r="I3" s="27"/>
      <c r="J3" s="12" t="b">
        <v>0</v>
      </c>
      <c r="K3" s="13" t="s">
        <v>16</v>
      </c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</row>
    <row r="4" ht="33.0" customHeight="1">
      <c r="A4" s="113" t="s">
        <v>156</v>
      </c>
      <c r="B4" s="113">
        <v>2025.0</v>
      </c>
      <c r="C4" s="113" t="s">
        <v>243</v>
      </c>
      <c r="D4" s="113">
        <v>2.0</v>
      </c>
      <c r="E4" s="114" t="s">
        <v>244</v>
      </c>
      <c r="F4" s="114" t="s">
        <v>245</v>
      </c>
      <c r="G4" s="113">
        <v>4.0</v>
      </c>
      <c r="H4" s="113"/>
      <c r="I4" s="113"/>
      <c r="J4" s="12" t="b">
        <v>0</v>
      </c>
      <c r="K4" s="13" t="s">
        <v>16</v>
      </c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</row>
    <row r="5" ht="33.0" customHeight="1">
      <c r="A5" s="130" t="s">
        <v>170</v>
      </c>
      <c r="B5" s="130">
        <v>2324.0</v>
      </c>
      <c r="C5" s="130" t="s">
        <v>243</v>
      </c>
      <c r="D5" s="130">
        <v>1.0</v>
      </c>
      <c r="E5" s="131" t="s">
        <v>244</v>
      </c>
      <c r="F5" s="131" t="s">
        <v>245</v>
      </c>
      <c r="G5" s="130" t="s">
        <v>171</v>
      </c>
      <c r="H5" s="130" t="s">
        <v>172</v>
      </c>
      <c r="I5" s="130"/>
      <c r="J5" s="12" t="b">
        <v>0</v>
      </c>
      <c r="K5" s="13" t="s">
        <v>16</v>
      </c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 ht="33.0" customHeight="1">
      <c r="A6" s="113" t="s">
        <v>156</v>
      </c>
      <c r="B6" s="113" t="s">
        <v>25</v>
      </c>
      <c r="C6" s="113" t="s">
        <v>246</v>
      </c>
      <c r="D6" s="113">
        <v>2.0</v>
      </c>
      <c r="E6" s="114" t="s">
        <v>244</v>
      </c>
      <c r="F6" s="114" t="s">
        <v>245</v>
      </c>
      <c r="G6" s="113"/>
      <c r="H6" s="113"/>
      <c r="I6" s="113"/>
      <c r="J6" s="12" t="b">
        <v>0</v>
      </c>
      <c r="K6" s="13" t="s">
        <v>16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</row>
    <row r="7" ht="33.0" customHeight="1">
      <c r="A7" s="20" t="s">
        <v>21</v>
      </c>
      <c r="B7" s="20" t="s">
        <v>138</v>
      </c>
      <c r="C7" s="20" t="s">
        <v>245</v>
      </c>
      <c r="D7" s="20">
        <v>4.0</v>
      </c>
      <c r="E7" s="54" t="s">
        <v>244</v>
      </c>
      <c r="F7" s="54" t="s">
        <v>245</v>
      </c>
      <c r="G7" s="20">
        <v>2.0</v>
      </c>
      <c r="H7" s="54" t="s">
        <v>247</v>
      </c>
      <c r="I7" s="20"/>
      <c r="J7" s="12" t="b">
        <v>0</v>
      </c>
      <c r="K7" s="13" t="s">
        <v>16</v>
      </c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</row>
    <row r="8" ht="33.0" customHeight="1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</row>
    <row r="9" ht="33.0" customHeight="1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</row>
    <row r="10" ht="33.0" customHeight="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</row>
    <row r="11" ht="33.0" customHeight="1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</row>
    <row r="12" ht="33.0" customHeight="1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</row>
    <row r="13" ht="33.0" customHeight="1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</row>
    <row r="14" ht="33.0" customHeight="1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</row>
    <row r="15" ht="33.0" customHeight="1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</row>
    <row r="16" ht="33.0" customHeight="1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ht="33.0" customHeight="1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ht="33.0" customHeight="1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</row>
    <row r="19" ht="33.0" customHeight="1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</row>
    <row r="20" ht="33.0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ht="33.0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ht="33.0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ht="33.0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ht="33.0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ht="33.0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ht="33.0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ht="33.0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ht="33.0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ht="33.0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  <row r="30" ht="33.0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</row>
    <row r="31" ht="33.0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</row>
    <row r="32" ht="33.0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ht="33.0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ht="33.0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</row>
    <row r="35" ht="33.0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</row>
    <row r="36" ht="33.0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33.0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</row>
    <row r="38" ht="33.0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</row>
    <row r="39" ht="33.0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</row>
    <row r="40" ht="33.0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ht="33.0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ht="33.0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ht="33.0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</row>
    <row r="44" ht="33.0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</row>
    <row r="45" ht="33.0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ht="33.0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ht="33.0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ht="33.0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ht="33.0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ht="33.0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ht="33.0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ht="33.0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ht="33.0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ht="33.0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ht="33.0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ht="33.0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ht="33.0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ht="33.0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ht="33.0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ht="33.0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ht="33.0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ht="33.0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ht="33.0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ht="33.0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ht="33.0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ht="33.0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ht="33.0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ht="33.0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69" ht="33.0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</row>
    <row r="70" ht="33.0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</row>
    <row r="71" ht="33.0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</row>
    <row r="72" ht="33.0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</row>
    <row r="73" ht="33.0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</row>
    <row r="74" ht="33.0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</row>
    <row r="75" ht="33.0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ht="33.0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</row>
    <row r="77" ht="33.0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</row>
    <row r="78" ht="33.0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</row>
    <row r="79" ht="33.0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</row>
    <row r="80" ht="33.0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</row>
    <row r="81" ht="33.0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ht="33.0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</row>
    <row r="83" ht="33.0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</row>
    <row r="84" ht="33.0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</row>
    <row r="85" ht="33.0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</row>
    <row r="86" ht="33.0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</row>
    <row r="87" ht="33.0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</row>
    <row r="88" ht="33.0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ht="33.0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</row>
    <row r="90" ht="33.0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</row>
    <row r="91" ht="33.0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</row>
    <row r="92" ht="33.0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</row>
    <row r="93" ht="33.0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</row>
    <row r="94" ht="33.0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</row>
    <row r="95" ht="33.0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</row>
    <row r="96" ht="33.0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</row>
    <row r="97" ht="33.0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</row>
    <row r="98" ht="33.0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</row>
    <row r="99" ht="33.0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</row>
    <row r="100" ht="33.0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</row>
    <row r="101" ht="33.0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</row>
    <row r="102" ht="33.0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</row>
    <row r="103" ht="33.0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</row>
    <row r="104" ht="33.0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</row>
    <row r="105" ht="33.0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</row>
    <row r="106" ht="33.0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</row>
    <row r="107" ht="33.0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</row>
    <row r="108" ht="33.0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</row>
    <row r="109" ht="33.0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</row>
    <row r="110" ht="33.0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</row>
    <row r="111" ht="33.0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</row>
    <row r="112" ht="33.0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</row>
    <row r="113" ht="33.0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</row>
    <row r="114" ht="33.0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</row>
    <row r="115" ht="33.0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</row>
    <row r="116" ht="33.0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</row>
    <row r="117" ht="33.0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</row>
    <row r="118" ht="33.0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</row>
    <row r="119" ht="33.0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</row>
    <row r="120" ht="33.0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</row>
    <row r="121" ht="33.0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ht="33.0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</row>
    <row r="123" ht="33.0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</row>
    <row r="124" ht="33.0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</row>
    <row r="125" ht="33.0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</row>
    <row r="126" ht="33.0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</row>
    <row r="127" ht="33.0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</row>
    <row r="128" ht="33.0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</row>
    <row r="129" ht="33.0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ht="33.0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</row>
    <row r="131" ht="33.0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</row>
    <row r="132" ht="33.0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</row>
    <row r="133" ht="33.0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</row>
    <row r="134" ht="33.0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</row>
    <row r="135" ht="33.0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</row>
    <row r="136" ht="33.0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</row>
    <row r="137" ht="33.0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</row>
    <row r="138" ht="33.0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</row>
    <row r="139" ht="33.0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</row>
    <row r="140" ht="33.0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</row>
    <row r="141" ht="33.0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</row>
    <row r="142" ht="33.0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</row>
    <row r="143" ht="33.0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</row>
    <row r="144" ht="33.0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</row>
    <row r="145" ht="33.0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</row>
    <row r="146" ht="33.0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</row>
    <row r="147" ht="33.0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</row>
    <row r="148" ht="33.0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</row>
    <row r="149" ht="33.0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</row>
    <row r="150" ht="33.0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</row>
    <row r="151" ht="33.0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</row>
    <row r="152" ht="33.0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</row>
    <row r="153" ht="33.0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</row>
    <row r="154" ht="33.0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</row>
    <row r="155" ht="33.0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</row>
    <row r="156" ht="33.0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ht="33.0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</row>
    <row r="158" ht="33.0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</row>
    <row r="159" ht="33.0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</row>
    <row r="160" ht="33.0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</row>
    <row r="161" ht="33.0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</row>
    <row r="162" ht="33.0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</row>
    <row r="163" ht="33.0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</row>
    <row r="164" ht="33.0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</row>
    <row r="165" ht="33.0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</row>
    <row r="166" ht="33.0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</row>
    <row r="167" ht="33.0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</row>
    <row r="168" ht="33.0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</row>
    <row r="169" ht="33.0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</row>
    <row r="170" ht="33.0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</row>
    <row r="171" ht="33.0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</row>
    <row r="172" ht="33.0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</row>
    <row r="173" ht="33.0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</row>
    <row r="174" ht="33.0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</row>
    <row r="175" ht="33.0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</row>
    <row r="176" ht="33.0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</row>
    <row r="177" ht="33.0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</row>
    <row r="178" ht="33.0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</row>
    <row r="179" ht="33.0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</row>
    <row r="180" ht="33.0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</row>
    <row r="181" ht="33.0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</row>
    <row r="182" ht="33.0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</row>
    <row r="183" ht="33.0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</row>
    <row r="184" ht="33.0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</row>
    <row r="185" ht="33.0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</row>
    <row r="186" ht="33.0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</row>
    <row r="187" ht="33.0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</row>
    <row r="188" ht="33.0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</row>
    <row r="189" ht="33.0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</row>
    <row r="190" ht="33.0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</row>
    <row r="191" ht="33.0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</row>
    <row r="192" ht="33.0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</row>
    <row r="193" ht="33.0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</row>
    <row r="194" ht="33.0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</row>
    <row r="195" ht="33.0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</row>
    <row r="196" ht="33.0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</row>
    <row r="197" ht="33.0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</row>
    <row r="198" ht="33.0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</row>
    <row r="199" ht="33.0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</row>
    <row r="200" ht="33.0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ht="33.0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</row>
    <row r="202" ht="33.0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</row>
    <row r="203" ht="33.0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</row>
    <row r="204" ht="33.0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</row>
    <row r="205" ht="33.0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</row>
    <row r="206" ht="33.0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</row>
    <row r="207" ht="33.0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</row>
    <row r="208" ht="33.0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</row>
    <row r="209" ht="33.0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</row>
    <row r="210" ht="33.0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</row>
    <row r="211" ht="33.0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</row>
    <row r="212" ht="33.0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</row>
    <row r="213" ht="33.0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</row>
    <row r="214" ht="33.0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</row>
    <row r="215" ht="33.0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</row>
    <row r="216" ht="33.0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</row>
    <row r="217" ht="33.0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</row>
    <row r="218" ht="33.0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</row>
    <row r="219" ht="33.0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</row>
    <row r="220" ht="33.0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</row>
    <row r="221" ht="33.0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</row>
    <row r="222" ht="33.0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</row>
    <row r="223" ht="33.0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</row>
    <row r="224" ht="33.0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</row>
    <row r="225" ht="33.0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</row>
    <row r="226" ht="33.0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</row>
    <row r="227" ht="33.0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</row>
    <row r="228" ht="33.0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</row>
    <row r="229" ht="33.0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</row>
    <row r="230" ht="33.0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</row>
    <row r="231" ht="33.0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</row>
    <row r="232" ht="33.0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</row>
    <row r="233" ht="33.0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</row>
    <row r="234" ht="33.0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</row>
    <row r="235" ht="33.0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</row>
    <row r="236" ht="33.0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</row>
    <row r="237" ht="33.0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</row>
    <row r="238" ht="33.0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</row>
    <row r="239" ht="33.0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</row>
    <row r="240" ht="33.0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</row>
    <row r="241" ht="33.0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</row>
    <row r="242" ht="33.0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</row>
    <row r="243" ht="33.0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</row>
    <row r="244" ht="33.0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</row>
    <row r="245" ht="33.0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</row>
    <row r="246" ht="33.0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</row>
    <row r="247" ht="33.0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</row>
    <row r="248" ht="33.0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</row>
    <row r="249" ht="33.0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</row>
    <row r="250" ht="33.0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</row>
    <row r="251" ht="33.0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</row>
    <row r="252" ht="33.0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</row>
    <row r="253" ht="33.0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</row>
    <row r="254" ht="33.0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</row>
    <row r="255" ht="33.0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</row>
    <row r="256" ht="33.0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</row>
    <row r="257" ht="33.0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</row>
    <row r="258" ht="33.0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</row>
    <row r="259" ht="33.0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</row>
    <row r="260" ht="33.0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</row>
    <row r="261" ht="33.0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</row>
    <row r="262" ht="33.0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</row>
    <row r="263" ht="33.0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</row>
    <row r="264" ht="33.0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</row>
    <row r="265" ht="33.0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</row>
    <row r="266" ht="33.0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</row>
    <row r="267" ht="33.0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</row>
    <row r="268" ht="33.0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ht="33.0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</row>
    <row r="270" ht="33.0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</row>
    <row r="271" ht="33.0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</row>
    <row r="272" ht="33.0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</row>
    <row r="273" ht="33.0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</row>
    <row r="274" ht="33.0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</row>
    <row r="275" ht="33.0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</row>
    <row r="276" ht="33.0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</row>
    <row r="277" ht="33.0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</row>
    <row r="278" ht="33.0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</row>
    <row r="279" ht="33.0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</row>
    <row r="280" ht="33.0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</row>
    <row r="281" ht="33.0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</row>
    <row r="282" ht="33.0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</row>
    <row r="283" ht="33.0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</row>
    <row r="284" ht="33.0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</row>
    <row r="285" ht="33.0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</row>
    <row r="286" ht="33.0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</row>
    <row r="287" ht="33.0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</row>
    <row r="288" ht="33.0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</row>
    <row r="289" ht="33.0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</row>
    <row r="290" ht="33.0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</row>
    <row r="291" ht="33.0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</row>
    <row r="292" ht="33.0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</row>
    <row r="293" ht="33.0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</row>
    <row r="294" ht="33.0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</row>
    <row r="295" ht="33.0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</row>
    <row r="296" ht="33.0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</row>
    <row r="297" ht="33.0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</row>
    <row r="298" ht="33.0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</row>
    <row r="299" ht="33.0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</row>
    <row r="300" ht="33.0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</row>
    <row r="301" ht="33.0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</row>
    <row r="302" ht="33.0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</row>
    <row r="303" ht="33.0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</row>
    <row r="304" ht="33.0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</row>
    <row r="305" ht="33.0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</row>
    <row r="306" ht="33.0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</row>
    <row r="307" ht="33.0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</row>
    <row r="308" ht="33.0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</row>
    <row r="309" ht="33.0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</row>
    <row r="310" ht="33.0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</row>
    <row r="311" ht="33.0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</row>
    <row r="312" ht="33.0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</row>
    <row r="313" ht="33.0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</row>
    <row r="314" ht="33.0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</row>
    <row r="315" ht="33.0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</row>
    <row r="316" ht="33.0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</row>
    <row r="317" ht="33.0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</row>
    <row r="318" ht="33.0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</row>
    <row r="319" ht="33.0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</row>
    <row r="320" ht="33.0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</row>
    <row r="321" ht="33.0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</row>
    <row r="322" ht="33.0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</row>
    <row r="323" ht="33.0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</row>
    <row r="324" ht="33.0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</row>
    <row r="325" ht="33.0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</row>
    <row r="326" ht="33.0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ht="33.0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</row>
    <row r="328" ht="33.0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</row>
    <row r="329" ht="33.0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</row>
    <row r="330" ht="33.0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</row>
    <row r="331" ht="33.0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</row>
    <row r="332" ht="33.0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</row>
    <row r="333" ht="33.0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</row>
    <row r="334" ht="33.0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</row>
    <row r="335" ht="33.0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</row>
    <row r="336" ht="33.0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</row>
    <row r="337" ht="33.0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</row>
    <row r="338" ht="33.0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</row>
    <row r="339" ht="33.0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</row>
    <row r="340" ht="33.0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</row>
    <row r="341" ht="33.0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</row>
    <row r="342" ht="33.0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</row>
    <row r="343" ht="33.0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</row>
    <row r="344" ht="33.0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</row>
    <row r="345" ht="33.0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</row>
    <row r="346" ht="33.0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</row>
    <row r="347" ht="33.0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</row>
    <row r="348" ht="33.0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</row>
    <row r="349" ht="33.0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</row>
    <row r="350" ht="33.0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</row>
    <row r="351" ht="33.0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</row>
    <row r="352" ht="33.0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</row>
    <row r="353" ht="33.0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</row>
    <row r="354" ht="33.0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ht="33.0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</row>
    <row r="356" ht="33.0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</row>
    <row r="357" ht="33.0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</row>
    <row r="358" ht="33.0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</row>
    <row r="359" ht="33.0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</row>
    <row r="360" ht="33.0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</row>
    <row r="361" ht="33.0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</row>
    <row r="362" ht="33.0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</row>
    <row r="363" ht="33.0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</row>
    <row r="364" ht="33.0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</row>
    <row r="365" ht="33.0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</row>
    <row r="366" ht="33.0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</row>
    <row r="367" ht="33.0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</row>
    <row r="368" ht="33.0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</row>
    <row r="369" ht="33.0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</row>
    <row r="370" ht="33.0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</row>
    <row r="371" ht="33.0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</row>
    <row r="372" ht="33.0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</row>
    <row r="373" ht="33.0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</row>
    <row r="374" ht="33.0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</row>
    <row r="375" ht="33.0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</row>
    <row r="376" ht="33.0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</row>
    <row r="377" ht="33.0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</row>
    <row r="378" ht="33.0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</row>
    <row r="379" ht="33.0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</row>
    <row r="380" ht="33.0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</row>
    <row r="381" ht="33.0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</row>
    <row r="382" ht="33.0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</row>
    <row r="383" ht="33.0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</row>
    <row r="384" ht="33.0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</row>
    <row r="385" ht="33.0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</row>
    <row r="386" ht="33.0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</row>
    <row r="387" ht="33.0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</row>
    <row r="388" ht="33.0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</row>
    <row r="389" ht="33.0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</row>
    <row r="390" ht="33.0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</row>
    <row r="391" ht="33.0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</row>
    <row r="392" ht="33.0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</row>
    <row r="393" ht="33.0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</row>
    <row r="394" ht="33.0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</row>
    <row r="395" ht="33.0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</row>
    <row r="396" ht="33.0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</row>
    <row r="397" ht="33.0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</row>
    <row r="398" ht="33.0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</row>
    <row r="399" ht="33.0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</row>
    <row r="400" ht="33.0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</row>
    <row r="401" ht="33.0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</row>
    <row r="402" ht="33.0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</row>
    <row r="403" ht="33.0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</row>
    <row r="404" ht="33.0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</row>
    <row r="405" ht="33.0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</row>
    <row r="406" ht="33.0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</row>
    <row r="407" ht="33.0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</row>
    <row r="408" ht="33.0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</row>
    <row r="409" ht="33.0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</row>
    <row r="410" ht="33.0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</row>
    <row r="411" ht="33.0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</row>
    <row r="412" ht="33.0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</row>
    <row r="413" ht="33.0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</row>
    <row r="414" ht="33.0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</row>
    <row r="415" ht="33.0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</row>
    <row r="416" ht="33.0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</row>
    <row r="417" ht="33.0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</row>
    <row r="418" ht="33.0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</row>
    <row r="419" ht="33.0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</row>
    <row r="420" ht="33.0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</row>
    <row r="421" ht="33.0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</row>
    <row r="422" ht="33.0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</row>
    <row r="423" ht="33.0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</row>
    <row r="424" ht="33.0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</row>
    <row r="425" ht="33.0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</row>
    <row r="426" ht="33.0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</row>
    <row r="427" ht="33.0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</row>
    <row r="428" ht="33.0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</row>
    <row r="429" ht="33.0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</row>
    <row r="430" ht="33.0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</row>
    <row r="431" ht="33.0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</row>
    <row r="432" ht="33.0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</row>
    <row r="433" ht="33.0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</row>
    <row r="434" ht="33.0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</row>
    <row r="435" ht="33.0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</row>
    <row r="436" ht="33.0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</row>
    <row r="437" ht="33.0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</row>
    <row r="438" ht="33.0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</row>
    <row r="439" ht="33.0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</row>
    <row r="440" ht="33.0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</row>
    <row r="441" ht="33.0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</row>
    <row r="442" ht="33.0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</row>
    <row r="443" ht="33.0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</row>
    <row r="444" ht="33.0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</row>
    <row r="445" ht="33.0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</row>
    <row r="446" ht="33.0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</row>
    <row r="447" ht="33.0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</row>
    <row r="448" ht="33.0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</row>
    <row r="449" ht="33.0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</row>
    <row r="450" ht="33.0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</row>
    <row r="451" ht="33.0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</row>
    <row r="452" ht="33.0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</row>
    <row r="453" ht="33.0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</row>
    <row r="454" ht="33.0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</row>
    <row r="455" ht="33.0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</row>
    <row r="456" ht="33.0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</row>
    <row r="457" ht="33.0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</row>
    <row r="458" ht="33.0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</row>
    <row r="459" ht="33.0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</row>
    <row r="460" ht="33.0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</row>
    <row r="461" ht="33.0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</row>
    <row r="462" ht="33.0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</row>
    <row r="463" ht="33.0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</row>
    <row r="464" ht="33.0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</row>
    <row r="465" ht="33.0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</row>
    <row r="466" ht="33.0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</row>
    <row r="467" ht="33.0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</row>
    <row r="468" ht="33.0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</row>
    <row r="469" ht="33.0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</row>
    <row r="470" ht="33.0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</row>
    <row r="471" ht="33.0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</row>
    <row r="472" ht="33.0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</row>
    <row r="473" ht="33.0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</row>
    <row r="474" ht="33.0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</row>
    <row r="475" ht="33.0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</row>
    <row r="476" ht="33.0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</row>
    <row r="477" ht="33.0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</row>
    <row r="478" ht="33.0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</row>
    <row r="479" ht="33.0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</row>
    <row r="480" ht="33.0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</row>
    <row r="481" ht="33.0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</row>
    <row r="482" ht="33.0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</row>
    <row r="483" ht="33.0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</row>
    <row r="484" ht="33.0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</row>
    <row r="485" ht="33.0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</row>
    <row r="486" ht="33.0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</row>
    <row r="487" ht="33.0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</row>
    <row r="488" ht="33.0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</row>
    <row r="489" ht="33.0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</row>
    <row r="490" ht="33.0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</row>
    <row r="491" ht="33.0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</row>
    <row r="492" ht="33.0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</row>
    <row r="493" ht="33.0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</row>
    <row r="494" ht="33.0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</row>
    <row r="495" ht="33.0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</row>
    <row r="496" ht="33.0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</row>
    <row r="497" ht="33.0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</row>
    <row r="498" ht="33.0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</row>
    <row r="499" ht="33.0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</row>
    <row r="500" ht="33.0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</row>
    <row r="501" ht="33.0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</row>
    <row r="502" ht="33.0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</row>
    <row r="503" ht="33.0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</row>
    <row r="504" ht="33.0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</row>
    <row r="505" ht="33.0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</row>
    <row r="506" ht="33.0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</row>
    <row r="507" ht="33.0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</row>
    <row r="508" ht="33.0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</row>
    <row r="509" ht="33.0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</row>
    <row r="510" ht="33.0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</row>
    <row r="511" ht="33.0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</row>
    <row r="512" ht="33.0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ht="33.0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</row>
    <row r="514" ht="33.0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</row>
    <row r="515" ht="33.0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</row>
    <row r="516" ht="33.0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</row>
    <row r="517" ht="33.0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</row>
    <row r="518" ht="33.0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</row>
    <row r="519" ht="33.0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</row>
    <row r="520" ht="33.0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</row>
    <row r="521" ht="33.0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</row>
    <row r="522" ht="33.0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</row>
    <row r="523" ht="33.0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</row>
    <row r="524" ht="33.0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</row>
    <row r="525" ht="33.0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</row>
    <row r="526" ht="33.0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</row>
    <row r="527" ht="33.0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</row>
    <row r="528" ht="33.0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</row>
    <row r="529" ht="33.0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</row>
    <row r="530" ht="33.0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</row>
    <row r="531" ht="33.0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</row>
    <row r="532" ht="33.0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</row>
    <row r="533" ht="33.0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</row>
    <row r="534" ht="33.0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</row>
    <row r="535" ht="33.0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</row>
    <row r="536" ht="33.0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</row>
    <row r="537" ht="33.0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</row>
    <row r="538" ht="33.0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</row>
    <row r="539" ht="33.0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</row>
    <row r="540" ht="33.0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</row>
    <row r="541" ht="33.0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</row>
    <row r="542" ht="33.0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</row>
    <row r="543" ht="33.0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</row>
    <row r="544" ht="33.0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</row>
    <row r="545" ht="33.0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</row>
    <row r="546" ht="33.0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</row>
    <row r="547" ht="33.0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</row>
    <row r="548" ht="33.0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</row>
    <row r="549" ht="33.0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</row>
    <row r="550" ht="33.0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</row>
    <row r="551" ht="33.0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</row>
    <row r="552" ht="33.0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</row>
    <row r="553" ht="33.0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</row>
    <row r="554" ht="33.0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</row>
    <row r="555" ht="33.0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</row>
    <row r="556" ht="33.0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</row>
    <row r="557" ht="33.0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</row>
    <row r="558" ht="33.0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</row>
    <row r="559" ht="33.0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</row>
    <row r="560" ht="33.0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</row>
    <row r="561" ht="33.0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</row>
    <row r="562" ht="33.0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</row>
    <row r="563" ht="33.0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</row>
    <row r="564" ht="33.0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</row>
    <row r="565" ht="33.0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</row>
    <row r="566" ht="33.0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</row>
    <row r="567" ht="33.0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</row>
    <row r="568" ht="33.0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</row>
    <row r="569" ht="33.0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</row>
    <row r="570" ht="33.0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</row>
    <row r="571" ht="33.0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</row>
    <row r="572" ht="33.0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</row>
    <row r="573" ht="33.0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</row>
    <row r="574" ht="33.0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</row>
    <row r="575" ht="33.0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</row>
    <row r="576" ht="33.0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</row>
    <row r="577" ht="33.0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</row>
    <row r="578" ht="33.0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</row>
    <row r="579" ht="33.0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</row>
    <row r="580" ht="33.0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</row>
    <row r="581" ht="33.0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</row>
    <row r="582" ht="33.0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</row>
    <row r="583" ht="33.0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</row>
    <row r="584" ht="33.0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</row>
    <row r="585" ht="33.0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</row>
    <row r="586" ht="33.0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</row>
    <row r="587" ht="33.0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</row>
    <row r="588" ht="33.0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</row>
    <row r="589" ht="33.0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</row>
    <row r="590" ht="33.0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</row>
    <row r="591" ht="33.0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</row>
    <row r="592" ht="33.0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</row>
    <row r="593" ht="33.0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</row>
    <row r="594" ht="33.0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</row>
    <row r="595" ht="33.0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</row>
    <row r="596" ht="33.0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</row>
    <row r="597" ht="33.0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</row>
    <row r="598" ht="33.0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</row>
    <row r="599" ht="33.0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</row>
    <row r="600" ht="33.0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</row>
    <row r="601" ht="33.0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</row>
    <row r="602" ht="33.0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</row>
    <row r="603" ht="33.0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</row>
    <row r="604" ht="33.0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</row>
    <row r="605" ht="33.0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</row>
    <row r="606" ht="33.0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</row>
    <row r="607" ht="33.0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</row>
    <row r="608" ht="33.0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</row>
    <row r="609" ht="33.0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</row>
    <row r="610" ht="33.0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</row>
    <row r="611" ht="33.0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</row>
    <row r="612" ht="33.0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</row>
    <row r="613" ht="33.0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</row>
    <row r="614" ht="33.0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</row>
    <row r="615" ht="33.0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</row>
    <row r="616" ht="33.0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</row>
    <row r="617" ht="33.0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</row>
    <row r="618" ht="33.0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</row>
    <row r="619" ht="33.0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</row>
    <row r="620" ht="33.0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</row>
    <row r="621" ht="33.0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</row>
    <row r="622" ht="33.0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</row>
    <row r="623" ht="33.0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</row>
    <row r="624" ht="33.0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</row>
    <row r="625" ht="33.0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</row>
    <row r="626" ht="33.0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</row>
    <row r="627" ht="33.0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</row>
    <row r="628" ht="33.0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</row>
    <row r="629" ht="33.0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</row>
    <row r="630" ht="33.0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</row>
    <row r="631" ht="33.0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</row>
    <row r="632" ht="33.0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</row>
    <row r="633" ht="33.0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</row>
    <row r="634" ht="33.0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</row>
    <row r="635" ht="33.0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</row>
    <row r="636" ht="33.0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</row>
    <row r="637" ht="33.0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</row>
    <row r="638" ht="33.0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</row>
    <row r="639" ht="33.0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</row>
    <row r="640" ht="33.0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</row>
    <row r="641" ht="33.0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</row>
    <row r="642" ht="33.0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</row>
    <row r="643" ht="33.0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</row>
    <row r="644" ht="33.0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</row>
    <row r="645" ht="33.0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</row>
    <row r="646" ht="33.0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</row>
    <row r="647" ht="33.0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</row>
    <row r="648" ht="33.0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</row>
    <row r="649" ht="33.0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</row>
    <row r="650" ht="33.0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</row>
    <row r="651" ht="33.0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</row>
    <row r="652" ht="33.0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</row>
    <row r="653" ht="33.0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</row>
    <row r="654" ht="33.0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</row>
    <row r="655" ht="33.0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</row>
    <row r="656" ht="33.0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</row>
    <row r="657" ht="33.0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</row>
    <row r="658" ht="33.0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</row>
    <row r="659" ht="33.0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</row>
    <row r="660" ht="33.0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</row>
    <row r="661" ht="33.0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</row>
    <row r="662" ht="33.0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</row>
    <row r="663" ht="33.0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</row>
    <row r="664" ht="33.0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</row>
    <row r="665" ht="33.0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</row>
    <row r="666" ht="33.0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</row>
    <row r="667" ht="33.0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</row>
    <row r="668" ht="33.0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</row>
    <row r="669" ht="33.0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</row>
    <row r="670" ht="33.0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</row>
    <row r="671" ht="33.0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</row>
    <row r="672" ht="33.0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</row>
    <row r="673" ht="33.0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</row>
    <row r="674" ht="33.0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</row>
    <row r="675" ht="33.0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</row>
    <row r="676" ht="33.0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</row>
    <row r="677" ht="33.0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</row>
    <row r="678" ht="33.0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</row>
    <row r="679" ht="33.0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</row>
    <row r="680" ht="33.0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</row>
    <row r="681" ht="33.0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</row>
    <row r="682" ht="33.0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</row>
    <row r="683" ht="33.0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</row>
    <row r="684" ht="33.0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</row>
    <row r="685" ht="33.0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</row>
    <row r="686" ht="33.0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</row>
    <row r="687" ht="33.0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</row>
    <row r="688" ht="33.0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</row>
    <row r="689" ht="33.0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</row>
    <row r="690" ht="33.0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</row>
    <row r="691" ht="33.0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</row>
    <row r="692" ht="33.0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</row>
    <row r="693" ht="33.0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</row>
    <row r="694" ht="33.0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</row>
    <row r="695" ht="33.0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</row>
    <row r="696" ht="33.0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</row>
    <row r="697" ht="33.0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</row>
    <row r="698" ht="33.0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</row>
    <row r="699" ht="33.0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</row>
    <row r="700" ht="33.0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</row>
    <row r="701" ht="33.0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</row>
    <row r="702" ht="33.0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</row>
    <row r="703" ht="33.0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</row>
    <row r="704" ht="33.0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</row>
    <row r="705" ht="33.0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</row>
    <row r="706" ht="33.0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</row>
    <row r="707" ht="33.0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</row>
    <row r="708" ht="33.0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</row>
    <row r="709" ht="33.0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</row>
    <row r="710" ht="33.0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</row>
    <row r="711" ht="33.0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</row>
    <row r="712" ht="33.0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</row>
    <row r="713" ht="33.0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</row>
    <row r="714" ht="33.0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</row>
    <row r="715" ht="33.0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</row>
    <row r="716" ht="33.0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</row>
    <row r="717" ht="33.0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</row>
    <row r="718" ht="33.0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</row>
    <row r="719" ht="33.0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</row>
    <row r="720" ht="33.0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</row>
    <row r="721" ht="33.0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</row>
    <row r="722" ht="33.0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</row>
    <row r="723" ht="33.0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</row>
    <row r="724" ht="33.0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</row>
    <row r="725" ht="33.0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</row>
    <row r="726" ht="33.0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</row>
    <row r="727" ht="33.0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</row>
    <row r="728" ht="33.0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</row>
    <row r="729" ht="33.0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</row>
    <row r="730" ht="33.0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</row>
    <row r="731" ht="33.0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</row>
    <row r="732" ht="33.0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</row>
    <row r="733" ht="33.0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</row>
    <row r="734" ht="33.0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</row>
    <row r="735" ht="33.0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</row>
    <row r="736" ht="33.0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</row>
    <row r="737" ht="33.0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</row>
    <row r="738" ht="33.0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</row>
    <row r="739" ht="33.0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</row>
    <row r="740" ht="33.0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</row>
    <row r="741" ht="33.0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</row>
    <row r="742" ht="33.0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</row>
    <row r="743" ht="33.0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</row>
    <row r="744" ht="33.0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</row>
    <row r="745" ht="33.0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</row>
    <row r="746" ht="33.0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</row>
    <row r="747" ht="33.0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</row>
    <row r="748" ht="33.0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</row>
    <row r="749" ht="33.0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</row>
    <row r="750" ht="33.0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</row>
    <row r="751" ht="33.0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</row>
    <row r="752" ht="33.0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</row>
    <row r="753" ht="33.0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</row>
    <row r="754" ht="33.0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</row>
    <row r="755" ht="33.0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</row>
    <row r="756" ht="33.0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</row>
    <row r="757" ht="33.0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</row>
    <row r="758" ht="33.0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</row>
    <row r="759" ht="33.0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</row>
    <row r="760" ht="33.0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</row>
    <row r="761" ht="33.0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</row>
    <row r="762" ht="33.0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</row>
    <row r="763" ht="33.0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</row>
    <row r="764" ht="33.0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</row>
    <row r="765" ht="33.0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</row>
    <row r="766" ht="33.0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</row>
    <row r="767" ht="33.0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</row>
    <row r="768" ht="33.0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</row>
    <row r="769" ht="33.0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</row>
    <row r="770" ht="33.0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</row>
    <row r="771" ht="33.0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</row>
    <row r="772" ht="33.0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</row>
    <row r="773" ht="33.0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</row>
    <row r="774" ht="33.0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</row>
    <row r="775" ht="33.0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</row>
    <row r="776" ht="33.0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</row>
    <row r="777" ht="33.0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</row>
    <row r="778" ht="33.0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</row>
    <row r="779" ht="33.0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</row>
    <row r="780" ht="33.0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</row>
    <row r="781" ht="33.0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</row>
    <row r="782" ht="33.0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</row>
    <row r="783" ht="33.0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</row>
    <row r="784" ht="33.0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</row>
    <row r="785" ht="33.0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</row>
    <row r="786" ht="33.0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</row>
    <row r="787" ht="33.0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</row>
    <row r="788" ht="33.0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</row>
    <row r="789" ht="33.0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</row>
    <row r="790" ht="33.0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</row>
    <row r="791" ht="33.0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</row>
    <row r="792" ht="33.0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</row>
    <row r="793" ht="33.0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</row>
    <row r="794" ht="33.0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</row>
    <row r="795" ht="33.0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</row>
    <row r="796" ht="33.0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</row>
    <row r="797" ht="33.0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</row>
    <row r="798" ht="33.0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</row>
    <row r="799" ht="33.0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</row>
    <row r="800" ht="33.0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</row>
    <row r="801" ht="33.0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</row>
    <row r="802" ht="33.0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</row>
    <row r="803" ht="33.0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</row>
    <row r="804" ht="33.0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</row>
    <row r="805" ht="33.0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</row>
    <row r="806" ht="33.0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</row>
    <row r="807" ht="33.0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</row>
    <row r="808" ht="33.0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</row>
    <row r="809" ht="33.0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</row>
    <row r="810" ht="33.0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</row>
    <row r="811" ht="33.0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</row>
    <row r="812" ht="33.0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</row>
    <row r="813" ht="33.0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</row>
    <row r="814" ht="33.0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</row>
    <row r="815" ht="33.0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</row>
    <row r="816" ht="33.0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</row>
    <row r="817" ht="33.0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</row>
    <row r="818" ht="33.0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</row>
    <row r="819" ht="33.0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</row>
    <row r="820" ht="33.0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</row>
    <row r="821" ht="33.0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</row>
    <row r="822" ht="33.0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</row>
    <row r="823" ht="33.0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</row>
    <row r="824" ht="33.0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</row>
    <row r="825" ht="33.0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</row>
    <row r="826" ht="33.0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</row>
    <row r="827" ht="33.0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</row>
    <row r="828" ht="33.0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</row>
    <row r="829" ht="33.0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</row>
    <row r="830" ht="33.0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</row>
    <row r="831" ht="33.0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</row>
    <row r="832" ht="33.0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</row>
    <row r="833" ht="33.0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</row>
    <row r="834" ht="33.0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</row>
    <row r="835" ht="33.0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</row>
    <row r="836" ht="33.0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</row>
    <row r="837" ht="33.0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</row>
    <row r="838" ht="33.0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</row>
    <row r="839" ht="33.0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</row>
    <row r="840" ht="33.0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</row>
    <row r="841" ht="33.0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</row>
    <row r="842" ht="33.0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</row>
    <row r="843" ht="33.0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</row>
    <row r="844" ht="33.0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</row>
    <row r="845" ht="33.0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</row>
    <row r="846" ht="33.0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</row>
    <row r="847" ht="33.0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</row>
    <row r="848" ht="33.0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</row>
    <row r="849" ht="33.0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</row>
    <row r="850" ht="33.0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</row>
    <row r="851" ht="33.0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</row>
    <row r="852" ht="33.0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</row>
    <row r="853" ht="33.0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</row>
    <row r="854" ht="33.0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</row>
    <row r="855" ht="33.0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</row>
    <row r="856" ht="33.0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</row>
    <row r="857" ht="33.0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</row>
    <row r="858" ht="33.0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</row>
    <row r="859" ht="33.0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</row>
    <row r="860" ht="33.0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</row>
    <row r="861" ht="33.0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</row>
    <row r="862" ht="33.0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</row>
    <row r="863" ht="33.0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</row>
    <row r="864" ht="33.0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</row>
    <row r="865" ht="33.0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</row>
    <row r="866" ht="33.0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</row>
    <row r="867" ht="33.0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</row>
    <row r="868" ht="33.0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</row>
    <row r="869" ht="33.0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</row>
    <row r="870" ht="33.0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</row>
    <row r="871" ht="33.0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</row>
    <row r="872" ht="33.0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</row>
    <row r="873" ht="33.0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</row>
    <row r="874" ht="33.0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</row>
    <row r="875" ht="33.0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</row>
    <row r="876" ht="33.0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</row>
    <row r="877" ht="33.0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</row>
    <row r="878" ht="33.0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</row>
    <row r="879" ht="33.0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</row>
    <row r="880" ht="33.0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</row>
    <row r="881" ht="33.0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</row>
    <row r="882" ht="33.0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</row>
    <row r="883" ht="33.0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</row>
    <row r="884" ht="33.0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</row>
    <row r="885" ht="33.0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</row>
    <row r="886" ht="33.0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</row>
    <row r="887" ht="33.0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</row>
    <row r="888" ht="33.0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</row>
    <row r="889" ht="33.0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</row>
    <row r="890" ht="33.0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</row>
    <row r="891" ht="33.0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</row>
    <row r="892" ht="33.0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</row>
    <row r="893" ht="33.0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</row>
    <row r="894" ht="33.0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</row>
    <row r="895" ht="33.0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</row>
    <row r="896" ht="33.0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</row>
    <row r="897" ht="33.0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</row>
    <row r="898" ht="33.0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</row>
    <row r="899" ht="33.0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</row>
    <row r="900" ht="33.0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</row>
    <row r="901" ht="33.0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</row>
    <row r="902" ht="33.0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</row>
    <row r="903" ht="33.0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</row>
    <row r="904" ht="33.0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</row>
    <row r="905" ht="33.0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</row>
    <row r="906" ht="33.0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</row>
    <row r="907" ht="33.0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</row>
    <row r="908" ht="33.0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</row>
    <row r="909" ht="33.0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</row>
    <row r="910" ht="33.0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</row>
    <row r="911" ht="33.0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</row>
    <row r="912" ht="33.0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</row>
    <row r="913" ht="33.0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</row>
    <row r="914" ht="33.0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</row>
    <row r="915" ht="33.0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</row>
    <row r="916" ht="33.0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</row>
    <row r="917" ht="33.0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</row>
  </sheetData>
  <autoFilter ref="$A$1:$V$7">
    <sortState ref="A1:V7">
      <sortCondition ref="B1:B7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2" max="2" width="9.71"/>
    <col customWidth="1" min="3" max="3" width="21.57"/>
    <col customWidth="1" min="4" max="4" width="15.14"/>
    <col customWidth="1" min="5" max="5" width="14.57"/>
    <col customWidth="1" min="6" max="6" width="12.29"/>
    <col customWidth="1" min="7" max="7" width="11.0"/>
    <col customWidth="1" min="8" max="8" width="31.57"/>
    <col customWidth="1" min="9" max="9" width="20.86"/>
    <col customWidth="1" min="10" max="10" width="12.29"/>
    <col customWidth="1" min="11" max="22" width="38.43"/>
  </cols>
  <sheetData>
    <row r="1" ht="21.0" customHeight="1">
      <c r="A1" s="1" t="s">
        <v>0</v>
      </c>
      <c r="B1" s="1" t="s">
        <v>1</v>
      </c>
      <c r="C1" s="1" t="s">
        <v>2</v>
      </c>
      <c r="D1" s="49" t="s">
        <v>3</v>
      </c>
      <c r="E1" s="3" t="s">
        <v>4</v>
      </c>
      <c r="F1" s="1" t="s">
        <v>5</v>
      </c>
      <c r="G1" s="49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ht="21.0" customHeight="1">
      <c r="A2" s="129" t="s">
        <v>170</v>
      </c>
      <c r="B2" s="130">
        <v>2324.0</v>
      </c>
      <c r="C2" s="129" t="s">
        <v>248</v>
      </c>
      <c r="D2" s="162">
        <v>2.0</v>
      </c>
      <c r="E2" s="131" t="s">
        <v>249</v>
      </c>
      <c r="F2" s="131" t="s">
        <v>250</v>
      </c>
      <c r="G2" s="130" t="s">
        <v>171</v>
      </c>
      <c r="H2" s="163" t="s">
        <v>172</v>
      </c>
      <c r="I2" s="132"/>
      <c r="J2" s="12" t="b">
        <v>0</v>
      </c>
      <c r="K2" s="13" t="s">
        <v>16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1.0" customHeight="1">
      <c r="A3" s="20" t="s">
        <v>168</v>
      </c>
      <c r="B3" s="20">
        <v>1125.0</v>
      </c>
      <c r="C3" s="123" t="s">
        <v>250</v>
      </c>
      <c r="D3" s="78">
        <v>6.0</v>
      </c>
      <c r="E3" s="54" t="s">
        <v>251</v>
      </c>
      <c r="F3" s="54" t="s">
        <v>250</v>
      </c>
      <c r="G3" s="20">
        <v>3.0</v>
      </c>
      <c r="H3" s="55" t="s">
        <v>252</v>
      </c>
      <c r="I3" s="125"/>
      <c r="J3" s="12" t="b">
        <v>0</v>
      </c>
      <c r="K3" s="13" t="s">
        <v>16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1.0" customHeight="1">
      <c r="A4" s="27" t="s">
        <v>24</v>
      </c>
      <c r="B4" s="27">
        <v>1024.0</v>
      </c>
      <c r="C4" s="28" t="s">
        <v>253</v>
      </c>
      <c r="D4" s="86">
        <v>2.0</v>
      </c>
      <c r="E4" s="116" t="s">
        <v>251</v>
      </c>
      <c r="F4" s="116" t="s">
        <v>250</v>
      </c>
      <c r="G4" s="27">
        <v>6.0</v>
      </c>
      <c r="H4" s="155"/>
      <c r="I4" s="122"/>
      <c r="J4" s="12" t="b">
        <v>0</v>
      </c>
      <c r="K4" s="13" t="s">
        <v>16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1.0" customHeight="1">
      <c r="A5" s="27" t="s">
        <v>24</v>
      </c>
      <c r="B5" s="27">
        <v>1026.0</v>
      </c>
      <c r="C5" s="28" t="s">
        <v>254</v>
      </c>
      <c r="D5" s="86">
        <v>3.0</v>
      </c>
      <c r="E5" s="116" t="s">
        <v>251</v>
      </c>
      <c r="F5" s="116" t="s">
        <v>250</v>
      </c>
      <c r="G5" s="27">
        <v>2.0</v>
      </c>
      <c r="H5" s="136" t="s">
        <v>160</v>
      </c>
      <c r="I5" s="122"/>
      <c r="J5" s="12" t="b">
        <v>0</v>
      </c>
      <c r="K5" s="13" t="s">
        <v>16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1.0" customHeight="1">
      <c r="A6" s="27" t="s">
        <v>24</v>
      </c>
      <c r="B6" s="116">
        <v>1025.0</v>
      </c>
      <c r="C6" s="28" t="s">
        <v>255</v>
      </c>
      <c r="D6" s="86">
        <v>3.0</v>
      </c>
      <c r="E6" s="116" t="s">
        <v>251</v>
      </c>
      <c r="F6" s="116" t="s">
        <v>250</v>
      </c>
      <c r="G6" s="27">
        <v>4.0</v>
      </c>
      <c r="H6" s="136"/>
      <c r="I6" s="137"/>
      <c r="J6" s="12" t="b">
        <v>0</v>
      </c>
      <c r="K6" s="13" t="s">
        <v>16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1.0" customHeight="1">
      <c r="A7" s="113" t="s">
        <v>156</v>
      </c>
      <c r="B7" s="113">
        <v>2024.0</v>
      </c>
      <c r="C7" s="126" t="s">
        <v>253</v>
      </c>
      <c r="D7" s="164">
        <v>2.0</v>
      </c>
      <c r="E7" s="114" t="s">
        <v>249</v>
      </c>
      <c r="F7" s="114" t="s">
        <v>250</v>
      </c>
      <c r="G7" s="113">
        <v>6.0</v>
      </c>
      <c r="H7" s="165"/>
      <c r="I7" s="128"/>
      <c r="J7" s="12" t="b">
        <v>0</v>
      </c>
      <c r="K7" s="13" t="s">
        <v>16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1.0" customHeight="1">
      <c r="A8" s="113" t="s">
        <v>156</v>
      </c>
      <c r="B8" s="113">
        <v>2025.0</v>
      </c>
      <c r="C8" s="126" t="s">
        <v>255</v>
      </c>
      <c r="D8" s="164">
        <v>3.0</v>
      </c>
      <c r="E8" s="114" t="s">
        <v>249</v>
      </c>
      <c r="F8" s="114" t="s">
        <v>250</v>
      </c>
      <c r="G8" s="113">
        <v>4.0</v>
      </c>
      <c r="H8" s="165"/>
      <c r="I8" s="128"/>
      <c r="J8" s="12" t="b">
        <v>0</v>
      </c>
      <c r="K8" s="13" t="s">
        <v>16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21.0" customHeight="1">
      <c r="A9" s="113" t="s">
        <v>156</v>
      </c>
      <c r="B9" s="113">
        <v>2026.0</v>
      </c>
      <c r="C9" s="126" t="s">
        <v>254</v>
      </c>
      <c r="D9" s="164">
        <v>3.0</v>
      </c>
      <c r="E9" s="114" t="s">
        <v>249</v>
      </c>
      <c r="F9" s="114" t="s">
        <v>250</v>
      </c>
      <c r="G9" s="113">
        <v>2.0</v>
      </c>
      <c r="H9" s="165"/>
      <c r="I9" s="128"/>
      <c r="J9" s="12" t="b">
        <v>0</v>
      </c>
      <c r="K9" s="13" t="s">
        <v>16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ht="21.0" customHeight="1">
      <c r="A10" s="93"/>
      <c r="B10" s="93"/>
      <c r="C10" s="93"/>
      <c r="D10" s="106"/>
      <c r="E10" s="93"/>
      <c r="F10" s="93"/>
      <c r="G10" s="106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</row>
    <row r="11" ht="21.0" customHeight="1">
      <c r="A11" s="93"/>
      <c r="B11" s="93"/>
      <c r="C11" s="93"/>
      <c r="D11" s="106"/>
      <c r="E11" s="93"/>
      <c r="F11" s="93"/>
      <c r="G11" s="106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</row>
    <row r="12" ht="21.0" customHeight="1">
      <c r="A12" s="93"/>
      <c r="B12" s="93"/>
      <c r="C12" s="93"/>
      <c r="D12" s="106"/>
      <c r="E12" s="93"/>
      <c r="F12" s="93"/>
      <c r="G12" s="106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</row>
    <row r="13" ht="21.0" customHeight="1">
      <c r="A13" s="93"/>
      <c r="B13" s="93"/>
      <c r="C13" s="93"/>
      <c r="D13" s="106"/>
      <c r="E13" s="93"/>
      <c r="F13" s="93"/>
      <c r="G13" s="106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</row>
    <row r="14" ht="21.0" customHeight="1">
      <c r="A14" s="93"/>
      <c r="B14" s="93"/>
      <c r="C14" s="93"/>
      <c r="D14" s="106"/>
      <c r="E14" s="93"/>
      <c r="F14" s="93"/>
      <c r="G14" s="106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</row>
    <row r="15" ht="21.0" customHeight="1">
      <c r="A15" s="93"/>
      <c r="B15" s="93"/>
      <c r="C15" s="93"/>
      <c r="D15" s="106"/>
      <c r="E15" s="93"/>
      <c r="F15" s="93"/>
      <c r="G15" s="106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</row>
    <row r="16" ht="21.0" customHeight="1">
      <c r="A16" s="93"/>
      <c r="B16" s="93"/>
      <c r="C16" s="93"/>
      <c r="D16" s="106"/>
      <c r="E16" s="93"/>
      <c r="F16" s="93"/>
      <c r="G16" s="106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ht="21.0" customHeight="1">
      <c r="A17" s="93"/>
      <c r="B17" s="93"/>
      <c r="C17" s="93"/>
      <c r="D17" s="106"/>
      <c r="E17" s="93"/>
      <c r="F17" s="93"/>
      <c r="G17" s="106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ht="21.0" customHeight="1">
      <c r="A18" s="93"/>
      <c r="B18" s="93"/>
      <c r="C18" s="93"/>
      <c r="D18" s="106"/>
      <c r="E18" s="93"/>
      <c r="F18" s="93"/>
      <c r="G18" s="106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</row>
    <row r="19" ht="21.0" customHeight="1">
      <c r="A19" s="93"/>
      <c r="B19" s="93"/>
      <c r="C19" s="93"/>
      <c r="D19" s="106"/>
      <c r="E19" s="93"/>
      <c r="F19" s="93"/>
      <c r="G19" s="106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</row>
    <row r="20" ht="21.0" customHeight="1">
      <c r="A20" s="93"/>
      <c r="B20" s="93"/>
      <c r="C20" s="93"/>
      <c r="D20" s="106"/>
      <c r="E20" s="93"/>
      <c r="F20" s="93"/>
      <c r="G20" s="106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ht="21.0" customHeight="1">
      <c r="A21" s="93"/>
      <c r="B21" s="93"/>
      <c r="C21" s="93"/>
      <c r="D21" s="106"/>
      <c r="E21" s="93"/>
      <c r="F21" s="93"/>
      <c r="G21" s="106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ht="21.0" customHeight="1">
      <c r="A22" s="93"/>
      <c r="B22" s="93"/>
      <c r="C22" s="93"/>
      <c r="D22" s="106"/>
      <c r="E22" s="93"/>
      <c r="F22" s="93"/>
      <c r="G22" s="106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ht="21.0" customHeight="1">
      <c r="A23" s="93"/>
      <c r="B23" s="93"/>
      <c r="C23" s="93"/>
      <c r="D23" s="106"/>
      <c r="E23" s="93"/>
      <c r="F23" s="93"/>
      <c r="G23" s="106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ht="21.0" customHeight="1">
      <c r="A24" s="93"/>
      <c r="B24" s="93"/>
      <c r="C24" s="93"/>
      <c r="D24" s="106"/>
      <c r="E24" s="93"/>
      <c r="F24" s="93"/>
      <c r="G24" s="106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ht="21.0" customHeight="1">
      <c r="A25" s="93"/>
      <c r="B25" s="93"/>
      <c r="C25" s="93"/>
      <c r="D25" s="106"/>
      <c r="E25" s="93"/>
      <c r="F25" s="93"/>
      <c r="G25" s="106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ht="21.0" customHeight="1">
      <c r="A26" s="93"/>
      <c r="B26" s="93"/>
      <c r="C26" s="93"/>
      <c r="D26" s="106"/>
      <c r="E26" s="93"/>
      <c r="F26" s="93"/>
      <c r="G26" s="106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ht="21.0" customHeight="1">
      <c r="A27" s="93"/>
      <c r="B27" s="93"/>
      <c r="C27" s="93"/>
      <c r="D27" s="106"/>
      <c r="E27" s="93"/>
      <c r="F27" s="93"/>
      <c r="G27" s="106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ht="21.0" customHeight="1">
      <c r="A28" s="93"/>
      <c r="B28" s="93"/>
      <c r="C28" s="93"/>
      <c r="D28" s="106"/>
      <c r="E28" s="93"/>
      <c r="F28" s="93"/>
      <c r="G28" s="106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ht="21.0" customHeight="1">
      <c r="A29" s="93"/>
      <c r="B29" s="93"/>
      <c r="C29" s="93"/>
      <c r="D29" s="106"/>
      <c r="E29" s="93"/>
      <c r="F29" s="93"/>
      <c r="G29" s="106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  <row r="30" ht="21.0" customHeight="1">
      <c r="A30" s="93"/>
      <c r="B30" s="93"/>
      <c r="C30" s="93"/>
      <c r="D30" s="106"/>
      <c r="E30" s="93"/>
      <c r="F30" s="93"/>
      <c r="G30" s="106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</row>
    <row r="31" ht="21.0" customHeight="1">
      <c r="A31" s="93"/>
      <c r="B31" s="93"/>
      <c r="C31" s="93"/>
      <c r="D31" s="106"/>
      <c r="E31" s="93"/>
      <c r="F31" s="93"/>
      <c r="G31" s="106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</row>
    <row r="32" ht="21.0" customHeight="1">
      <c r="A32" s="93"/>
      <c r="B32" s="93"/>
      <c r="C32" s="93"/>
      <c r="D32" s="106"/>
      <c r="E32" s="93"/>
      <c r="F32" s="93"/>
      <c r="G32" s="106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ht="21.0" customHeight="1">
      <c r="A33" s="93"/>
      <c r="B33" s="93"/>
      <c r="C33" s="93"/>
      <c r="D33" s="106"/>
      <c r="E33" s="93"/>
      <c r="F33" s="93"/>
      <c r="G33" s="106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ht="21.0" customHeight="1">
      <c r="A34" s="93"/>
      <c r="B34" s="93"/>
      <c r="C34" s="93"/>
      <c r="D34" s="106"/>
      <c r="E34" s="93"/>
      <c r="F34" s="93"/>
      <c r="G34" s="106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</row>
    <row r="35" ht="21.0" customHeight="1">
      <c r="A35" s="93"/>
      <c r="B35" s="93"/>
      <c r="C35" s="93"/>
      <c r="D35" s="106"/>
      <c r="E35" s="93"/>
      <c r="F35" s="93"/>
      <c r="G35" s="106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</row>
    <row r="36" ht="21.0" customHeight="1">
      <c r="A36" s="93"/>
      <c r="B36" s="93"/>
      <c r="C36" s="93"/>
      <c r="D36" s="106"/>
      <c r="E36" s="93"/>
      <c r="F36" s="93"/>
      <c r="G36" s="106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21.0" customHeight="1">
      <c r="A37" s="93"/>
      <c r="B37" s="93"/>
      <c r="C37" s="93"/>
      <c r="D37" s="106"/>
      <c r="E37" s="93"/>
      <c r="F37" s="93"/>
      <c r="G37" s="106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</row>
    <row r="38" ht="21.0" customHeight="1">
      <c r="A38" s="93"/>
      <c r="B38" s="93"/>
      <c r="C38" s="93"/>
      <c r="D38" s="106"/>
      <c r="E38" s="93"/>
      <c r="F38" s="93"/>
      <c r="G38" s="106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</row>
    <row r="39" ht="21.0" customHeight="1">
      <c r="A39" s="93"/>
      <c r="B39" s="93"/>
      <c r="C39" s="93"/>
      <c r="D39" s="106"/>
      <c r="E39" s="93"/>
      <c r="F39" s="93"/>
      <c r="G39" s="106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</row>
    <row r="40" ht="21.0" customHeight="1">
      <c r="A40" s="93"/>
      <c r="B40" s="93"/>
      <c r="C40" s="93"/>
      <c r="D40" s="106"/>
      <c r="E40" s="93"/>
      <c r="F40" s="93"/>
      <c r="G40" s="106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ht="21.0" customHeight="1">
      <c r="A41" s="93"/>
      <c r="B41" s="93"/>
      <c r="C41" s="93"/>
      <c r="D41" s="106"/>
      <c r="E41" s="93"/>
      <c r="F41" s="93"/>
      <c r="G41" s="106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ht="21.0" customHeight="1">
      <c r="A42" s="93"/>
      <c r="B42" s="93"/>
      <c r="C42" s="93"/>
      <c r="D42" s="106"/>
      <c r="E42" s="93"/>
      <c r="F42" s="93"/>
      <c r="G42" s="106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ht="21.0" customHeight="1">
      <c r="A43" s="93"/>
      <c r="B43" s="93"/>
      <c r="C43" s="93"/>
      <c r="D43" s="106"/>
      <c r="E43" s="93"/>
      <c r="F43" s="93"/>
      <c r="G43" s="106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</row>
    <row r="44" ht="21.0" customHeight="1">
      <c r="A44" s="93"/>
      <c r="B44" s="93"/>
      <c r="C44" s="93"/>
      <c r="D44" s="106"/>
      <c r="E44" s="93"/>
      <c r="F44" s="93"/>
      <c r="G44" s="106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</row>
    <row r="45" ht="21.0" customHeight="1">
      <c r="A45" s="93"/>
      <c r="B45" s="93"/>
      <c r="C45" s="93"/>
      <c r="D45" s="106"/>
      <c r="E45" s="93"/>
      <c r="F45" s="93"/>
      <c r="G45" s="106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ht="21.0" customHeight="1">
      <c r="A46" s="93"/>
      <c r="B46" s="93"/>
      <c r="C46" s="93"/>
      <c r="D46" s="106"/>
      <c r="E46" s="93"/>
      <c r="F46" s="93"/>
      <c r="G46" s="106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ht="21.0" customHeight="1">
      <c r="A47" s="93"/>
      <c r="B47" s="93"/>
      <c r="C47" s="93"/>
      <c r="D47" s="106"/>
      <c r="E47" s="93"/>
      <c r="F47" s="93"/>
      <c r="G47" s="106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ht="21.0" customHeight="1">
      <c r="A48" s="93"/>
      <c r="B48" s="93"/>
      <c r="C48" s="93"/>
      <c r="D48" s="106"/>
      <c r="E48" s="93"/>
      <c r="F48" s="93"/>
      <c r="G48" s="106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ht="21.0" customHeight="1">
      <c r="A49" s="93"/>
      <c r="B49" s="93"/>
      <c r="C49" s="93"/>
      <c r="D49" s="106"/>
      <c r="E49" s="93"/>
      <c r="F49" s="93"/>
      <c r="G49" s="106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ht="21.0" customHeight="1">
      <c r="A50" s="93"/>
      <c r="B50" s="93"/>
      <c r="C50" s="93"/>
      <c r="D50" s="106"/>
      <c r="E50" s="93"/>
      <c r="F50" s="93"/>
      <c r="G50" s="106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ht="21.0" customHeight="1">
      <c r="A51" s="93"/>
      <c r="B51" s="93"/>
      <c r="C51" s="93"/>
      <c r="D51" s="106"/>
      <c r="E51" s="93"/>
      <c r="F51" s="93"/>
      <c r="G51" s="106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ht="21.0" customHeight="1">
      <c r="A52" s="93"/>
      <c r="B52" s="93"/>
      <c r="C52" s="93"/>
      <c r="D52" s="106"/>
      <c r="E52" s="93"/>
      <c r="F52" s="93"/>
      <c r="G52" s="106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ht="21.0" customHeight="1">
      <c r="A53" s="93"/>
      <c r="B53" s="93"/>
      <c r="C53" s="93"/>
      <c r="D53" s="106"/>
      <c r="E53" s="93"/>
      <c r="F53" s="93"/>
      <c r="G53" s="106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ht="21.0" customHeight="1">
      <c r="A54" s="93"/>
      <c r="B54" s="93"/>
      <c r="C54" s="93"/>
      <c r="D54" s="106"/>
      <c r="E54" s="93"/>
      <c r="F54" s="93"/>
      <c r="G54" s="106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ht="21.0" customHeight="1">
      <c r="A55" s="93"/>
      <c r="B55" s="93"/>
      <c r="C55" s="93"/>
      <c r="D55" s="106"/>
      <c r="E55" s="93"/>
      <c r="F55" s="93"/>
      <c r="G55" s="106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ht="21.0" customHeight="1">
      <c r="A56" s="93"/>
      <c r="B56" s="93"/>
      <c r="C56" s="93"/>
      <c r="D56" s="106"/>
      <c r="E56" s="93"/>
      <c r="F56" s="93"/>
      <c r="G56" s="106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ht="21.0" customHeight="1">
      <c r="A57" s="93"/>
      <c r="B57" s="93"/>
      <c r="C57" s="93"/>
      <c r="D57" s="106"/>
      <c r="E57" s="93"/>
      <c r="F57" s="93"/>
      <c r="G57" s="106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ht="21.0" customHeight="1">
      <c r="A58" s="93"/>
      <c r="B58" s="93"/>
      <c r="C58" s="93"/>
      <c r="D58" s="106"/>
      <c r="E58" s="93"/>
      <c r="F58" s="93"/>
      <c r="G58" s="106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ht="21.0" customHeight="1">
      <c r="A59" s="93"/>
      <c r="B59" s="93"/>
      <c r="C59" s="93"/>
      <c r="D59" s="106"/>
      <c r="E59" s="93"/>
      <c r="F59" s="93"/>
      <c r="G59" s="106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ht="21.0" customHeight="1">
      <c r="A60" s="93"/>
      <c r="B60" s="93"/>
      <c r="C60" s="93"/>
      <c r="D60" s="106"/>
      <c r="E60" s="93"/>
      <c r="F60" s="93"/>
      <c r="G60" s="106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ht="21.0" customHeight="1">
      <c r="A61" s="93"/>
      <c r="B61" s="93"/>
      <c r="C61" s="93"/>
      <c r="D61" s="106"/>
      <c r="E61" s="93"/>
      <c r="F61" s="93"/>
      <c r="G61" s="106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ht="21.0" customHeight="1">
      <c r="A62" s="93"/>
      <c r="B62" s="93"/>
      <c r="C62" s="93"/>
      <c r="D62" s="106"/>
      <c r="E62" s="93"/>
      <c r="F62" s="93"/>
      <c r="G62" s="106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ht="21.0" customHeight="1">
      <c r="A63" s="93"/>
      <c r="B63" s="93"/>
      <c r="C63" s="93"/>
      <c r="D63" s="106"/>
      <c r="E63" s="93"/>
      <c r="F63" s="93"/>
      <c r="G63" s="106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ht="21.0" customHeight="1">
      <c r="A64" s="93"/>
      <c r="B64" s="93"/>
      <c r="C64" s="93"/>
      <c r="D64" s="106"/>
      <c r="E64" s="93"/>
      <c r="F64" s="93"/>
      <c r="G64" s="106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ht="21.0" customHeight="1">
      <c r="A65" s="93"/>
      <c r="B65" s="93"/>
      <c r="C65" s="93"/>
      <c r="D65" s="106"/>
      <c r="E65" s="93"/>
      <c r="F65" s="93"/>
      <c r="G65" s="106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ht="21.0" customHeight="1">
      <c r="A66" s="93"/>
      <c r="B66" s="93"/>
      <c r="C66" s="93"/>
      <c r="D66" s="106"/>
      <c r="E66" s="93"/>
      <c r="F66" s="93"/>
      <c r="G66" s="106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ht="21.0" customHeight="1">
      <c r="A67" s="93"/>
      <c r="B67" s="93"/>
      <c r="C67" s="93"/>
      <c r="D67" s="106"/>
      <c r="E67" s="93"/>
      <c r="F67" s="93"/>
      <c r="G67" s="106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ht="21.0" customHeight="1">
      <c r="A68" s="93"/>
      <c r="B68" s="93"/>
      <c r="C68" s="93"/>
      <c r="D68" s="106"/>
      <c r="E68" s="93"/>
      <c r="F68" s="93"/>
      <c r="G68" s="106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69" ht="21.0" customHeight="1">
      <c r="A69" s="93"/>
      <c r="B69" s="93"/>
      <c r="C69" s="93"/>
      <c r="D69" s="106"/>
      <c r="E69" s="93"/>
      <c r="F69" s="93"/>
      <c r="G69" s="106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</row>
    <row r="70" ht="21.0" customHeight="1">
      <c r="A70" s="93"/>
      <c r="B70" s="93"/>
      <c r="C70" s="93"/>
      <c r="D70" s="106"/>
      <c r="E70" s="93"/>
      <c r="F70" s="93"/>
      <c r="G70" s="106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</row>
    <row r="71" ht="21.0" customHeight="1">
      <c r="A71" s="93"/>
      <c r="B71" s="93"/>
      <c r="C71" s="93"/>
      <c r="D71" s="106"/>
      <c r="E71" s="93"/>
      <c r="F71" s="93"/>
      <c r="G71" s="106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</row>
    <row r="72" ht="21.0" customHeight="1">
      <c r="A72" s="93"/>
      <c r="B72" s="93"/>
      <c r="C72" s="93"/>
      <c r="D72" s="106"/>
      <c r="E72" s="93"/>
      <c r="F72" s="93"/>
      <c r="G72" s="106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</row>
    <row r="73" ht="21.0" customHeight="1">
      <c r="A73" s="93"/>
      <c r="B73" s="93"/>
      <c r="C73" s="93"/>
      <c r="D73" s="106"/>
      <c r="E73" s="93"/>
      <c r="F73" s="93"/>
      <c r="G73" s="106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</row>
    <row r="74" ht="21.0" customHeight="1">
      <c r="A74" s="93"/>
      <c r="B74" s="93"/>
      <c r="C74" s="93"/>
      <c r="D74" s="106"/>
      <c r="E74" s="93"/>
      <c r="F74" s="93"/>
      <c r="G74" s="106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</row>
    <row r="75" ht="21.0" customHeight="1">
      <c r="A75" s="93"/>
      <c r="B75" s="93"/>
      <c r="C75" s="93"/>
      <c r="D75" s="106"/>
      <c r="E75" s="93"/>
      <c r="F75" s="93"/>
      <c r="G75" s="106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ht="21.0" customHeight="1">
      <c r="A76" s="93"/>
      <c r="B76" s="93"/>
      <c r="C76" s="93"/>
      <c r="D76" s="106"/>
      <c r="E76" s="93"/>
      <c r="F76" s="93"/>
      <c r="G76" s="106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</row>
    <row r="77" ht="21.0" customHeight="1">
      <c r="A77" s="93"/>
      <c r="B77" s="93"/>
      <c r="C77" s="93"/>
      <c r="D77" s="106"/>
      <c r="E77" s="93"/>
      <c r="F77" s="93"/>
      <c r="G77" s="106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</row>
    <row r="78" ht="21.0" customHeight="1">
      <c r="A78" s="93"/>
      <c r="B78" s="93"/>
      <c r="C78" s="93"/>
      <c r="D78" s="106"/>
      <c r="E78" s="93"/>
      <c r="F78" s="93"/>
      <c r="G78" s="106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</row>
    <row r="79" ht="21.0" customHeight="1">
      <c r="A79" s="93"/>
      <c r="B79" s="93"/>
      <c r="C79" s="93"/>
      <c r="D79" s="106"/>
      <c r="E79" s="93"/>
      <c r="F79" s="93"/>
      <c r="G79" s="106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</row>
    <row r="80" ht="21.0" customHeight="1">
      <c r="A80" s="93"/>
      <c r="B80" s="93"/>
      <c r="C80" s="93"/>
      <c r="D80" s="106"/>
      <c r="E80" s="93"/>
      <c r="F80" s="93"/>
      <c r="G80" s="106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</row>
    <row r="81" ht="21.0" customHeight="1">
      <c r="A81" s="93"/>
      <c r="B81" s="93"/>
      <c r="C81" s="93"/>
      <c r="D81" s="106"/>
      <c r="E81" s="93"/>
      <c r="F81" s="93"/>
      <c r="G81" s="106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ht="21.0" customHeight="1">
      <c r="A82" s="93"/>
      <c r="B82" s="93"/>
      <c r="C82" s="93"/>
      <c r="D82" s="106"/>
      <c r="E82" s="93"/>
      <c r="F82" s="93"/>
      <c r="G82" s="106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</row>
    <row r="83" ht="21.0" customHeight="1">
      <c r="A83" s="93"/>
      <c r="B83" s="93"/>
      <c r="C83" s="93"/>
      <c r="D83" s="106"/>
      <c r="E83" s="93"/>
      <c r="F83" s="93"/>
      <c r="G83" s="106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</row>
    <row r="84" ht="21.0" customHeight="1">
      <c r="A84" s="93"/>
      <c r="B84" s="93"/>
      <c r="C84" s="93"/>
      <c r="D84" s="106"/>
      <c r="E84" s="93"/>
      <c r="F84" s="93"/>
      <c r="G84" s="106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</row>
    <row r="85" ht="21.0" customHeight="1">
      <c r="A85" s="93"/>
      <c r="B85" s="93"/>
      <c r="C85" s="93"/>
      <c r="D85" s="106"/>
      <c r="E85" s="93"/>
      <c r="F85" s="93"/>
      <c r="G85" s="106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</row>
    <row r="86" ht="21.0" customHeight="1">
      <c r="A86" s="93"/>
      <c r="B86" s="93"/>
      <c r="C86" s="93"/>
      <c r="D86" s="106"/>
      <c r="E86" s="93"/>
      <c r="F86" s="93"/>
      <c r="G86" s="106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</row>
    <row r="87" ht="21.0" customHeight="1">
      <c r="A87" s="93"/>
      <c r="B87" s="93"/>
      <c r="C87" s="93"/>
      <c r="D87" s="106"/>
      <c r="E87" s="93"/>
      <c r="F87" s="93"/>
      <c r="G87" s="106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</row>
    <row r="88" ht="21.0" customHeight="1">
      <c r="A88" s="93"/>
      <c r="B88" s="93"/>
      <c r="C88" s="93"/>
      <c r="D88" s="106"/>
      <c r="E88" s="93"/>
      <c r="F88" s="93"/>
      <c r="G88" s="106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ht="21.0" customHeight="1">
      <c r="A89" s="93"/>
      <c r="B89" s="93"/>
      <c r="C89" s="93"/>
      <c r="D89" s="106"/>
      <c r="E89" s="93"/>
      <c r="F89" s="93"/>
      <c r="G89" s="106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</row>
    <row r="90" ht="21.0" customHeight="1">
      <c r="A90" s="93"/>
      <c r="B90" s="93"/>
      <c r="C90" s="93"/>
      <c r="D90" s="106"/>
      <c r="E90" s="93"/>
      <c r="F90" s="93"/>
      <c r="G90" s="106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</row>
    <row r="91" ht="21.0" customHeight="1">
      <c r="A91" s="93"/>
      <c r="B91" s="93"/>
      <c r="C91" s="93"/>
      <c r="D91" s="106"/>
      <c r="E91" s="93"/>
      <c r="F91" s="93"/>
      <c r="G91" s="106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</row>
    <row r="92" ht="21.0" customHeight="1">
      <c r="A92" s="93"/>
      <c r="B92" s="93"/>
      <c r="C92" s="93"/>
      <c r="D92" s="106"/>
      <c r="E92" s="93"/>
      <c r="F92" s="93"/>
      <c r="G92" s="106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</row>
    <row r="93" ht="21.0" customHeight="1">
      <c r="A93" s="93"/>
      <c r="B93" s="93"/>
      <c r="C93" s="93"/>
      <c r="D93" s="106"/>
      <c r="E93" s="93"/>
      <c r="F93" s="93"/>
      <c r="G93" s="106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</row>
    <row r="94" ht="21.0" customHeight="1">
      <c r="A94" s="93"/>
      <c r="B94" s="93"/>
      <c r="C94" s="93"/>
      <c r="D94" s="106"/>
      <c r="E94" s="93"/>
      <c r="F94" s="93"/>
      <c r="G94" s="106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</row>
    <row r="95" ht="21.0" customHeight="1">
      <c r="A95" s="93"/>
      <c r="B95" s="93"/>
      <c r="C95" s="93"/>
      <c r="D95" s="106"/>
      <c r="E95" s="93"/>
      <c r="F95" s="93"/>
      <c r="G95" s="106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</row>
    <row r="96" ht="21.0" customHeight="1">
      <c r="A96" s="93"/>
      <c r="B96" s="93"/>
      <c r="C96" s="93"/>
      <c r="D96" s="106"/>
      <c r="E96" s="93"/>
      <c r="F96" s="93"/>
      <c r="G96" s="106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</row>
    <row r="97" ht="21.0" customHeight="1">
      <c r="A97" s="93"/>
      <c r="B97" s="93"/>
      <c r="C97" s="93"/>
      <c r="D97" s="106"/>
      <c r="E97" s="93"/>
      <c r="F97" s="93"/>
      <c r="G97" s="106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</row>
    <row r="98" ht="21.0" customHeight="1">
      <c r="A98" s="93"/>
      <c r="B98" s="93"/>
      <c r="C98" s="93"/>
      <c r="D98" s="106"/>
      <c r="E98" s="93"/>
      <c r="F98" s="93"/>
      <c r="G98" s="106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</row>
    <row r="99" ht="21.0" customHeight="1">
      <c r="A99" s="93"/>
      <c r="B99" s="93"/>
      <c r="C99" s="93"/>
      <c r="D99" s="106"/>
      <c r="E99" s="93"/>
      <c r="F99" s="93"/>
      <c r="G99" s="106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</row>
    <row r="100" ht="21.0" customHeight="1">
      <c r="A100" s="93"/>
      <c r="B100" s="93"/>
      <c r="C100" s="93"/>
      <c r="D100" s="106"/>
      <c r="E100" s="93"/>
      <c r="F100" s="93"/>
      <c r="G100" s="106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</row>
    <row r="101" ht="21.0" customHeight="1">
      <c r="A101" s="93"/>
      <c r="B101" s="93"/>
      <c r="C101" s="93"/>
      <c r="D101" s="106"/>
      <c r="E101" s="93"/>
      <c r="F101" s="93"/>
      <c r="G101" s="106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</row>
    <row r="102" ht="21.0" customHeight="1">
      <c r="A102" s="93"/>
      <c r="B102" s="93"/>
      <c r="C102" s="93"/>
      <c r="D102" s="106"/>
      <c r="E102" s="93"/>
      <c r="F102" s="93"/>
      <c r="G102" s="106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</row>
    <row r="103" ht="21.0" customHeight="1">
      <c r="A103" s="93"/>
      <c r="B103" s="93"/>
      <c r="C103" s="93"/>
      <c r="D103" s="106"/>
      <c r="E103" s="93"/>
      <c r="F103" s="93"/>
      <c r="G103" s="106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</row>
    <row r="104" ht="21.0" customHeight="1">
      <c r="A104" s="93"/>
      <c r="B104" s="93"/>
      <c r="C104" s="93"/>
      <c r="D104" s="106"/>
      <c r="E104" s="93"/>
      <c r="F104" s="93"/>
      <c r="G104" s="106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</row>
    <row r="105" ht="21.0" customHeight="1">
      <c r="A105" s="93"/>
      <c r="B105" s="93"/>
      <c r="C105" s="93"/>
      <c r="D105" s="106"/>
      <c r="E105" s="93"/>
      <c r="F105" s="93"/>
      <c r="G105" s="106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</row>
    <row r="106" ht="21.0" customHeight="1">
      <c r="A106" s="93"/>
      <c r="B106" s="93"/>
      <c r="C106" s="93"/>
      <c r="D106" s="106"/>
      <c r="E106" s="93"/>
      <c r="F106" s="93"/>
      <c r="G106" s="106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</row>
    <row r="107" ht="21.0" customHeight="1">
      <c r="A107" s="93"/>
      <c r="B107" s="93"/>
      <c r="C107" s="93"/>
      <c r="D107" s="106"/>
      <c r="E107" s="93"/>
      <c r="F107" s="93"/>
      <c r="G107" s="106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</row>
    <row r="108" ht="21.0" customHeight="1">
      <c r="A108" s="93"/>
      <c r="B108" s="93"/>
      <c r="C108" s="93"/>
      <c r="D108" s="106"/>
      <c r="E108" s="93"/>
      <c r="F108" s="93"/>
      <c r="G108" s="106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</row>
    <row r="109" ht="21.0" customHeight="1">
      <c r="A109" s="93"/>
      <c r="B109" s="93"/>
      <c r="C109" s="93"/>
      <c r="D109" s="106"/>
      <c r="E109" s="93"/>
      <c r="F109" s="93"/>
      <c r="G109" s="106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</row>
    <row r="110" ht="21.0" customHeight="1">
      <c r="A110" s="93"/>
      <c r="B110" s="93"/>
      <c r="C110" s="93"/>
      <c r="D110" s="106"/>
      <c r="E110" s="93"/>
      <c r="F110" s="93"/>
      <c r="G110" s="106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</row>
    <row r="111" ht="21.0" customHeight="1">
      <c r="A111" s="93"/>
      <c r="B111" s="93"/>
      <c r="C111" s="93"/>
      <c r="D111" s="106"/>
      <c r="E111" s="93"/>
      <c r="F111" s="93"/>
      <c r="G111" s="106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</row>
    <row r="112" ht="21.0" customHeight="1">
      <c r="A112" s="93"/>
      <c r="B112" s="93"/>
      <c r="C112" s="93"/>
      <c r="D112" s="106"/>
      <c r="E112" s="93"/>
      <c r="F112" s="93"/>
      <c r="G112" s="106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</row>
    <row r="113" ht="21.0" customHeight="1">
      <c r="A113" s="93"/>
      <c r="B113" s="93"/>
      <c r="C113" s="93"/>
      <c r="D113" s="106"/>
      <c r="E113" s="93"/>
      <c r="F113" s="93"/>
      <c r="G113" s="106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</row>
    <row r="114" ht="21.0" customHeight="1">
      <c r="A114" s="93"/>
      <c r="B114" s="93"/>
      <c r="C114" s="93"/>
      <c r="D114" s="106"/>
      <c r="E114" s="93"/>
      <c r="F114" s="93"/>
      <c r="G114" s="106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</row>
    <row r="115" ht="21.0" customHeight="1">
      <c r="A115" s="93"/>
      <c r="B115" s="93"/>
      <c r="C115" s="93"/>
      <c r="D115" s="106"/>
      <c r="E115" s="93"/>
      <c r="F115" s="93"/>
      <c r="G115" s="106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</row>
    <row r="116" ht="21.0" customHeight="1">
      <c r="A116" s="93"/>
      <c r="B116" s="93"/>
      <c r="C116" s="93"/>
      <c r="D116" s="106"/>
      <c r="E116" s="93"/>
      <c r="F116" s="93"/>
      <c r="G116" s="106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</row>
    <row r="117" ht="21.0" customHeight="1">
      <c r="A117" s="93"/>
      <c r="B117" s="93"/>
      <c r="C117" s="93"/>
      <c r="D117" s="106"/>
      <c r="E117" s="93"/>
      <c r="F117" s="93"/>
      <c r="G117" s="106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</row>
    <row r="118" ht="21.0" customHeight="1">
      <c r="A118" s="93"/>
      <c r="B118" s="93"/>
      <c r="C118" s="93"/>
      <c r="D118" s="106"/>
      <c r="E118" s="93"/>
      <c r="F118" s="93"/>
      <c r="G118" s="106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</row>
    <row r="119" ht="21.0" customHeight="1">
      <c r="A119" s="93"/>
      <c r="B119" s="93"/>
      <c r="C119" s="93"/>
      <c r="D119" s="106"/>
      <c r="E119" s="93"/>
      <c r="F119" s="93"/>
      <c r="G119" s="106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</row>
    <row r="120" ht="21.0" customHeight="1">
      <c r="A120" s="93"/>
      <c r="B120" s="93"/>
      <c r="C120" s="93"/>
      <c r="D120" s="106"/>
      <c r="E120" s="93"/>
      <c r="F120" s="93"/>
      <c r="G120" s="106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</row>
    <row r="121" ht="21.0" customHeight="1">
      <c r="A121" s="93"/>
      <c r="B121" s="93"/>
      <c r="C121" s="93"/>
      <c r="D121" s="106"/>
      <c r="E121" s="93"/>
      <c r="F121" s="93"/>
      <c r="G121" s="106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ht="21.0" customHeight="1">
      <c r="A122" s="93"/>
      <c r="B122" s="93"/>
      <c r="C122" s="93"/>
      <c r="D122" s="106"/>
      <c r="E122" s="93"/>
      <c r="F122" s="93"/>
      <c r="G122" s="106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</row>
    <row r="123" ht="21.0" customHeight="1">
      <c r="A123" s="93"/>
      <c r="B123" s="93"/>
      <c r="C123" s="93"/>
      <c r="D123" s="106"/>
      <c r="E123" s="93"/>
      <c r="F123" s="93"/>
      <c r="G123" s="106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</row>
    <row r="124" ht="21.0" customHeight="1">
      <c r="A124" s="93"/>
      <c r="B124" s="93"/>
      <c r="C124" s="93"/>
      <c r="D124" s="106"/>
      <c r="E124" s="93"/>
      <c r="F124" s="93"/>
      <c r="G124" s="106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</row>
    <row r="125" ht="21.0" customHeight="1">
      <c r="A125" s="93"/>
      <c r="B125" s="93"/>
      <c r="C125" s="93"/>
      <c r="D125" s="106"/>
      <c r="E125" s="93"/>
      <c r="F125" s="93"/>
      <c r="G125" s="106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</row>
    <row r="126" ht="21.0" customHeight="1">
      <c r="A126" s="93"/>
      <c r="B126" s="93"/>
      <c r="C126" s="93"/>
      <c r="D126" s="106"/>
      <c r="E126" s="93"/>
      <c r="F126" s="93"/>
      <c r="G126" s="106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</row>
    <row r="127" ht="21.0" customHeight="1">
      <c r="A127" s="93"/>
      <c r="B127" s="93"/>
      <c r="C127" s="93"/>
      <c r="D127" s="106"/>
      <c r="E127" s="93"/>
      <c r="F127" s="93"/>
      <c r="G127" s="106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</row>
    <row r="128" ht="21.0" customHeight="1">
      <c r="A128" s="93"/>
      <c r="B128" s="93"/>
      <c r="C128" s="93"/>
      <c r="D128" s="106"/>
      <c r="E128" s="93"/>
      <c r="F128" s="93"/>
      <c r="G128" s="106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</row>
    <row r="129" ht="21.0" customHeight="1">
      <c r="A129" s="93"/>
      <c r="B129" s="93"/>
      <c r="C129" s="93"/>
      <c r="D129" s="106"/>
      <c r="E129" s="93"/>
      <c r="F129" s="93"/>
      <c r="G129" s="106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ht="21.0" customHeight="1">
      <c r="A130" s="93"/>
      <c r="B130" s="93"/>
      <c r="C130" s="93"/>
      <c r="D130" s="106"/>
      <c r="E130" s="93"/>
      <c r="F130" s="93"/>
      <c r="G130" s="106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</row>
    <row r="131" ht="21.0" customHeight="1">
      <c r="A131" s="93"/>
      <c r="B131" s="93"/>
      <c r="C131" s="93"/>
      <c r="D131" s="106"/>
      <c r="E131" s="93"/>
      <c r="F131" s="93"/>
      <c r="G131" s="106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</row>
    <row r="132" ht="21.0" customHeight="1">
      <c r="A132" s="93"/>
      <c r="B132" s="93"/>
      <c r="C132" s="93"/>
      <c r="D132" s="106"/>
      <c r="E132" s="93"/>
      <c r="F132" s="93"/>
      <c r="G132" s="106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</row>
    <row r="133" ht="21.0" customHeight="1">
      <c r="A133" s="93"/>
      <c r="B133" s="93"/>
      <c r="C133" s="93"/>
      <c r="D133" s="106"/>
      <c r="E133" s="93"/>
      <c r="F133" s="93"/>
      <c r="G133" s="106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</row>
    <row r="134" ht="21.0" customHeight="1">
      <c r="A134" s="93"/>
      <c r="B134" s="93"/>
      <c r="C134" s="93"/>
      <c r="D134" s="106"/>
      <c r="E134" s="93"/>
      <c r="F134" s="93"/>
      <c r="G134" s="106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</row>
    <row r="135" ht="21.0" customHeight="1">
      <c r="A135" s="93"/>
      <c r="B135" s="93"/>
      <c r="C135" s="93"/>
      <c r="D135" s="106"/>
      <c r="E135" s="93"/>
      <c r="F135" s="93"/>
      <c r="G135" s="106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</row>
    <row r="136" ht="21.0" customHeight="1">
      <c r="A136" s="93"/>
      <c r="B136" s="93"/>
      <c r="C136" s="93"/>
      <c r="D136" s="106"/>
      <c r="E136" s="93"/>
      <c r="F136" s="93"/>
      <c r="G136" s="106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</row>
    <row r="137" ht="21.0" customHeight="1">
      <c r="A137" s="93"/>
      <c r="B137" s="93"/>
      <c r="C137" s="93"/>
      <c r="D137" s="106"/>
      <c r="E137" s="93"/>
      <c r="F137" s="93"/>
      <c r="G137" s="106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</row>
    <row r="138" ht="21.0" customHeight="1">
      <c r="A138" s="93"/>
      <c r="B138" s="93"/>
      <c r="C138" s="93"/>
      <c r="D138" s="106"/>
      <c r="E138" s="93"/>
      <c r="F138" s="93"/>
      <c r="G138" s="106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</row>
    <row r="139" ht="21.0" customHeight="1">
      <c r="A139" s="93"/>
      <c r="B139" s="93"/>
      <c r="C139" s="93"/>
      <c r="D139" s="106"/>
      <c r="E139" s="93"/>
      <c r="F139" s="93"/>
      <c r="G139" s="106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</row>
    <row r="140" ht="21.0" customHeight="1">
      <c r="A140" s="93"/>
      <c r="B140" s="93"/>
      <c r="C140" s="93"/>
      <c r="D140" s="106"/>
      <c r="E140" s="93"/>
      <c r="F140" s="93"/>
      <c r="G140" s="106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</row>
    <row r="141" ht="21.0" customHeight="1">
      <c r="A141" s="93"/>
      <c r="B141" s="93"/>
      <c r="C141" s="93"/>
      <c r="D141" s="106"/>
      <c r="E141" s="93"/>
      <c r="F141" s="93"/>
      <c r="G141" s="106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</row>
    <row r="142" ht="21.0" customHeight="1">
      <c r="A142" s="93"/>
      <c r="B142" s="93"/>
      <c r="C142" s="93"/>
      <c r="D142" s="106"/>
      <c r="E142" s="93"/>
      <c r="F142" s="93"/>
      <c r="G142" s="106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</row>
    <row r="143" ht="21.0" customHeight="1">
      <c r="A143" s="93"/>
      <c r="B143" s="93"/>
      <c r="C143" s="93"/>
      <c r="D143" s="106"/>
      <c r="E143" s="93"/>
      <c r="F143" s="93"/>
      <c r="G143" s="106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</row>
    <row r="144" ht="21.0" customHeight="1">
      <c r="A144" s="93"/>
      <c r="B144" s="93"/>
      <c r="C144" s="93"/>
      <c r="D144" s="106"/>
      <c r="E144" s="93"/>
      <c r="F144" s="93"/>
      <c r="G144" s="106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</row>
    <row r="145" ht="21.0" customHeight="1">
      <c r="A145" s="93"/>
      <c r="B145" s="93"/>
      <c r="C145" s="93"/>
      <c r="D145" s="106"/>
      <c r="E145" s="93"/>
      <c r="F145" s="93"/>
      <c r="G145" s="106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</row>
    <row r="146" ht="21.0" customHeight="1">
      <c r="A146" s="93"/>
      <c r="B146" s="93"/>
      <c r="C146" s="93"/>
      <c r="D146" s="106"/>
      <c r="E146" s="93"/>
      <c r="F146" s="93"/>
      <c r="G146" s="106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</row>
    <row r="147" ht="21.0" customHeight="1">
      <c r="A147" s="93"/>
      <c r="B147" s="93"/>
      <c r="C147" s="93"/>
      <c r="D147" s="106"/>
      <c r="E147" s="93"/>
      <c r="F147" s="93"/>
      <c r="G147" s="106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</row>
    <row r="148" ht="21.0" customHeight="1">
      <c r="A148" s="93"/>
      <c r="B148" s="93"/>
      <c r="C148" s="93"/>
      <c r="D148" s="106"/>
      <c r="E148" s="93"/>
      <c r="F148" s="93"/>
      <c r="G148" s="106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</row>
    <row r="149" ht="21.0" customHeight="1">
      <c r="A149" s="93"/>
      <c r="B149" s="93"/>
      <c r="C149" s="93"/>
      <c r="D149" s="106"/>
      <c r="E149" s="93"/>
      <c r="F149" s="93"/>
      <c r="G149" s="106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</row>
    <row r="150" ht="21.0" customHeight="1">
      <c r="A150" s="93"/>
      <c r="B150" s="93"/>
      <c r="C150" s="93"/>
      <c r="D150" s="106"/>
      <c r="E150" s="93"/>
      <c r="F150" s="93"/>
      <c r="G150" s="106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</row>
    <row r="151" ht="21.0" customHeight="1">
      <c r="A151" s="93"/>
      <c r="B151" s="93"/>
      <c r="C151" s="93"/>
      <c r="D151" s="106"/>
      <c r="E151" s="93"/>
      <c r="F151" s="93"/>
      <c r="G151" s="106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</row>
    <row r="152" ht="21.0" customHeight="1">
      <c r="A152" s="93"/>
      <c r="B152" s="93"/>
      <c r="C152" s="93"/>
      <c r="D152" s="106"/>
      <c r="E152" s="93"/>
      <c r="F152" s="93"/>
      <c r="G152" s="106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</row>
    <row r="153" ht="21.0" customHeight="1">
      <c r="A153" s="93"/>
      <c r="B153" s="93"/>
      <c r="C153" s="93"/>
      <c r="D153" s="106"/>
      <c r="E153" s="93"/>
      <c r="F153" s="93"/>
      <c r="G153" s="106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</row>
    <row r="154" ht="21.0" customHeight="1">
      <c r="A154" s="93"/>
      <c r="B154" s="93"/>
      <c r="C154" s="93"/>
      <c r="D154" s="106"/>
      <c r="E154" s="93"/>
      <c r="F154" s="93"/>
      <c r="G154" s="106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</row>
    <row r="155" ht="21.0" customHeight="1">
      <c r="A155" s="93"/>
      <c r="B155" s="93"/>
      <c r="C155" s="93"/>
      <c r="D155" s="106"/>
      <c r="E155" s="93"/>
      <c r="F155" s="93"/>
      <c r="G155" s="106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</row>
    <row r="156" ht="21.0" customHeight="1">
      <c r="A156" s="93"/>
      <c r="B156" s="93"/>
      <c r="C156" s="93"/>
      <c r="D156" s="106"/>
      <c r="E156" s="93"/>
      <c r="F156" s="93"/>
      <c r="G156" s="106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ht="21.0" customHeight="1">
      <c r="A157" s="93"/>
      <c r="B157" s="93"/>
      <c r="C157" s="93"/>
      <c r="D157" s="106"/>
      <c r="E157" s="93"/>
      <c r="F157" s="93"/>
      <c r="G157" s="106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</row>
    <row r="158" ht="21.0" customHeight="1">
      <c r="A158" s="93"/>
      <c r="B158" s="93"/>
      <c r="C158" s="93"/>
      <c r="D158" s="106"/>
      <c r="E158" s="93"/>
      <c r="F158" s="93"/>
      <c r="G158" s="106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</row>
    <row r="159" ht="21.0" customHeight="1">
      <c r="A159" s="93"/>
      <c r="B159" s="93"/>
      <c r="C159" s="93"/>
      <c r="D159" s="106"/>
      <c r="E159" s="93"/>
      <c r="F159" s="93"/>
      <c r="G159" s="106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</row>
    <row r="160" ht="21.0" customHeight="1">
      <c r="A160" s="93"/>
      <c r="B160" s="93"/>
      <c r="C160" s="93"/>
      <c r="D160" s="106"/>
      <c r="E160" s="93"/>
      <c r="F160" s="93"/>
      <c r="G160" s="106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</row>
    <row r="161" ht="21.0" customHeight="1">
      <c r="A161" s="93"/>
      <c r="B161" s="93"/>
      <c r="C161" s="93"/>
      <c r="D161" s="106"/>
      <c r="E161" s="93"/>
      <c r="F161" s="93"/>
      <c r="G161" s="106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</row>
    <row r="162" ht="21.0" customHeight="1">
      <c r="A162" s="93"/>
      <c r="B162" s="93"/>
      <c r="C162" s="93"/>
      <c r="D162" s="106"/>
      <c r="E162" s="93"/>
      <c r="F162" s="93"/>
      <c r="G162" s="106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</row>
    <row r="163" ht="21.0" customHeight="1">
      <c r="A163" s="93"/>
      <c r="B163" s="93"/>
      <c r="C163" s="93"/>
      <c r="D163" s="106"/>
      <c r="E163" s="93"/>
      <c r="F163" s="93"/>
      <c r="G163" s="106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</row>
    <row r="164" ht="21.0" customHeight="1">
      <c r="A164" s="93"/>
      <c r="B164" s="93"/>
      <c r="C164" s="93"/>
      <c r="D164" s="106"/>
      <c r="E164" s="93"/>
      <c r="F164" s="93"/>
      <c r="G164" s="106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</row>
    <row r="165" ht="21.0" customHeight="1">
      <c r="A165" s="93"/>
      <c r="B165" s="93"/>
      <c r="C165" s="93"/>
      <c r="D165" s="106"/>
      <c r="E165" s="93"/>
      <c r="F165" s="93"/>
      <c r="G165" s="106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</row>
    <row r="166" ht="21.0" customHeight="1">
      <c r="A166" s="93"/>
      <c r="B166" s="93"/>
      <c r="C166" s="93"/>
      <c r="D166" s="106"/>
      <c r="E166" s="93"/>
      <c r="F166" s="93"/>
      <c r="G166" s="106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</row>
    <row r="167" ht="21.0" customHeight="1">
      <c r="A167" s="93"/>
      <c r="B167" s="93"/>
      <c r="C167" s="93"/>
      <c r="D167" s="106"/>
      <c r="E167" s="93"/>
      <c r="F167" s="93"/>
      <c r="G167" s="106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</row>
    <row r="168" ht="21.0" customHeight="1">
      <c r="A168" s="93"/>
      <c r="B168" s="93"/>
      <c r="C168" s="93"/>
      <c r="D168" s="106"/>
      <c r="E168" s="93"/>
      <c r="F168" s="93"/>
      <c r="G168" s="106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</row>
    <row r="169" ht="21.0" customHeight="1">
      <c r="A169" s="93"/>
      <c r="B169" s="93"/>
      <c r="C169" s="93"/>
      <c r="D169" s="106"/>
      <c r="E169" s="93"/>
      <c r="F169" s="93"/>
      <c r="G169" s="106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</row>
    <row r="170" ht="21.0" customHeight="1">
      <c r="A170" s="93"/>
      <c r="B170" s="93"/>
      <c r="C170" s="93"/>
      <c r="D170" s="106"/>
      <c r="E170" s="93"/>
      <c r="F170" s="93"/>
      <c r="G170" s="106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</row>
    <row r="171" ht="21.0" customHeight="1">
      <c r="A171" s="93"/>
      <c r="B171" s="93"/>
      <c r="C171" s="93"/>
      <c r="D171" s="106"/>
      <c r="E171" s="93"/>
      <c r="F171" s="93"/>
      <c r="G171" s="106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</row>
    <row r="172" ht="21.0" customHeight="1">
      <c r="A172" s="93"/>
      <c r="B172" s="93"/>
      <c r="C172" s="93"/>
      <c r="D172" s="106"/>
      <c r="E172" s="93"/>
      <c r="F172" s="93"/>
      <c r="G172" s="106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</row>
    <row r="173" ht="21.0" customHeight="1">
      <c r="A173" s="93"/>
      <c r="B173" s="93"/>
      <c r="C173" s="93"/>
      <c r="D173" s="106"/>
      <c r="E173" s="93"/>
      <c r="F173" s="93"/>
      <c r="G173" s="106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</row>
    <row r="174" ht="21.0" customHeight="1">
      <c r="A174" s="93"/>
      <c r="B174" s="93"/>
      <c r="C174" s="93"/>
      <c r="D174" s="106"/>
      <c r="E174" s="93"/>
      <c r="F174" s="93"/>
      <c r="G174" s="106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</row>
    <row r="175" ht="21.0" customHeight="1">
      <c r="A175" s="93"/>
      <c r="B175" s="93"/>
      <c r="C175" s="93"/>
      <c r="D175" s="106"/>
      <c r="E175" s="93"/>
      <c r="F175" s="93"/>
      <c r="G175" s="106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</row>
    <row r="176" ht="21.0" customHeight="1">
      <c r="A176" s="93"/>
      <c r="B176" s="93"/>
      <c r="C176" s="93"/>
      <c r="D176" s="106"/>
      <c r="E176" s="93"/>
      <c r="F176" s="93"/>
      <c r="G176" s="106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</row>
    <row r="177" ht="21.0" customHeight="1">
      <c r="A177" s="93"/>
      <c r="B177" s="93"/>
      <c r="C177" s="93"/>
      <c r="D177" s="106"/>
      <c r="E177" s="93"/>
      <c r="F177" s="93"/>
      <c r="G177" s="106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</row>
    <row r="178" ht="21.0" customHeight="1">
      <c r="A178" s="93"/>
      <c r="B178" s="93"/>
      <c r="C178" s="93"/>
      <c r="D178" s="106"/>
      <c r="E178" s="93"/>
      <c r="F178" s="93"/>
      <c r="G178" s="106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</row>
    <row r="179" ht="21.0" customHeight="1">
      <c r="A179" s="93"/>
      <c r="B179" s="93"/>
      <c r="C179" s="93"/>
      <c r="D179" s="106"/>
      <c r="E179" s="93"/>
      <c r="F179" s="93"/>
      <c r="G179" s="106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</row>
    <row r="180" ht="21.0" customHeight="1">
      <c r="A180" s="93"/>
      <c r="B180" s="93"/>
      <c r="C180" s="93"/>
      <c r="D180" s="106"/>
      <c r="E180" s="93"/>
      <c r="F180" s="93"/>
      <c r="G180" s="106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</row>
    <row r="181" ht="21.0" customHeight="1">
      <c r="A181" s="93"/>
      <c r="B181" s="93"/>
      <c r="C181" s="93"/>
      <c r="D181" s="106"/>
      <c r="E181" s="93"/>
      <c r="F181" s="93"/>
      <c r="G181" s="106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</row>
    <row r="182" ht="21.0" customHeight="1">
      <c r="A182" s="93"/>
      <c r="B182" s="93"/>
      <c r="C182" s="93"/>
      <c r="D182" s="106"/>
      <c r="E182" s="93"/>
      <c r="F182" s="93"/>
      <c r="G182" s="106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</row>
    <row r="183" ht="21.0" customHeight="1">
      <c r="A183" s="93"/>
      <c r="B183" s="93"/>
      <c r="C183" s="93"/>
      <c r="D183" s="106"/>
      <c r="E183" s="93"/>
      <c r="F183" s="93"/>
      <c r="G183" s="106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</row>
    <row r="184" ht="21.0" customHeight="1">
      <c r="A184" s="93"/>
      <c r="B184" s="93"/>
      <c r="C184" s="93"/>
      <c r="D184" s="106"/>
      <c r="E184" s="93"/>
      <c r="F184" s="93"/>
      <c r="G184" s="106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</row>
    <row r="185" ht="21.0" customHeight="1">
      <c r="A185" s="93"/>
      <c r="B185" s="93"/>
      <c r="C185" s="93"/>
      <c r="D185" s="106"/>
      <c r="E185" s="93"/>
      <c r="F185" s="93"/>
      <c r="G185" s="106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</row>
    <row r="186" ht="21.0" customHeight="1">
      <c r="A186" s="93"/>
      <c r="B186" s="93"/>
      <c r="C186" s="93"/>
      <c r="D186" s="106"/>
      <c r="E186" s="93"/>
      <c r="F186" s="93"/>
      <c r="G186" s="106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</row>
    <row r="187" ht="21.0" customHeight="1">
      <c r="A187" s="93"/>
      <c r="B187" s="93"/>
      <c r="C187" s="93"/>
      <c r="D187" s="106"/>
      <c r="E187" s="93"/>
      <c r="F187" s="93"/>
      <c r="G187" s="106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</row>
    <row r="188" ht="21.0" customHeight="1">
      <c r="A188" s="93"/>
      <c r="B188" s="93"/>
      <c r="C188" s="93"/>
      <c r="D188" s="106"/>
      <c r="E188" s="93"/>
      <c r="F188" s="93"/>
      <c r="G188" s="106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</row>
    <row r="189" ht="21.0" customHeight="1">
      <c r="A189" s="93"/>
      <c r="B189" s="93"/>
      <c r="C189" s="93"/>
      <c r="D189" s="106"/>
      <c r="E189" s="93"/>
      <c r="F189" s="93"/>
      <c r="G189" s="106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</row>
    <row r="190" ht="21.0" customHeight="1">
      <c r="A190" s="93"/>
      <c r="B190" s="93"/>
      <c r="C190" s="93"/>
      <c r="D190" s="106"/>
      <c r="E190" s="93"/>
      <c r="F190" s="93"/>
      <c r="G190" s="106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</row>
    <row r="191" ht="21.0" customHeight="1">
      <c r="A191" s="93"/>
      <c r="B191" s="93"/>
      <c r="C191" s="93"/>
      <c r="D191" s="106"/>
      <c r="E191" s="93"/>
      <c r="F191" s="93"/>
      <c r="G191" s="106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</row>
    <row r="192" ht="21.0" customHeight="1">
      <c r="A192" s="93"/>
      <c r="B192" s="93"/>
      <c r="C192" s="93"/>
      <c r="D192" s="106"/>
      <c r="E192" s="93"/>
      <c r="F192" s="93"/>
      <c r="G192" s="106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</row>
    <row r="193" ht="21.0" customHeight="1">
      <c r="A193" s="93"/>
      <c r="B193" s="93"/>
      <c r="C193" s="93"/>
      <c r="D193" s="106"/>
      <c r="E193" s="93"/>
      <c r="F193" s="93"/>
      <c r="G193" s="106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</row>
    <row r="194" ht="21.0" customHeight="1">
      <c r="A194" s="93"/>
      <c r="B194" s="93"/>
      <c r="C194" s="93"/>
      <c r="D194" s="106"/>
      <c r="E194" s="93"/>
      <c r="F194" s="93"/>
      <c r="G194" s="106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</row>
    <row r="195" ht="21.0" customHeight="1">
      <c r="A195" s="93"/>
      <c r="B195" s="93"/>
      <c r="C195" s="93"/>
      <c r="D195" s="106"/>
      <c r="E195" s="93"/>
      <c r="F195" s="93"/>
      <c r="G195" s="106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</row>
    <row r="196" ht="21.0" customHeight="1">
      <c r="A196" s="93"/>
      <c r="B196" s="93"/>
      <c r="C196" s="93"/>
      <c r="D196" s="106"/>
      <c r="E196" s="93"/>
      <c r="F196" s="93"/>
      <c r="G196" s="106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</row>
    <row r="197" ht="21.0" customHeight="1">
      <c r="A197" s="93"/>
      <c r="B197" s="93"/>
      <c r="C197" s="93"/>
      <c r="D197" s="106"/>
      <c r="E197" s="93"/>
      <c r="F197" s="93"/>
      <c r="G197" s="106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</row>
    <row r="198" ht="21.0" customHeight="1">
      <c r="A198" s="93"/>
      <c r="B198" s="93"/>
      <c r="C198" s="93"/>
      <c r="D198" s="106"/>
      <c r="E198" s="93"/>
      <c r="F198" s="93"/>
      <c r="G198" s="106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</row>
    <row r="199" ht="21.0" customHeight="1">
      <c r="A199" s="93"/>
      <c r="B199" s="93"/>
      <c r="C199" s="93"/>
      <c r="D199" s="106"/>
      <c r="E199" s="93"/>
      <c r="F199" s="93"/>
      <c r="G199" s="106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</row>
    <row r="200" ht="21.0" customHeight="1">
      <c r="A200" s="93"/>
      <c r="B200" s="93"/>
      <c r="C200" s="93"/>
      <c r="D200" s="106"/>
      <c r="E200" s="93"/>
      <c r="F200" s="93"/>
      <c r="G200" s="106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ht="21.0" customHeight="1">
      <c r="A201" s="93"/>
      <c r="B201" s="93"/>
      <c r="C201" s="93"/>
      <c r="D201" s="106"/>
      <c r="E201" s="93"/>
      <c r="F201" s="93"/>
      <c r="G201" s="106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</row>
    <row r="202" ht="21.0" customHeight="1">
      <c r="A202" s="93"/>
      <c r="B202" s="93"/>
      <c r="C202" s="93"/>
      <c r="D202" s="106"/>
      <c r="E202" s="93"/>
      <c r="F202" s="93"/>
      <c r="G202" s="106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</row>
    <row r="203" ht="21.0" customHeight="1">
      <c r="A203" s="93"/>
      <c r="B203" s="93"/>
      <c r="C203" s="93"/>
      <c r="D203" s="106"/>
      <c r="E203" s="93"/>
      <c r="F203" s="93"/>
      <c r="G203" s="106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</row>
    <row r="204" ht="21.0" customHeight="1">
      <c r="A204" s="93"/>
      <c r="B204" s="93"/>
      <c r="C204" s="93"/>
      <c r="D204" s="106"/>
      <c r="E204" s="93"/>
      <c r="F204" s="93"/>
      <c r="G204" s="106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</row>
    <row r="205" ht="21.0" customHeight="1">
      <c r="A205" s="93"/>
      <c r="B205" s="93"/>
      <c r="C205" s="93"/>
      <c r="D205" s="106"/>
      <c r="E205" s="93"/>
      <c r="F205" s="93"/>
      <c r="G205" s="106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</row>
    <row r="206" ht="21.0" customHeight="1">
      <c r="A206" s="93"/>
      <c r="B206" s="93"/>
      <c r="C206" s="93"/>
      <c r="D206" s="106"/>
      <c r="E206" s="93"/>
      <c r="F206" s="93"/>
      <c r="G206" s="106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</row>
    <row r="207" ht="21.0" customHeight="1">
      <c r="A207" s="93"/>
      <c r="B207" s="93"/>
      <c r="C207" s="93"/>
      <c r="D207" s="106"/>
      <c r="E207" s="93"/>
      <c r="F207" s="93"/>
      <c r="G207" s="106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</row>
    <row r="208" ht="21.0" customHeight="1">
      <c r="A208" s="93"/>
      <c r="B208" s="93"/>
      <c r="C208" s="93"/>
      <c r="D208" s="106"/>
      <c r="E208" s="93"/>
      <c r="F208" s="93"/>
      <c r="G208" s="106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</row>
    <row r="209" ht="21.0" customHeight="1">
      <c r="A209" s="93"/>
      <c r="B209" s="93"/>
      <c r="C209" s="93"/>
      <c r="D209" s="106"/>
      <c r="E209" s="93"/>
      <c r="F209" s="93"/>
      <c r="G209" s="106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</row>
    <row r="210" ht="21.0" customHeight="1">
      <c r="A210" s="93"/>
      <c r="B210" s="93"/>
      <c r="C210" s="93"/>
      <c r="D210" s="106"/>
      <c r="E210" s="93"/>
      <c r="F210" s="93"/>
      <c r="G210" s="106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</row>
    <row r="211" ht="21.0" customHeight="1">
      <c r="A211" s="93"/>
      <c r="B211" s="93"/>
      <c r="C211" s="93"/>
      <c r="D211" s="106"/>
      <c r="E211" s="93"/>
      <c r="F211" s="93"/>
      <c r="G211" s="106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</row>
    <row r="212" ht="21.0" customHeight="1">
      <c r="A212" s="93"/>
      <c r="B212" s="93"/>
      <c r="C212" s="93"/>
      <c r="D212" s="106"/>
      <c r="E212" s="93"/>
      <c r="F212" s="93"/>
      <c r="G212" s="106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</row>
    <row r="213" ht="21.0" customHeight="1">
      <c r="A213" s="93"/>
      <c r="B213" s="93"/>
      <c r="C213" s="93"/>
      <c r="D213" s="106"/>
      <c r="E213" s="93"/>
      <c r="F213" s="93"/>
      <c r="G213" s="106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</row>
    <row r="214" ht="21.0" customHeight="1">
      <c r="A214" s="93"/>
      <c r="B214" s="93"/>
      <c r="C214" s="93"/>
      <c r="D214" s="106"/>
      <c r="E214" s="93"/>
      <c r="F214" s="93"/>
      <c r="G214" s="106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</row>
    <row r="215" ht="21.0" customHeight="1">
      <c r="A215" s="93"/>
      <c r="B215" s="93"/>
      <c r="C215" s="93"/>
      <c r="D215" s="106"/>
      <c r="E215" s="93"/>
      <c r="F215" s="93"/>
      <c r="G215" s="106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</row>
    <row r="216" ht="21.0" customHeight="1">
      <c r="A216" s="93"/>
      <c r="B216" s="93"/>
      <c r="C216" s="93"/>
      <c r="D216" s="106"/>
      <c r="E216" s="93"/>
      <c r="F216" s="93"/>
      <c r="G216" s="106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</row>
    <row r="217" ht="21.0" customHeight="1">
      <c r="A217" s="93"/>
      <c r="B217" s="93"/>
      <c r="C217" s="93"/>
      <c r="D217" s="106"/>
      <c r="E217" s="93"/>
      <c r="F217" s="93"/>
      <c r="G217" s="106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</row>
    <row r="218" ht="21.0" customHeight="1">
      <c r="A218" s="93"/>
      <c r="B218" s="93"/>
      <c r="C218" s="93"/>
      <c r="D218" s="106"/>
      <c r="E218" s="93"/>
      <c r="F218" s="93"/>
      <c r="G218" s="106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</row>
    <row r="219" ht="21.0" customHeight="1">
      <c r="A219" s="93"/>
      <c r="B219" s="93"/>
      <c r="C219" s="93"/>
      <c r="D219" s="106"/>
      <c r="E219" s="93"/>
      <c r="F219" s="93"/>
      <c r="G219" s="106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</row>
    <row r="220" ht="21.0" customHeight="1">
      <c r="A220" s="93"/>
      <c r="B220" s="93"/>
      <c r="C220" s="93"/>
      <c r="D220" s="106"/>
      <c r="E220" s="93"/>
      <c r="F220" s="93"/>
      <c r="G220" s="106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</row>
    <row r="221" ht="21.0" customHeight="1">
      <c r="A221" s="93"/>
      <c r="B221" s="93"/>
      <c r="C221" s="93"/>
      <c r="D221" s="106"/>
      <c r="E221" s="93"/>
      <c r="F221" s="93"/>
      <c r="G221" s="106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</row>
    <row r="222" ht="21.0" customHeight="1">
      <c r="A222" s="93"/>
      <c r="B222" s="93"/>
      <c r="C222" s="93"/>
      <c r="D222" s="106"/>
      <c r="E222" s="93"/>
      <c r="F222" s="93"/>
      <c r="G222" s="106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</row>
    <row r="223" ht="21.0" customHeight="1">
      <c r="A223" s="93"/>
      <c r="B223" s="93"/>
      <c r="C223" s="93"/>
      <c r="D223" s="106"/>
      <c r="E223" s="93"/>
      <c r="F223" s="93"/>
      <c r="G223" s="106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</row>
    <row r="224" ht="21.0" customHeight="1">
      <c r="A224" s="93"/>
      <c r="B224" s="93"/>
      <c r="C224" s="93"/>
      <c r="D224" s="106"/>
      <c r="E224" s="93"/>
      <c r="F224" s="93"/>
      <c r="G224" s="106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</row>
    <row r="225" ht="21.0" customHeight="1">
      <c r="A225" s="93"/>
      <c r="B225" s="93"/>
      <c r="C225" s="93"/>
      <c r="D225" s="106"/>
      <c r="E225" s="93"/>
      <c r="F225" s="93"/>
      <c r="G225" s="106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</row>
    <row r="226" ht="21.0" customHeight="1">
      <c r="A226" s="93"/>
      <c r="B226" s="93"/>
      <c r="C226" s="93"/>
      <c r="D226" s="106"/>
      <c r="E226" s="93"/>
      <c r="F226" s="93"/>
      <c r="G226" s="106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</row>
    <row r="227" ht="21.0" customHeight="1">
      <c r="A227" s="93"/>
      <c r="B227" s="93"/>
      <c r="C227" s="93"/>
      <c r="D227" s="106"/>
      <c r="E227" s="93"/>
      <c r="F227" s="93"/>
      <c r="G227" s="106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</row>
    <row r="228" ht="21.0" customHeight="1">
      <c r="A228" s="93"/>
      <c r="B228" s="93"/>
      <c r="C228" s="93"/>
      <c r="D228" s="106"/>
      <c r="E228" s="93"/>
      <c r="F228" s="93"/>
      <c r="G228" s="106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</row>
    <row r="229" ht="21.0" customHeight="1">
      <c r="A229" s="93"/>
      <c r="B229" s="93"/>
      <c r="C229" s="93"/>
      <c r="D229" s="106"/>
      <c r="E229" s="93"/>
      <c r="F229" s="93"/>
      <c r="G229" s="106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</row>
    <row r="230" ht="21.0" customHeight="1">
      <c r="A230" s="93"/>
      <c r="B230" s="93"/>
      <c r="C230" s="93"/>
      <c r="D230" s="106"/>
      <c r="E230" s="93"/>
      <c r="F230" s="93"/>
      <c r="G230" s="106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</row>
    <row r="231" ht="21.0" customHeight="1">
      <c r="A231" s="93"/>
      <c r="B231" s="93"/>
      <c r="C231" s="93"/>
      <c r="D231" s="106"/>
      <c r="E231" s="93"/>
      <c r="F231" s="93"/>
      <c r="G231" s="106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</row>
    <row r="232" ht="21.0" customHeight="1">
      <c r="A232" s="93"/>
      <c r="B232" s="93"/>
      <c r="C232" s="93"/>
      <c r="D232" s="106"/>
      <c r="E232" s="93"/>
      <c r="F232" s="93"/>
      <c r="G232" s="106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</row>
    <row r="233" ht="21.0" customHeight="1">
      <c r="A233" s="93"/>
      <c r="B233" s="93"/>
      <c r="C233" s="93"/>
      <c r="D233" s="106"/>
      <c r="E233" s="93"/>
      <c r="F233" s="93"/>
      <c r="G233" s="106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</row>
    <row r="234" ht="21.0" customHeight="1">
      <c r="A234" s="93"/>
      <c r="B234" s="93"/>
      <c r="C234" s="93"/>
      <c r="D234" s="106"/>
      <c r="E234" s="93"/>
      <c r="F234" s="93"/>
      <c r="G234" s="106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</row>
    <row r="235" ht="21.0" customHeight="1">
      <c r="A235" s="93"/>
      <c r="B235" s="93"/>
      <c r="C235" s="93"/>
      <c r="D235" s="106"/>
      <c r="E235" s="93"/>
      <c r="F235" s="93"/>
      <c r="G235" s="106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</row>
    <row r="236" ht="21.0" customHeight="1">
      <c r="A236" s="93"/>
      <c r="B236" s="93"/>
      <c r="C236" s="93"/>
      <c r="D236" s="106"/>
      <c r="E236" s="93"/>
      <c r="F236" s="93"/>
      <c r="G236" s="106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</row>
    <row r="237" ht="21.0" customHeight="1">
      <c r="A237" s="93"/>
      <c r="B237" s="93"/>
      <c r="C237" s="93"/>
      <c r="D237" s="106"/>
      <c r="E237" s="93"/>
      <c r="F237" s="93"/>
      <c r="G237" s="106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</row>
    <row r="238" ht="21.0" customHeight="1">
      <c r="A238" s="93"/>
      <c r="B238" s="93"/>
      <c r="C238" s="93"/>
      <c r="D238" s="106"/>
      <c r="E238" s="93"/>
      <c r="F238" s="93"/>
      <c r="G238" s="106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</row>
    <row r="239" ht="21.0" customHeight="1">
      <c r="A239" s="93"/>
      <c r="B239" s="93"/>
      <c r="C239" s="93"/>
      <c r="D239" s="106"/>
      <c r="E239" s="93"/>
      <c r="F239" s="93"/>
      <c r="G239" s="106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</row>
    <row r="240" ht="21.0" customHeight="1">
      <c r="A240" s="93"/>
      <c r="B240" s="93"/>
      <c r="C240" s="93"/>
      <c r="D240" s="106"/>
      <c r="E240" s="93"/>
      <c r="F240" s="93"/>
      <c r="G240" s="106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</row>
    <row r="241" ht="21.0" customHeight="1">
      <c r="A241" s="93"/>
      <c r="B241" s="93"/>
      <c r="C241" s="93"/>
      <c r="D241" s="106"/>
      <c r="E241" s="93"/>
      <c r="F241" s="93"/>
      <c r="G241" s="106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</row>
    <row r="242" ht="21.0" customHeight="1">
      <c r="A242" s="93"/>
      <c r="B242" s="93"/>
      <c r="C242" s="93"/>
      <c r="D242" s="106"/>
      <c r="E242" s="93"/>
      <c r="F242" s="93"/>
      <c r="G242" s="106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</row>
    <row r="243" ht="21.0" customHeight="1">
      <c r="A243" s="93"/>
      <c r="B243" s="93"/>
      <c r="C243" s="93"/>
      <c r="D243" s="106"/>
      <c r="E243" s="93"/>
      <c r="F243" s="93"/>
      <c r="G243" s="106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</row>
    <row r="244" ht="21.0" customHeight="1">
      <c r="A244" s="93"/>
      <c r="B244" s="93"/>
      <c r="C244" s="93"/>
      <c r="D244" s="106"/>
      <c r="E244" s="93"/>
      <c r="F244" s="93"/>
      <c r="G244" s="106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</row>
    <row r="245" ht="21.0" customHeight="1">
      <c r="A245" s="93"/>
      <c r="B245" s="93"/>
      <c r="C245" s="93"/>
      <c r="D245" s="106"/>
      <c r="E245" s="93"/>
      <c r="F245" s="93"/>
      <c r="G245" s="106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</row>
    <row r="246" ht="21.0" customHeight="1">
      <c r="A246" s="93"/>
      <c r="B246" s="93"/>
      <c r="C246" s="93"/>
      <c r="D246" s="106"/>
      <c r="E246" s="93"/>
      <c r="F246" s="93"/>
      <c r="G246" s="106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</row>
    <row r="247" ht="21.0" customHeight="1">
      <c r="A247" s="93"/>
      <c r="B247" s="93"/>
      <c r="C247" s="93"/>
      <c r="D247" s="106"/>
      <c r="E247" s="93"/>
      <c r="F247" s="93"/>
      <c r="G247" s="106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</row>
    <row r="248" ht="21.0" customHeight="1">
      <c r="A248" s="93"/>
      <c r="B248" s="93"/>
      <c r="C248" s="93"/>
      <c r="D248" s="106"/>
      <c r="E248" s="93"/>
      <c r="F248" s="93"/>
      <c r="G248" s="106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</row>
    <row r="249" ht="21.0" customHeight="1">
      <c r="A249" s="93"/>
      <c r="B249" s="93"/>
      <c r="C249" s="93"/>
      <c r="D249" s="106"/>
      <c r="E249" s="93"/>
      <c r="F249" s="93"/>
      <c r="G249" s="106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</row>
    <row r="250" ht="21.0" customHeight="1">
      <c r="A250" s="93"/>
      <c r="B250" s="93"/>
      <c r="C250" s="93"/>
      <c r="D250" s="106"/>
      <c r="E250" s="93"/>
      <c r="F250" s="93"/>
      <c r="G250" s="106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</row>
    <row r="251" ht="21.0" customHeight="1">
      <c r="A251" s="93"/>
      <c r="B251" s="93"/>
      <c r="C251" s="93"/>
      <c r="D251" s="106"/>
      <c r="E251" s="93"/>
      <c r="F251" s="93"/>
      <c r="G251" s="106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</row>
    <row r="252" ht="21.0" customHeight="1">
      <c r="A252" s="93"/>
      <c r="B252" s="93"/>
      <c r="C252" s="93"/>
      <c r="D252" s="106"/>
      <c r="E252" s="93"/>
      <c r="F252" s="93"/>
      <c r="G252" s="106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</row>
    <row r="253" ht="21.0" customHeight="1">
      <c r="A253" s="93"/>
      <c r="B253" s="93"/>
      <c r="C253" s="93"/>
      <c r="D253" s="106"/>
      <c r="E253" s="93"/>
      <c r="F253" s="93"/>
      <c r="G253" s="106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</row>
    <row r="254" ht="21.0" customHeight="1">
      <c r="A254" s="93"/>
      <c r="B254" s="93"/>
      <c r="C254" s="93"/>
      <c r="D254" s="106"/>
      <c r="E254" s="93"/>
      <c r="F254" s="93"/>
      <c r="G254" s="106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</row>
    <row r="255" ht="21.0" customHeight="1">
      <c r="A255" s="93"/>
      <c r="B255" s="93"/>
      <c r="C255" s="93"/>
      <c r="D255" s="106"/>
      <c r="E255" s="93"/>
      <c r="F255" s="93"/>
      <c r="G255" s="106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</row>
    <row r="256" ht="21.0" customHeight="1">
      <c r="A256" s="93"/>
      <c r="B256" s="93"/>
      <c r="C256" s="93"/>
      <c r="D256" s="106"/>
      <c r="E256" s="93"/>
      <c r="F256" s="93"/>
      <c r="G256" s="106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</row>
    <row r="257" ht="21.0" customHeight="1">
      <c r="A257" s="93"/>
      <c r="B257" s="93"/>
      <c r="C257" s="93"/>
      <c r="D257" s="106"/>
      <c r="E257" s="93"/>
      <c r="F257" s="93"/>
      <c r="G257" s="106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</row>
    <row r="258" ht="21.0" customHeight="1">
      <c r="A258" s="93"/>
      <c r="B258" s="93"/>
      <c r="C258" s="93"/>
      <c r="D258" s="106"/>
      <c r="E258" s="93"/>
      <c r="F258" s="93"/>
      <c r="G258" s="106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</row>
    <row r="259" ht="21.0" customHeight="1">
      <c r="A259" s="93"/>
      <c r="B259" s="93"/>
      <c r="C259" s="93"/>
      <c r="D259" s="106"/>
      <c r="E259" s="93"/>
      <c r="F259" s="93"/>
      <c r="G259" s="106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</row>
    <row r="260" ht="21.0" customHeight="1">
      <c r="A260" s="93"/>
      <c r="B260" s="93"/>
      <c r="C260" s="93"/>
      <c r="D260" s="106"/>
      <c r="E260" s="93"/>
      <c r="F260" s="93"/>
      <c r="G260" s="106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</row>
    <row r="261" ht="21.0" customHeight="1">
      <c r="A261" s="93"/>
      <c r="B261" s="93"/>
      <c r="C261" s="93"/>
      <c r="D261" s="106"/>
      <c r="E261" s="93"/>
      <c r="F261" s="93"/>
      <c r="G261" s="106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</row>
    <row r="262" ht="21.0" customHeight="1">
      <c r="A262" s="93"/>
      <c r="B262" s="93"/>
      <c r="C262" s="93"/>
      <c r="D262" s="106"/>
      <c r="E262" s="93"/>
      <c r="F262" s="93"/>
      <c r="G262" s="106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</row>
    <row r="263" ht="21.0" customHeight="1">
      <c r="A263" s="93"/>
      <c r="B263" s="93"/>
      <c r="C263" s="93"/>
      <c r="D263" s="106"/>
      <c r="E263" s="93"/>
      <c r="F263" s="93"/>
      <c r="G263" s="106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</row>
    <row r="264" ht="21.0" customHeight="1">
      <c r="A264" s="93"/>
      <c r="B264" s="93"/>
      <c r="C264" s="93"/>
      <c r="D264" s="106"/>
      <c r="E264" s="93"/>
      <c r="F264" s="93"/>
      <c r="G264" s="106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</row>
    <row r="265" ht="21.0" customHeight="1">
      <c r="A265" s="93"/>
      <c r="B265" s="93"/>
      <c r="C265" s="93"/>
      <c r="D265" s="106"/>
      <c r="E265" s="93"/>
      <c r="F265" s="93"/>
      <c r="G265" s="106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</row>
    <row r="266" ht="21.0" customHeight="1">
      <c r="A266" s="93"/>
      <c r="B266" s="93"/>
      <c r="C266" s="93"/>
      <c r="D266" s="106"/>
      <c r="E266" s="93"/>
      <c r="F266" s="93"/>
      <c r="G266" s="106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</row>
    <row r="267" ht="21.0" customHeight="1">
      <c r="A267" s="93"/>
      <c r="B267" s="93"/>
      <c r="C267" s="93"/>
      <c r="D267" s="106"/>
      <c r="E267" s="93"/>
      <c r="F267" s="93"/>
      <c r="G267" s="106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</row>
    <row r="268" ht="21.0" customHeight="1">
      <c r="A268" s="93"/>
      <c r="B268" s="93"/>
      <c r="C268" s="93"/>
      <c r="D268" s="106"/>
      <c r="E268" s="93"/>
      <c r="F268" s="93"/>
      <c r="G268" s="106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ht="21.0" customHeight="1">
      <c r="A269" s="93"/>
      <c r="B269" s="93"/>
      <c r="C269" s="93"/>
      <c r="D269" s="106"/>
      <c r="E269" s="93"/>
      <c r="F269" s="93"/>
      <c r="G269" s="106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</row>
    <row r="270" ht="21.0" customHeight="1">
      <c r="A270" s="93"/>
      <c r="B270" s="93"/>
      <c r="C270" s="93"/>
      <c r="D270" s="106"/>
      <c r="E270" s="93"/>
      <c r="F270" s="93"/>
      <c r="G270" s="106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</row>
    <row r="271" ht="21.0" customHeight="1">
      <c r="A271" s="93"/>
      <c r="B271" s="93"/>
      <c r="C271" s="93"/>
      <c r="D271" s="106"/>
      <c r="E271" s="93"/>
      <c r="F271" s="93"/>
      <c r="G271" s="106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</row>
    <row r="272" ht="21.0" customHeight="1">
      <c r="A272" s="93"/>
      <c r="B272" s="93"/>
      <c r="C272" s="93"/>
      <c r="D272" s="106"/>
      <c r="E272" s="93"/>
      <c r="F272" s="93"/>
      <c r="G272" s="106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</row>
    <row r="273" ht="21.0" customHeight="1">
      <c r="A273" s="93"/>
      <c r="B273" s="93"/>
      <c r="C273" s="93"/>
      <c r="D273" s="106"/>
      <c r="E273" s="93"/>
      <c r="F273" s="93"/>
      <c r="G273" s="106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</row>
    <row r="274" ht="21.0" customHeight="1">
      <c r="A274" s="93"/>
      <c r="B274" s="93"/>
      <c r="C274" s="93"/>
      <c r="D274" s="106"/>
      <c r="E274" s="93"/>
      <c r="F274" s="93"/>
      <c r="G274" s="106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</row>
    <row r="275" ht="21.0" customHeight="1">
      <c r="A275" s="93"/>
      <c r="B275" s="93"/>
      <c r="C275" s="93"/>
      <c r="D275" s="106"/>
      <c r="E275" s="93"/>
      <c r="F275" s="93"/>
      <c r="G275" s="106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</row>
    <row r="276" ht="21.0" customHeight="1">
      <c r="A276" s="93"/>
      <c r="B276" s="93"/>
      <c r="C276" s="93"/>
      <c r="D276" s="106"/>
      <c r="E276" s="93"/>
      <c r="F276" s="93"/>
      <c r="G276" s="106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</row>
    <row r="277" ht="21.0" customHeight="1">
      <c r="A277" s="93"/>
      <c r="B277" s="93"/>
      <c r="C277" s="93"/>
      <c r="D277" s="106"/>
      <c r="E277" s="93"/>
      <c r="F277" s="93"/>
      <c r="G277" s="106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</row>
    <row r="278" ht="21.0" customHeight="1">
      <c r="A278" s="93"/>
      <c r="B278" s="93"/>
      <c r="C278" s="93"/>
      <c r="D278" s="106"/>
      <c r="E278" s="93"/>
      <c r="F278" s="93"/>
      <c r="G278" s="106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</row>
    <row r="279" ht="21.0" customHeight="1">
      <c r="A279" s="93"/>
      <c r="B279" s="93"/>
      <c r="C279" s="93"/>
      <c r="D279" s="106"/>
      <c r="E279" s="93"/>
      <c r="F279" s="93"/>
      <c r="G279" s="106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</row>
    <row r="280" ht="21.0" customHeight="1">
      <c r="A280" s="93"/>
      <c r="B280" s="93"/>
      <c r="C280" s="93"/>
      <c r="D280" s="106"/>
      <c r="E280" s="93"/>
      <c r="F280" s="93"/>
      <c r="G280" s="106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</row>
    <row r="281" ht="21.0" customHeight="1">
      <c r="A281" s="93"/>
      <c r="B281" s="93"/>
      <c r="C281" s="93"/>
      <c r="D281" s="106"/>
      <c r="E281" s="93"/>
      <c r="F281" s="93"/>
      <c r="G281" s="106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</row>
    <row r="282" ht="21.0" customHeight="1">
      <c r="A282" s="93"/>
      <c r="B282" s="93"/>
      <c r="C282" s="93"/>
      <c r="D282" s="106"/>
      <c r="E282" s="93"/>
      <c r="F282" s="93"/>
      <c r="G282" s="106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</row>
    <row r="283" ht="21.0" customHeight="1">
      <c r="A283" s="93"/>
      <c r="B283" s="93"/>
      <c r="C283" s="93"/>
      <c r="D283" s="106"/>
      <c r="E283" s="93"/>
      <c r="F283" s="93"/>
      <c r="G283" s="106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</row>
    <row r="284" ht="21.0" customHeight="1">
      <c r="A284" s="93"/>
      <c r="B284" s="93"/>
      <c r="C284" s="93"/>
      <c r="D284" s="106"/>
      <c r="E284" s="93"/>
      <c r="F284" s="93"/>
      <c r="G284" s="106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</row>
    <row r="285" ht="21.0" customHeight="1">
      <c r="A285" s="93"/>
      <c r="B285" s="93"/>
      <c r="C285" s="93"/>
      <c r="D285" s="106"/>
      <c r="E285" s="93"/>
      <c r="F285" s="93"/>
      <c r="G285" s="106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</row>
    <row r="286" ht="21.0" customHeight="1">
      <c r="A286" s="93"/>
      <c r="B286" s="93"/>
      <c r="C286" s="93"/>
      <c r="D286" s="106"/>
      <c r="E286" s="93"/>
      <c r="F286" s="93"/>
      <c r="G286" s="106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</row>
    <row r="287" ht="21.0" customHeight="1">
      <c r="A287" s="93"/>
      <c r="B287" s="93"/>
      <c r="C287" s="93"/>
      <c r="D287" s="106"/>
      <c r="E287" s="93"/>
      <c r="F287" s="93"/>
      <c r="G287" s="106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</row>
    <row r="288" ht="21.0" customHeight="1">
      <c r="A288" s="93"/>
      <c r="B288" s="93"/>
      <c r="C288" s="93"/>
      <c r="D288" s="106"/>
      <c r="E288" s="93"/>
      <c r="F288" s="93"/>
      <c r="G288" s="106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</row>
    <row r="289" ht="21.0" customHeight="1">
      <c r="A289" s="93"/>
      <c r="B289" s="93"/>
      <c r="C289" s="93"/>
      <c r="D289" s="106"/>
      <c r="E289" s="93"/>
      <c r="F289" s="93"/>
      <c r="G289" s="106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</row>
    <row r="290" ht="21.0" customHeight="1">
      <c r="A290" s="93"/>
      <c r="B290" s="93"/>
      <c r="C290" s="93"/>
      <c r="D290" s="106"/>
      <c r="E290" s="93"/>
      <c r="F290" s="93"/>
      <c r="G290" s="106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</row>
    <row r="291" ht="21.0" customHeight="1">
      <c r="A291" s="93"/>
      <c r="B291" s="93"/>
      <c r="C291" s="93"/>
      <c r="D291" s="106"/>
      <c r="E291" s="93"/>
      <c r="F291" s="93"/>
      <c r="G291" s="106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</row>
    <row r="292" ht="21.0" customHeight="1">
      <c r="A292" s="93"/>
      <c r="B292" s="93"/>
      <c r="C292" s="93"/>
      <c r="D292" s="106"/>
      <c r="E292" s="93"/>
      <c r="F292" s="93"/>
      <c r="G292" s="106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</row>
    <row r="293" ht="21.0" customHeight="1">
      <c r="A293" s="93"/>
      <c r="B293" s="93"/>
      <c r="C293" s="93"/>
      <c r="D293" s="106"/>
      <c r="E293" s="93"/>
      <c r="F293" s="93"/>
      <c r="G293" s="106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</row>
    <row r="294" ht="21.0" customHeight="1">
      <c r="A294" s="93"/>
      <c r="B294" s="93"/>
      <c r="C294" s="93"/>
      <c r="D294" s="106"/>
      <c r="E294" s="93"/>
      <c r="F294" s="93"/>
      <c r="G294" s="106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</row>
    <row r="295" ht="21.0" customHeight="1">
      <c r="A295" s="93"/>
      <c r="B295" s="93"/>
      <c r="C295" s="93"/>
      <c r="D295" s="106"/>
      <c r="E295" s="93"/>
      <c r="F295" s="93"/>
      <c r="G295" s="106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</row>
    <row r="296" ht="21.0" customHeight="1">
      <c r="A296" s="93"/>
      <c r="B296" s="93"/>
      <c r="C296" s="93"/>
      <c r="D296" s="106"/>
      <c r="E296" s="93"/>
      <c r="F296" s="93"/>
      <c r="G296" s="106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</row>
    <row r="297" ht="21.0" customHeight="1">
      <c r="A297" s="93"/>
      <c r="B297" s="93"/>
      <c r="C297" s="93"/>
      <c r="D297" s="106"/>
      <c r="E297" s="93"/>
      <c r="F297" s="93"/>
      <c r="G297" s="106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</row>
    <row r="298" ht="21.0" customHeight="1">
      <c r="A298" s="93"/>
      <c r="B298" s="93"/>
      <c r="C298" s="93"/>
      <c r="D298" s="106"/>
      <c r="E298" s="93"/>
      <c r="F298" s="93"/>
      <c r="G298" s="106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</row>
    <row r="299" ht="21.0" customHeight="1">
      <c r="A299" s="93"/>
      <c r="B299" s="93"/>
      <c r="C299" s="93"/>
      <c r="D299" s="106"/>
      <c r="E299" s="93"/>
      <c r="F299" s="93"/>
      <c r="G299" s="106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</row>
    <row r="300" ht="21.0" customHeight="1">
      <c r="A300" s="93"/>
      <c r="B300" s="93"/>
      <c r="C300" s="93"/>
      <c r="D300" s="106"/>
      <c r="E300" s="93"/>
      <c r="F300" s="93"/>
      <c r="G300" s="106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</row>
    <row r="301" ht="21.0" customHeight="1">
      <c r="A301" s="93"/>
      <c r="B301" s="93"/>
      <c r="C301" s="93"/>
      <c r="D301" s="106"/>
      <c r="E301" s="93"/>
      <c r="F301" s="93"/>
      <c r="G301" s="106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</row>
    <row r="302" ht="21.0" customHeight="1">
      <c r="A302" s="93"/>
      <c r="B302" s="93"/>
      <c r="C302" s="93"/>
      <c r="D302" s="106"/>
      <c r="E302" s="93"/>
      <c r="F302" s="93"/>
      <c r="G302" s="106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</row>
    <row r="303" ht="21.0" customHeight="1">
      <c r="A303" s="93"/>
      <c r="B303" s="93"/>
      <c r="C303" s="93"/>
      <c r="D303" s="106"/>
      <c r="E303" s="93"/>
      <c r="F303" s="93"/>
      <c r="G303" s="106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</row>
    <row r="304" ht="21.0" customHeight="1">
      <c r="A304" s="93"/>
      <c r="B304" s="93"/>
      <c r="C304" s="93"/>
      <c r="D304" s="106"/>
      <c r="E304" s="93"/>
      <c r="F304" s="93"/>
      <c r="G304" s="106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</row>
    <row r="305" ht="21.0" customHeight="1">
      <c r="A305" s="93"/>
      <c r="B305" s="93"/>
      <c r="C305" s="93"/>
      <c r="D305" s="106"/>
      <c r="E305" s="93"/>
      <c r="F305" s="93"/>
      <c r="G305" s="106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</row>
    <row r="306" ht="21.0" customHeight="1">
      <c r="A306" s="93"/>
      <c r="B306" s="93"/>
      <c r="C306" s="93"/>
      <c r="D306" s="106"/>
      <c r="E306" s="93"/>
      <c r="F306" s="93"/>
      <c r="G306" s="106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</row>
    <row r="307" ht="21.0" customHeight="1">
      <c r="A307" s="93"/>
      <c r="B307" s="93"/>
      <c r="C307" s="93"/>
      <c r="D307" s="106"/>
      <c r="E307" s="93"/>
      <c r="F307" s="93"/>
      <c r="G307" s="106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</row>
    <row r="308" ht="21.0" customHeight="1">
      <c r="A308" s="93"/>
      <c r="B308" s="93"/>
      <c r="C308" s="93"/>
      <c r="D308" s="106"/>
      <c r="E308" s="93"/>
      <c r="F308" s="93"/>
      <c r="G308" s="106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</row>
    <row r="309" ht="21.0" customHeight="1">
      <c r="A309" s="93"/>
      <c r="B309" s="93"/>
      <c r="C309" s="93"/>
      <c r="D309" s="106"/>
      <c r="E309" s="93"/>
      <c r="F309" s="93"/>
      <c r="G309" s="106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</row>
    <row r="310" ht="21.0" customHeight="1">
      <c r="A310" s="93"/>
      <c r="B310" s="93"/>
      <c r="C310" s="93"/>
      <c r="D310" s="106"/>
      <c r="E310" s="93"/>
      <c r="F310" s="93"/>
      <c r="G310" s="106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</row>
    <row r="311" ht="21.0" customHeight="1">
      <c r="A311" s="93"/>
      <c r="B311" s="93"/>
      <c r="C311" s="93"/>
      <c r="D311" s="106"/>
      <c r="E311" s="93"/>
      <c r="F311" s="93"/>
      <c r="G311" s="106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</row>
    <row r="312" ht="21.0" customHeight="1">
      <c r="A312" s="93"/>
      <c r="B312" s="93"/>
      <c r="C312" s="93"/>
      <c r="D312" s="106"/>
      <c r="E312" s="93"/>
      <c r="F312" s="93"/>
      <c r="G312" s="106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</row>
    <row r="313" ht="21.0" customHeight="1">
      <c r="A313" s="93"/>
      <c r="B313" s="93"/>
      <c r="C313" s="93"/>
      <c r="D313" s="106"/>
      <c r="E313" s="93"/>
      <c r="F313" s="93"/>
      <c r="G313" s="106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</row>
    <row r="314" ht="21.0" customHeight="1">
      <c r="A314" s="93"/>
      <c r="B314" s="93"/>
      <c r="C314" s="93"/>
      <c r="D314" s="106"/>
      <c r="E314" s="93"/>
      <c r="F314" s="93"/>
      <c r="G314" s="106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</row>
    <row r="315" ht="21.0" customHeight="1">
      <c r="A315" s="93"/>
      <c r="B315" s="93"/>
      <c r="C315" s="93"/>
      <c r="D315" s="106"/>
      <c r="E315" s="93"/>
      <c r="F315" s="93"/>
      <c r="G315" s="106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</row>
    <row r="316" ht="21.0" customHeight="1">
      <c r="A316" s="93"/>
      <c r="B316" s="93"/>
      <c r="C316" s="93"/>
      <c r="D316" s="106"/>
      <c r="E316" s="93"/>
      <c r="F316" s="93"/>
      <c r="G316" s="106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</row>
    <row r="317" ht="21.0" customHeight="1">
      <c r="A317" s="93"/>
      <c r="B317" s="93"/>
      <c r="C317" s="93"/>
      <c r="D317" s="106"/>
      <c r="E317" s="93"/>
      <c r="F317" s="93"/>
      <c r="G317" s="106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</row>
    <row r="318" ht="21.0" customHeight="1">
      <c r="A318" s="93"/>
      <c r="B318" s="93"/>
      <c r="C318" s="93"/>
      <c r="D318" s="106"/>
      <c r="E318" s="93"/>
      <c r="F318" s="93"/>
      <c r="G318" s="106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</row>
    <row r="319" ht="21.0" customHeight="1">
      <c r="A319" s="93"/>
      <c r="B319" s="93"/>
      <c r="C319" s="93"/>
      <c r="D319" s="106"/>
      <c r="E319" s="93"/>
      <c r="F319" s="93"/>
      <c r="G319" s="106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</row>
    <row r="320" ht="21.0" customHeight="1">
      <c r="A320" s="93"/>
      <c r="B320" s="93"/>
      <c r="C320" s="93"/>
      <c r="D320" s="106"/>
      <c r="E320" s="93"/>
      <c r="F320" s="93"/>
      <c r="G320" s="106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</row>
    <row r="321" ht="21.0" customHeight="1">
      <c r="A321" s="93"/>
      <c r="B321" s="93"/>
      <c r="C321" s="93"/>
      <c r="D321" s="106"/>
      <c r="E321" s="93"/>
      <c r="F321" s="93"/>
      <c r="G321" s="106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</row>
    <row r="322" ht="21.0" customHeight="1">
      <c r="A322" s="93"/>
      <c r="B322" s="93"/>
      <c r="C322" s="93"/>
      <c r="D322" s="106"/>
      <c r="E322" s="93"/>
      <c r="F322" s="93"/>
      <c r="G322" s="106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</row>
    <row r="323" ht="21.0" customHeight="1">
      <c r="A323" s="93"/>
      <c r="B323" s="93"/>
      <c r="C323" s="93"/>
      <c r="D323" s="106"/>
      <c r="E323" s="93"/>
      <c r="F323" s="93"/>
      <c r="G323" s="106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</row>
    <row r="324" ht="21.0" customHeight="1">
      <c r="A324" s="93"/>
      <c r="B324" s="93"/>
      <c r="C324" s="93"/>
      <c r="D324" s="106"/>
      <c r="E324" s="93"/>
      <c r="F324" s="93"/>
      <c r="G324" s="106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</row>
    <row r="325" ht="21.0" customHeight="1">
      <c r="A325" s="93"/>
      <c r="B325" s="93"/>
      <c r="C325" s="93"/>
      <c r="D325" s="106"/>
      <c r="E325" s="93"/>
      <c r="F325" s="93"/>
      <c r="G325" s="106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</row>
    <row r="326" ht="21.0" customHeight="1">
      <c r="A326" s="93"/>
      <c r="B326" s="93"/>
      <c r="C326" s="93"/>
      <c r="D326" s="106"/>
      <c r="E326" s="93"/>
      <c r="F326" s="93"/>
      <c r="G326" s="106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ht="21.0" customHeight="1">
      <c r="A327" s="93"/>
      <c r="B327" s="93"/>
      <c r="C327" s="93"/>
      <c r="D327" s="106"/>
      <c r="E327" s="93"/>
      <c r="F327" s="93"/>
      <c r="G327" s="106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</row>
    <row r="328" ht="21.0" customHeight="1">
      <c r="A328" s="93"/>
      <c r="B328" s="93"/>
      <c r="C328" s="93"/>
      <c r="D328" s="106"/>
      <c r="E328" s="93"/>
      <c r="F328" s="93"/>
      <c r="G328" s="106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</row>
    <row r="329" ht="21.0" customHeight="1">
      <c r="A329" s="93"/>
      <c r="B329" s="93"/>
      <c r="C329" s="93"/>
      <c r="D329" s="106"/>
      <c r="E329" s="93"/>
      <c r="F329" s="93"/>
      <c r="G329" s="106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</row>
    <row r="330" ht="21.0" customHeight="1">
      <c r="A330" s="93"/>
      <c r="B330" s="93"/>
      <c r="C330" s="93"/>
      <c r="D330" s="106"/>
      <c r="E330" s="93"/>
      <c r="F330" s="93"/>
      <c r="G330" s="106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</row>
    <row r="331" ht="21.0" customHeight="1">
      <c r="A331" s="93"/>
      <c r="B331" s="93"/>
      <c r="C331" s="93"/>
      <c r="D331" s="106"/>
      <c r="E331" s="93"/>
      <c r="F331" s="93"/>
      <c r="G331" s="106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</row>
    <row r="332" ht="21.0" customHeight="1">
      <c r="A332" s="93"/>
      <c r="B332" s="93"/>
      <c r="C332" s="93"/>
      <c r="D332" s="106"/>
      <c r="E332" s="93"/>
      <c r="F332" s="93"/>
      <c r="G332" s="106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</row>
    <row r="333" ht="21.0" customHeight="1">
      <c r="A333" s="93"/>
      <c r="B333" s="93"/>
      <c r="C333" s="93"/>
      <c r="D333" s="106"/>
      <c r="E333" s="93"/>
      <c r="F333" s="93"/>
      <c r="G333" s="106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</row>
    <row r="334" ht="21.0" customHeight="1">
      <c r="A334" s="93"/>
      <c r="B334" s="93"/>
      <c r="C334" s="93"/>
      <c r="D334" s="106"/>
      <c r="E334" s="93"/>
      <c r="F334" s="93"/>
      <c r="G334" s="106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</row>
    <row r="335" ht="21.0" customHeight="1">
      <c r="A335" s="93"/>
      <c r="B335" s="93"/>
      <c r="C335" s="93"/>
      <c r="D335" s="106"/>
      <c r="E335" s="93"/>
      <c r="F335" s="93"/>
      <c r="G335" s="106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</row>
    <row r="336" ht="21.0" customHeight="1">
      <c r="A336" s="93"/>
      <c r="B336" s="93"/>
      <c r="C336" s="93"/>
      <c r="D336" s="106"/>
      <c r="E336" s="93"/>
      <c r="F336" s="93"/>
      <c r="G336" s="106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</row>
    <row r="337" ht="21.0" customHeight="1">
      <c r="A337" s="93"/>
      <c r="B337" s="93"/>
      <c r="C337" s="93"/>
      <c r="D337" s="106"/>
      <c r="E337" s="93"/>
      <c r="F337" s="93"/>
      <c r="G337" s="106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</row>
    <row r="338" ht="21.0" customHeight="1">
      <c r="A338" s="93"/>
      <c r="B338" s="93"/>
      <c r="C338" s="93"/>
      <c r="D338" s="106"/>
      <c r="E338" s="93"/>
      <c r="F338" s="93"/>
      <c r="G338" s="106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</row>
    <row r="339" ht="21.0" customHeight="1">
      <c r="A339" s="93"/>
      <c r="B339" s="93"/>
      <c r="C339" s="93"/>
      <c r="D339" s="106"/>
      <c r="E339" s="93"/>
      <c r="F339" s="93"/>
      <c r="G339" s="106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</row>
    <row r="340" ht="21.0" customHeight="1">
      <c r="A340" s="93"/>
      <c r="B340" s="93"/>
      <c r="C340" s="93"/>
      <c r="D340" s="106"/>
      <c r="E340" s="93"/>
      <c r="F340" s="93"/>
      <c r="G340" s="106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</row>
    <row r="341" ht="21.0" customHeight="1">
      <c r="A341" s="93"/>
      <c r="B341" s="93"/>
      <c r="C341" s="93"/>
      <c r="D341" s="106"/>
      <c r="E341" s="93"/>
      <c r="F341" s="93"/>
      <c r="G341" s="106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</row>
    <row r="342" ht="21.0" customHeight="1">
      <c r="A342" s="93"/>
      <c r="B342" s="93"/>
      <c r="C342" s="93"/>
      <c r="D342" s="106"/>
      <c r="E342" s="93"/>
      <c r="F342" s="93"/>
      <c r="G342" s="106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</row>
    <row r="343" ht="21.0" customHeight="1">
      <c r="A343" s="93"/>
      <c r="B343" s="93"/>
      <c r="C343" s="93"/>
      <c r="D343" s="106"/>
      <c r="E343" s="93"/>
      <c r="F343" s="93"/>
      <c r="G343" s="106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</row>
    <row r="344" ht="21.0" customHeight="1">
      <c r="A344" s="93"/>
      <c r="B344" s="93"/>
      <c r="C344" s="93"/>
      <c r="D344" s="106"/>
      <c r="E344" s="93"/>
      <c r="F344" s="93"/>
      <c r="G344" s="106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</row>
    <row r="345" ht="21.0" customHeight="1">
      <c r="A345" s="93"/>
      <c r="B345" s="93"/>
      <c r="C345" s="93"/>
      <c r="D345" s="106"/>
      <c r="E345" s="93"/>
      <c r="F345" s="93"/>
      <c r="G345" s="106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</row>
    <row r="346" ht="21.0" customHeight="1">
      <c r="A346" s="93"/>
      <c r="B346" s="93"/>
      <c r="C346" s="93"/>
      <c r="D346" s="106"/>
      <c r="E346" s="93"/>
      <c r="F346" s="93"/>
      <c r="G346" s="106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</row>
    <row r="347" ht="21.0" customHeight="1">
      <c r="A347" s="93"/>
      <c r="B347" s="93"/>
      <c r="C347" s="93"/>
      <c r="D347" s="106"/>
      <c r="E347" s="93"/>
      <c r="F347" s="93"/>
      <c r="G347" s="106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</row>
    <row r="348" ht="21.0" customHeight="1">
      <c r="A348" s="93"/>
      <c r="B348" s="93"/>
      <c r="C348" s="93"/>
      <c r="D348" s="106"/>
      <c r="E348" s="93"/>
      <c r="F348" s="93"/>
      <c r="G348" s="106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</row>
    <row r="349" ht="21.0" customHeight="1">
      <c r="A349" s="93"/>
      <c r="B349" s="93"/>
      <c r="C349" s="93"/>
      <c r="D349" s="106"/>
      <c r="E349" s="93"/>
      <c r="F349" s="93"/>
      <c r="G349" s="106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</row>
    <row r="350" ht="21.0" customHeight="1">
      <c r="A350" s="93"/>
      <c r="B350" s="93"/>
      <c r="C350" s="93"/>
      <c r="D350" s="106"/>
      <c r="E350" s="93"/>
      <c r="F350" s="93"/>
      <c r="G350" s="106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</row>
    <row r="351" ht="21.0" customHeight="1">
      <c r="A351" s="93"/>
      <c r="B351" s="93"/>
      <c r="C351" s="93"/>
      <c r="D351" s="106"/>
      <c r="E351" s="93"/>
      <c r="F351" s="93"/>
      <c r="G351" s="106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</row>
    <row r="352" ht="21.0" customHeight="1">
      <c r="A352" s="93"/>
      <c r="B352" s="93"/>
      <c r="C352" s="93"/>
      <c r="D352" s="106"/>
      <c r="E352" s="93"/>
      <c r="F352" s="93"/>
      <c r="G352" s="106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</row>
    <row r="353" ht="21.0" customHeight="1">
      <c r="A353" s="93"/>
      <c r="B353" s="93"/>
      <c r="C353" s="93"/>
      <c r="D353" s="106"/>
      <c r="E353" s="93"/>
      <c r="F353" s="93"/>
      <c r="G353" s="106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</row>
    <row r="354" ht="21.0" customHeight="1">
      <c r="A354" s="93"/>
      <c r="B354" s="93"/>
      <c r="C354" s="93"/>
      <c r="D354" s="106"/>
      <c r="E354" s="93"/>
      <c r="F354" s="93"/>
      <c r="G354" s="106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ht="21.0" customHeight="1">
      <c r="A355" s="93"/>
      <c r="B355" s="93"/>
      <c r="C355" s="93"/>
      <c r="D355" s="106"/>
      <c r="E355" s="93"/>
      <c r="F355" s="93"/>
      <c r="G355" s="106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</row>
    <row r="356" ht="21.0" customHeight="1">
      <c r="A356" s="93"/>
      <c r="B356" s="93"/>
      <c r="C356" s="93"/>
      <c r="D356" s="106"/>
      <c r="E356" s="93"/>
      <c r="F356" s="93"/>
      <c r="G356" s="106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</row>
    <row r="357" ht="21.0" customHeight="1">
      <c r="A357" s="93"/>
      <c r="B357" s="93"/>
      <c r="C357" s="93"/>
      <c r="D357" s="106"/>
      <c r="E357" s="93"/>
      <c r="F357" s="93"/>
      <c r="G357" s="106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</row>
    <row r="358" ht="21.0" customHeight="1">
      <c r="A358" s="93"/>
      <c r="B358" s="93"/>
      <c r="C358" s="93"/>
      <c r="D358" s="106"/>
      <c r="E358" s="93"/>
      <c r="F358" s="93"/>
      <c r="G358" s="106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</row>
    <row r="359" ht="21.0" customHeight="1">
      <c r="A359" s="93"/>
      <c r="B359" s="93"/>
      <c r="C359" s="93"/>
      <c r="D359" s="106"/>
      <c r="E359" s="93"/>
      <c r="F359" s="93"/>
      <c r="G359" s="106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</row>
    <row r="360" ht="21.0" customHeight="1">
      <c r="A360" s="93"/>
      <c r="B360" s="93"/>
      <c r="C360" s="93"/>
      <c r="D360" s="106"/>
      <c r="E360" s="93"/>
      <c r="F360" s="93"/>
      <c r="G360" s="106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</row>
    <row r="361" ht="21.0" customHeight="1">
      <c r="A361" s="93"/>
      <c r="B361" s="93"/>
      <c r="C361" s="93"/>
      <c r="D361" s="106"/>
      <c r="E361" s="93"/>
      <c r="F361" s="93"/>
      <c r="G361" s="106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</row>
    <row r="362" ht="21.0" customHeight="1">
      <c r="A362" s="93"/>
      <c r="B362" s="93"/>
      <c r="C362" s="93"/>
      <c r="D362" s="106"/>
      <c r="E362" s="93"/>
      <c r="F362" s="93"/>
      <c r="G362" s="106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</row>
    <row r="363" ht="21.0" customHeight="1">
      <c r="A363" s="93"/>
      <c r="B363" s="93"/>
      <c r="C363" s="93"/>
      <c r="D363" s="106"/>
      <c r="E363" s="93"/>
      <c r="F363" s="93"/>
      <c r="G363" s="106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</row>
    <row r="364" ht="21.0" customHeight="1">
      <c r="A364" s="93"/>
      <c r="B364" s="93"/>
      <c r="C364" s="93"/>
      <c r="D364" s="106"/>
      <c r="E364" s="93"/>
      <c r="F364" s="93"/>
      <c r="G364" s="106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</row>
    <row r="365" ht="21.0" customHeight="1">
      <c r="A365" s="93"/>
      <c r="B365" s="93"/>
      <c r="C365" s="93"/>
      <c r="D365" s="106"/>
      <c r="E365" s="93"/>
      <c r="F365" s="93"/>
      <c r="G365" s="106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</row>
    <row r="366" ht="21.0" customHeight="1">
      <c r="A366" s="93"/>
      <c r="B366" s="93"/>
      <c r="C366" s="93"/>
      <c r="D366" s="106"/>
      <c r="E366" s="93"/>
      <c r="F366" s="93"/>
      <c r="G366" s="106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</row>
    <row r="367" ht="21.0" customHeight="1">
      <c r="A367" s="93"/>
      <c r="B367" s="93"/>
      <c r="C367" s="93"/>
      <c r="D367" s="106"/>
      <c r="E367" s="93"/>
      <c r="F367" s="93"/>
      <c r="G367" s="106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</row>
    <row r="368" ht="21.0" customHeight="1">
      <c r="A368" s="93"/>
      <c r="B368" s="93"/>
      <c r="C368" s="93"/>
      <c r="D368" s="106"/>
      <c r="E368" s="93"/>
      <c r="F368" s="93"/>
      <c r="G368" s="106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</row>
    <row r="369" ht="21.0" customHeight="1">
      <c r="A369" s="93"/>
      <c r="B369" s="93"/>
      <c r="C369" s="93"/>
      <c r="D369" s="106"/>
      <c r="E369" s="93"/>
      <c r="F369" s="93"/>
      <c r="G369" s="106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</row>
    <row r="370" ht="21.0" customHeight="1">
      <c r="A370" s="93"/>
      <c r="B370" s="93"/>
      <c r="C370" s="93"/>
      <c r="D370" s="106"/>
      <c r="E370" s="93"/>
      <c r="F370" s="93"/>
      <c r="G370" s="106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</row>
    <row r="371" ht="21.0" customHeight="1">
      <c r="A371" s="93"/>
      <c r="B371" s="93"/>
      <c r="C371" s="93"/>
      <c r="D371" s="106"/>
      <c r="E371" s="93"/>
      <c r="F371" s="93"/>
      <c r="G371" s="106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</row>
    <row r="372" ht="21.0" customHeight="1">
      <c r="A372" s="93"/>
      <c r="B372" s="93"/>
      <c r="C372" s="93"/>
      <c r="D372" s="106"/>
      <c r="E372" s="93"/>
      <c r="F372" s="93"/>
      <c r="G372" s="106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</row>
    <row r="373" ht="21.0" customHeight="1">
      <c r="A373" s="93"/>
      <c r="B373" s="93"/>
      <c r="C373" s="93"/>
      <c r="D373" s="106"/>
      <c r="E373" s="93"/>
      <c r="F373" s="93"/>
      <c r="G373" s="106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</row>
    <row r="374" ht="21.0" customHeight="1">
      <c r="A374" s="93"/>
      <c r="B374" s="93"/>
      <c r="C374" s="93"/>
      <c r="D374" s="106"/>
      <c r="E374" s="93"/>
      <c r="F374" s="93"/>
      <c r="G374" s="106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</row>
    <row r="375" ht="21.0" customHeight="1">
      <c r="A375" s="93"/>
      <c r="B375" s="93"/>
      <c r="C375" s="93"/>
      <c r="D375" s="106"/>
      <c r="E375" s="93"/>
      <c r="F375" s="93"/>
      <c r="G375" s="106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</row>
    <row r="376" ht="21.0" customHeight="1">
      <c r="A376" s="93"/>
      <c r="B376" s="93"/>
      <c r="C376" s="93"/>
      <c r="D376" s="106"/>
      <c r="E376" s="93"/>
      <c r="F376" s="93"/>
      <c r="G376" s="106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</row>
    <row r="377" ht="21.0" customHeight="1">
      <c r="A377" s="93"/>
      <c r="B377" s="93"/>
      <c r="C377" s="93"/>
      <c r="D377" s="106"/>
      <c r="E377" s="93"/>
      <c r="F377" s="93"/>
      <c r="G377" s="106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</row>
    <row r="378" ht="21.0" customHeight="1">
      <c r="A378" s="93"/>
      <c r="B378" s="93"/>
      <c r="C378" s="93"/>
      <c r="D378" s="106"/>
      <c r="E378" s="93"/>
      <c r="F378" s="93"/>
      <c r="G378" s="106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</row>
    <row r="379" ht="21.0" customHeight="1">
      <c r="A379" s="93"/>
      <c r="B379" s="93"/>
      <c r="C379" s="93"/>
      <c r="D379" s="106"/>
      <c r="E379" s="93"/>
      <c r="F379" s="93"/>
      <c r="G379" s="106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</row>
    <row r="380" ht="21.0" customHeight="1">
      <c r="A380" s="93"/>
      <c r="B380" s="93"/>
      <c r="C380" s="93"/>
      <c r="D380" s="106"/>
      <c r="E380" s="93"/>
      <c r="F380" s="93"/>
      <c r="G380" s="106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</row>
    <row r="381" ht="21.0" customHeight="1">
      <c r="A381" s="93"/>
      <c r="B381" s="93"/>
      <c r="C381" s="93"/>
      <c r="D381" s="106"/>
      <c r="E381" s="93"/>
      <c r="F381" s="93"/>
      <c r="G381" s="106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</row>
    <row r="382" ht="21.0" customHeight="1">
      <c r="A382" s="93"/>
      <c r="B382" s="93"/>
      <c r="C382" s="93"/>
      <c r="D382" s="106"/>
      <c r="E382" s="93"/>
      <c r="F382" s="93"/>
      <c r="G382" s="106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</row>
    <row r="383" ht="21.0" customHeight="1">
      <c r="A383" s="93"/>
      <c r="B383" s="93"/>
      <c r="C383" s="93"/>
      <c r="D383" s="106"/>
      <c r="E383" s="93"/>
      <c r="F383" s="93"/>
      <c r="G383" s="106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</row>
    <row r="384" ht="21.0" customHeight="1">
      <c r="A384" s="93"/>
      <c r="B384" s="93"/>
      <c r="C384" s="93"/>
      <c r="D384" s="106"/>
      <c r="E384" s="93"/>
      <c r="F384" s="93"/>
      <c r="G384" s="106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</row>
    <row r="385" ht="21.0" customHeight="1">
      <c r="A385" s="93"/>
      <c r="B385" s="93"/>
      <c r="C385" s="93"/>
      <c r="D385" s="106"/>
      <c r="E385" s="93"/>
      <c r="F385" s="93"/>
      <c r="G385" s="106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</row>
    <row r="386" ht="21.0" customHeight="1">
      <c r="A386" s="93"/>
      <c r="B386" s="93"/>
      <c r="C386" s="93"/>
      <c r="D386" s="106"/>
      <c r="E386" s="93"/>
      <c r="F386" s="93"/>
      <c r="G386" s="106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</row>
    <row r="387" ht="21.0" customHeight="1">
      <c r="A387" s="93"/>
      <c r="B387" s="93"/>
      <c r="C387" s="93"/>
      <c r="D387" s="106"/>
      <c r="E387" s="93"/>
      <c r="F387" s="93"/>
      <c r="G387" s="106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</row>
    <row r="388" ht="21.0" customHeight="1">
      <c r="A388" s="93"/>
      <c r="B388" s="93"/>
      <c r="C388" s="93"/>
      <c r="D388" s="106"/>
      <c r="E388" s="93"/>
      <c r="F388" s="93"/>
      <c r="G388" s="106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</row>
    <row r="389" ht="21.0" customHeight="1">
      <c r="A389" s="93"/>
      <c r="B389" s="93"/>
      <c r="C389" s="93"/>
      <c r="D389" s="106"/>
      <c r="E389" s="93"/>
      <c r="F389" s="93"/>
      <c r="G389" s="106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</row>
    <row r="390" ht="21.0" customHeight="1">
      <c r="A390" s="93"/>
      <c r="B390" s="93"/>
      <c r="C390" s="93"/>
      <c r="D390" s="106"/>
      <c r="E390" s="93"/>
      <c r="F390" s="93"/>
      <c r="G390" s="106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</row>
    <row r="391" ht="21.0" customHeight="1">
      <c r="A391" s="93"/>
      <c r="B391" s="93"/>
      <c r="C391" s="93"/>
      <c r="D391" s="106"/>
      <c r="E391" s="93"/>
      <c r="F391" s="93"/>
      <c r="G391" s="106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</row>
    <row r="392" ht="21.0" customHeight="1">
      <c r="A392" s="93"/>
      <c r="B392" s="93"/>
      <c r="C392" s="93"/>
      <c r="D392" s="106"/>
      <c r="E392" s="93"/>
      <c r="F392" s="93"/>
      <c r="G392" s="106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</row>
    <row r="393" ht="21.0" customHeight="1">
      <c r="A393" s="93"/>
      <c r="B393" s="93"/>
      <c r="C393" s="93"/>
      <c r="D393" s="106"/>
      <c r="E393" s="93"/>
      <c r="F393" s="93"/>
      <c r="G393" s="106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</row>
    <row r="394" ht="21.0" customHeight="1">
      <c r="A394" s="93"/>
      <c r="B394" s="93"/>
      <c r="C394" s="93"/>
      <c r="D394" s="106"/>
      <c r="E394" s="93"/>
      <c r="F394" s="93"/>
      <c r="G394" s="106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</row>
    <row r="395" ht="21.0" customHeight="1">
      <c r="A395" s="93"/>
      <c r="B395" s="93"/>
      <c r="C395" s="93"/>
      <c r="D395" s="106"/>
      <c r="E395" s="93"/>
      <c r="F395" s="93"/>
      <c r="G395" s="106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</row>
    <row r="396" ht="21.0" customHeight="1">
      <c r="A396" s="93"/>
      <c r="B396" s="93"/>
      <c r="C396" s="93"/>
      <c r="D396" s="106"/>
      <c r="E396" s="93"/>
      <c r="F396" s="93"/>
      <c r="G396" s="106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</row>
    <row r="397" ht="21.0" customHeight="1">
      <c r="A397" s="93"/>
      <c r="B397" s="93"/>
      <c r="C397" s="93"/>
      <c r="D397" s="106"/>
      <c r="E397" s="93"/>
      <c r="F397" s="93"/>
      <c r="G397" s="106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</row>
    <row r="398" ht="21.0" customHeight="1">
      <c r="A398" s="93"/>
      <c r="B398" s="93"/>
      <c r="C398" s="93"/>
      <c r="D398" s="106"/>
      <c r="E398" s="93"/>
      <c r="F398" s="93"/>
      <c r="G398" s="106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</row>
    <row r="399" ht="21.0" customHeight="1">
      <c r="A399" s="93"/>
      <c r="B399" s="93"/>
      <c r="C399" s="93"/>
      <c r="D399" s="106"/>
      <c r="E399" s="93"/>
      <c r="F399" s="93"/>
      <c r="G399" s="106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</row>
    <row r="400" ht="21.0" customHeight="1">
      <c r="A400" s="93"/>
      <c r="B400" s="93"/>
      <c r="C400" s="93"/>
      <c r="D400" s="106"/>
      <c r="E400" s="93"/>
      <c r="F400" s="93"/>
      <c r="G400" s="106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</row>
    <row r="401" ht="21.0" customHeight="1">
      <c r="A401" s="93"/>
      <c r="B401" s="93"/>
      <c r="C401" s="93"/>
      <c r="D401" s="106"/>
      <c r="E401" s="93"/>
      <c r="F401" s="93"/>
      <c r="G401" s="106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</row>
    <row r="402" ht="21.0" customHeight="1">
      <c r="A402" s="93"/>
      <c r="B402" s="93"/>
      <c r="C402" s="93"/>
      <c r="D402" s="106"/>
      <c r="E402" s="93"/>
      <c r="F402" s="93"/>
      <c r="G402" s="106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</row>
    <row r="403" ht="21.0" customHeight="1">
      <c r="A403" s="93"/>
      <c r="B403" s="93"/>
      <c r="C403" s="93"/>
      <c r="D403" s="106"/>
      <c r="E403" s="93"/>
      <c r="F403" s="93"/>
      <c r="G403" s="106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</row>
    <row r="404" ht="21.0" customHeight="1">
      <c r="A404" s="93"/>
      <c r="B404" s="93"/>
      <c r="C404" s="93"/>
      <c r="D404" s="106"/>
      <c r="E404" s="93"/>
      <c r="F404" s="93"/>
      <c r="G404" s="106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</row>
    <row r="405" ht="21.0" customHeight="1">
      <c r="A405" s="93"/>
      <c r="B405" s="93"/>
      <c r="C405" s="93"/>
      <c r="D405" s="106"/>
      <c r="E405" s="93"/>
      <c r="F405" s="93"/>
      <c r="G405" s="106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</row>
    <row r="406" ht="21.0" customHeight="1">
      <c r="A406" s="93"/>
      <c r="B406" s="93"/>
      <c r="C406" s="93"/>
      <c r="D406" s="106"/>
      <c r="E406" s="93"/>
      <c r="F406" s="93"/>
      <c r="G406" s="106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</row>
    <row r="407" ht="21.0" customHeight="1">
      <c r="A407" s="93"/>
      <c r="B407" s="93"/>
      <c r="C407" s="93"/>
      <c r="D407" s="106"/>
      <c r="E407" s="93"/>
      <c r="F407" s="93"/>
      <c r="G407" s="106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</row>
    <row r="408" ht="21.0" customHeight="1">
      <c r="A408" s="93"/>
      <c r="B408" s="93"/>
      <c r="C408" s="93"/>
      <c r="D408" s="106"/>
      <c r="E408" s="93"/>
      <c r="F408" s="93"/>
      <c r="G408" s="106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</row>
    <row r="409" ht="21.0" customHeight="1">
      <c r="A409" s="93"/>
      <c r="B409" s="93"/>
      <c r="C409" s="93"/>
      <c r="D409" s="106"/>
      <c r="E409" s="93"/>
      <c r="F409" s="93"/>
      <c r="G409" s="106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</row>
    <row r="410" ht="21.0" customHeight="1">
      <c r="A410" s="93"/>
      <c r="B410" s="93"/>
      <c r="C410" s="93"/>
      <c r="D410" s="106"/>
      <c r="E410" s="93"/>
      <c r="F410" s="93"/>
      <c r="G410" s="106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</row>
    <row r="411" ht="21.0" customHeight="1">
      <c r="A411" s="93"/>
      <c r="B411" s="93"/>
      <c r="C411" s="93"/>
      <c r="D411" s="106"/>
      <c r="E411" s="93"/>
      <c r="F411" s="93"/>
      <c r="G411" s="106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</row>
    <row r="412" ht="21.0" customHeight="1">
      <c r="A412" s="93"/>
      <c r="B412" s="93"/>
      <c r="C412" s="93"/>
      <c r="D412" s="106"/>
      <c r="E412" s="93"/>
      <c r="F412" s="93"/>
      <c r="G412" s="106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</row>
    <row r="413" ht="21.0" customHeight="1">
      <c r="A413" s="93"/>
      <c r="B413" s="93"/>
      <c r="C413" s="93"/>
      <c r="D413" s="106"/>
      <c r="E413" s="93"/>
      <c r="F413" s="93"/>
      <c r="G413" s="106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</row>
    <row r="414" ht="21.0" customHeight="1">
      <c r="A414" s="93"/>
      <c r="B414" s="93"/>
      <c r="C414" s="93"/>
      <c r="D414" s="106"/>
      <c r="E414" s="93"/>
      <c r="F414" s="93"/>
      <c r="G414" s="106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</row>
    <row r="415" ht="21.0" customHeight="1">
      <c r="A415" s="93"/>
      <c r="B415" s="93"/>
      <c r="C415" s="93"/>
      <c r="D415" s="106"/>
      <c r="E415" s="93"/>
      <c r="F415" s="93"/>
      <c r="G415" s="106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</row>
    <row r="416" ht="21.0" customHeight="1">
      <c r="A416" s="93"/>
      <c r="B416" s="93"/>
      <c r="C416" s="93"/>
      <c r="D416" s="106"/>
      <c r="E416" s="93"/>
      <c r="F416" s="93"/>
      <c r="G416" s="106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</row>
    <row r="417" ht="21.0" customHeight="1">
      <c r="A417" s="93"/>
      <c r="B417" s="93"/>
      <c r="C417" s="93"/>
      <c r="D417" s="106"/>
      <c r="E417" s="93"/>
      <c r="F417" s="93"/>
      <c r="G417" s="106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</row>
    <row r="418" ht="21.0" customHeight="1">
      <c r="A418" s="93"/>
      <c r="B418" s="93"/>
      <c r="C418" s="93"/>
      <c r="D418" s="106"/>
      <c r="E418" s="93"/>
      <c r="F418" s="93"/>
      <c r="G418" s="106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</row>
    <row r="419" ht="21.0" customHeight="1">
      <c r="A419" s="93"/>
      <c r="B419" s="93"/>
      <c r="C419" s="93"/>
      <c r="D419" s="106"/>
      <c r="E419" s="93"/>
      <c r="F419" s="93"/>
      <c r="G419" s="106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</row>
    <row r="420" ht="21.0" customHeight="1">
      <c r="A420" s="93"/>
      <c r="B420" s="93"/>
      <c r="C420" s="93"/>
      <c r="D420" s="106"/>
      <c r="E420" s="93"/>
      <c r="F420" s="93"/>
      <c r="G420" s="106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</row>
    <row r="421" ht="21.0" customHeight="1">
      <c r="A421" s="93"/>
      <c r="B421" s="93"/>
      <c r="C421" s="93"/>
      <c r="D421" s="106"/>
      <c r="E421" s="93"/>
      <c r="F421" s="93"/>
      <c r="G421" s="106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</row>
    <row r="422" ht="21.0" customHeight="1">
      <c r="A422" s="93"/>
      <c r="B422" s="93"/>
      <c r="C422" s="93"/>
      <c r="D422" s="106"/>
      <c r="E422" s="93"/>
      <c r="F422" s="93"/>
      <c r="G422" s="106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</row>
    <row r="423" ht="21.0" customHeight="1">
      <c r="A423" s="93"/>
      <c r="B423" s="93"/>
      <c r="C423" s="93"/>
      <c r="D423" s="106"/>
      <c r="E423" s="93"/>
      <c r="F423" s="93"/>
      <c r="G423" s="106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</row>
    <row r="424" ht="21.0" customHeight="1">
      <c r="A424" s="93"/>
      <c r="B424" s="93"/>
      <c r="C424" s="93"/>
      <c r="D424" s="106"/>
      <c r="E424" s="93"/>
      <c r="F424" s="93"/>
      <c r="G424" s="106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</row>
    <row r="425" ht="21.0" customHeight="1">
      <c r="A425" s="93"/>
      <c r="B425" s="93"/>
      <c r="C425" s="93"/>
      <c r="D425" s="106"/>
      <c r="E425" s="93"/>
      <c r="F425" s="93"/>
      <c r="G425" s="106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</row>
    <row r="426" ht="21.0" customHeight="1">
      <c r="A426" s="93"/>
      <c r="B426" s="93"/>
      <c r="C426" s="93"/>
      <c r="D426" s="106"/>
      <c r="E426" s="93"/>
      <c r="F426" s="93"/>
      <c r="G426" s="106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</row>
    <row r="427" ht="21.0" customHeight="1">
      <c r="A427" s="93"/>
      <c r="B427" s="93"/>
      <c r="C427" s="93"/>
      <c r="D427" s="106"/>
      <c r="E427" s="93"/>
      <c r="F427" s="93"/>
      <c r="G427" s="106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</row>
    <row r="428" ht="21.0" customHeight="1">
      <c r="A428" s="93"/>
      <c r="B428" s="93"/>
      <c r="C428" s="93"/>
      <c r="D428" s="106"/>
      <c r="E428" s="93"/>
      <c r="F428" s="93"/>
      <c r="G428" s="106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</row>
    <row r="429" ht="21.0" customHeight="1">
      <c r="A429" s="93"/>
      <c r="B429" s="93"/>
      <c r="C429" s="93"/>
      <c r="D429" s="106"/>
      <c r="E429" s="93"/>
      <c r="F429" s="93"/>
      <c r="G429" s="106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</row>
    <row r="430" ht="21.0" customHeight="1">
      <c r="A430" s="93"/>
      <c r="B430" s="93"/>
      <c r="C430" s="93"/>
      <c r="D430" s="106"/>
      <c r="E430" s="93"/>
      <c r="F430" s="93"/>
      <c r="G430" s="106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</row>
    <row r="431" ht="21.0" customHeight="1">
      <c r="A431" s="93"/>
      <c r="B431" s="93"/>
      <c r="C431" s="93"/>
      <c r="D431" s="106"/>
      <c r="E431" s="93"/>
      <c r="F431" s="93"/>
      <c r="G431" s="106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</row>
    <row r="432" ht="21.0" customHeight="1">
      <c r="A432" s="93"/>
      <c r="B432" s="93"/>
      <c r="C432" s="93"/>
      <c r="D432" s="106"/>
      <c r="E432" s="93"/>
      <c r="F432" s="93"/>
      <c r="G432" s="106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</row>
    <row r="433" ht="21.0" customHeight="1">
      <c r="A433" s="93"/>
      <c r="B433" s="93"/>
      <c r="C433" s="93"/>
      <c r="D433" s="106"/>
      <c r="E433" s="93"/>
      <c r="F433" s="93"/>
      <c r="G433" s="106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</row>
    <row r="434" ht="21.0" customHeight="1">
      <c r="A434" s="93"/>
      <c r="B434" s="93"/>
      <c r="C434" s="93"/>
      <c r="D434" s="106"/>
      <c r="E434" s="93"/>
      <c r="F434" s="93"/>
      <c r="G434" s="106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</row>
    <row r="435" ht="21.0" customHeight="1">
      <c r="A435" s="93"/>
      <c r="B435" s="93"/>
      <c r="C435" s="93"/>
      <c r="D435" s="106"/>
      <c r="E435" s="93"/>
      <c r="F435" s="93"/>
      <c r="G435" s="106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</row>
    <row r="436" ht="21.0" customHeight="1">
      <c r="A436" s="93"/>
      <c r="B436" s="93"/>
      <c r="C436" s="93"/>
      <c r="D436" s="106"/>
      <c r="E436" s="93"/>
      <c r="F436" s="93"/>
      <c r="G436" s="106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</row>
    <row r="437" ht="21.0" customHeight="1">
      <c r="A437" s="93"/>
      <c r="B437" s="93"/>
      <c r="C437" s="93"/>
      <c r="D437" s="106"/>
      <c r="E437" s="93"/>
      <c r="F437" s="93"/>
      <c r="G437" s="106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</row>
    <row r="438" ht="21.0" customHeight="1">
      <c r="A438" s="93"/>
      <c r="B438" s="93"/>
      <c r="C438" s="93"/>
      <c r="D438" s="106"/>
      <c r="E438" s="93"/>
      <c r="F438" s="93"/>
      <c r="G438" s="106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</row>
    <row r="439" ht="21.0" customHeight="1">
      <c r="A439" s="93"/>
      <c r="B439" s="93"/>
      <c r="C439" s="93"/>
      <c r="D439" s="106"/>
      <c r="E439" s="93"/>
      <c r="F439" s="93"/>
      <c r="G439" s="106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</row>
    <row r="440" ht="21.0" customHeight="1">
      <c r="A440" s="93"/>
      <c r="B440" s="93"/>
      <c r="C440" s="93"/>
      <c r="D440" s="106"/>
      <c r="E440" s="93"/>
      <c r="F440" s="93"/>
      <c r="G440" s="106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</row>
    <row r="441" ht="21.0" customHeight="1">
      <c r="A441" s="93"/>
      <c r="B441" s="93"/>
      <c r="C441" s="93"/>
      <c r="D441" s="106"/>
      <c r="E441" s="93"/>
      <c r="F441" s="93"/>
      <c r="G441" s="106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</row>
    <row r="442" ht="21.0" customHeight="1">
      <c r="A442" s="93"/>
      <c r="B442" s="93"/>
      <c r="C442" s="93"/>
      <c r="D442" s="106"/>
      <c r="E442" s="93"/>
      <c r="F442" s="93"/>
      <c r="G442" s="106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</row>
    <row r="443" ht="21.0" customHeight="1">
      <c r="A443" s="93"/>
      <c r="B443" s="93"/>
      <c r="C443" s="93"/>
      <c r="D443" s="106"/>
      <c r="E443" s="93"/>
      <c r="F443" s="93"/>
      <c r="G443" s="106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</row>
    <row r="444" ht="21.0" customHeight="1">
      <c r="A444" s="93"/>
      <c r="B444" s="93"/>
      <c r="C444" s="93"/>
      <c r="D444" s="106"/>
      <c r="E444" s="93"/>
      <c r="F444" s="93"/>
      <c r="G444" s="106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</row>
    <row r="445" ht="21.0" customHeight="1">
      <c r="A445" s="93"/>
      <c r="B445" s="93"/>
      <c r="C445" s="93"/>
      <c r="D445" s="106"/>
      <c r="E445" s="93"/>
      <c r="F445" s="93"/>
      <c r="G445" s="106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</row>
    <row r="446" ht="21.0" customHeight="1">
      <c r="A446" s="93"/>
      <c r="B446" s="93"/>
      <c r="C446" s="93"/>
      <c r="D446" s="106"/>
      <c r="E446" s="93"/>
      <c r="F446" s="93"/>
      <c r="G446" s="106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</row>
    <row r="447" ht="21.0" customHeight="1">
      <c r="A447" s="93"/>
      <c r="B447" s="93"/>
      <c r="C447" s="93"/>
      <c r="D447" s="106"/>
      <c r="E447" s="93"/>
      <c r="F447" s="93"/>
      <c r="G447" s="106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</row>
    <row r="448" ht="21.0" customHeight="1">
      <c r="A448" s="93"/>
      <c r="B448" s="93"/>
      <c r="C448" s="93"/>
      <c r="D448" s="106"/>
      <c r="E448" s="93"/>
      <c r="F448" s="93"/>
      <c r="G448" s="106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</row>
    <row r="449" ht="21.0" customHeight="1">
      <c r="A449" s="93"/>
      <c r="B449" s="93"/>
      <c r="C449" s="93"/>
      <c r="D449" s="106"/>
      <c r="E449" s="93"/>
      <c r="F449" s="93"/>
      <c r="G449" s="106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</row>
    <row r="450" ht="21.0" customHeight="1">
      <c r="A450" s="93"/>
      <c r="B450" s="93"/>
      <c r="C450" s="93"/>
      <c r="D450" s="106"/>
      <c r="E450" s="93"/>
      <c r="F450" s="93"/>
      <c r="G450" s="106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</row>
    <row r="451" ht="21.0" customHeight="1">
      <c r="A451" s="93"/>
      <c r="B451" s="93"/>
      <c r="C451" s="93"/>
      <c r="D451" s="106"/>
      <c r="E451" s="93"/>
      <c r="F451" s="93"/>
      <c r="G451" s="106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</row>
    <row r="452" ht="21.0" customHeight="1">
      <c r="A452" s="93"/>
      <c r="B452" s="93"/>
      <c r="C452" s="93"/>
      <c r="D452" s="106"/>
      <c r="E452" s="93"/>
      <c r="F452" s="93"/>
      <c r="G452" s="106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</row>
    <row r="453" ht="21.0" customHeight="1">
      <c r="A453" s="93"/>
      <c r="B453" s="93"/>
      <c r="C453" s="93"/>
      <c r="D453" s="106"/>
      <c r="E453" s="93"/>
      <c r="F453" s="93"/>
      <c r="G453" s="106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</row>
    <row r="454" ht="21.0" customHeight="1">
      <c r="A454" s="93"/>
      <c r="B454" s="93"/>
      <c r="C454" s="93"/>
      <c r="D454" s="106"/>
      <c r="E454" s="93"/>
      <c r="F454" s="93"/>
      <c r="G454" s="106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</row>
    <row r="455" ht="21.0" customHeight="1">
      <c r="A455" s="93"/>
      <c r="B455" s="93"/>
      <c r="C455" s="93"/>
      <c r="D455" s="106"/>
      <c r="E455" s="93"/>
      <c r="F455" s="93"/>
      <c r="G455" s="106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</row>
    <row r="456" ht="21.0" customHeight="1">
      <c r="A456" s="93"/>
      <c r="B456" s="93"/>
      <c r="C456" s="93"/>
      <c r="D456" s="106"/>
      <c r="E456" s="93"/>
      <c r="F456" s="93"/>
      <c r="G456" s="106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</row>
    <row r="457" ht="21.0" customHeight="1">
      <c r="A457" s="93"/>
      <c r="B457" s="93"/>
      <c r="C457" s="93"/>
      <c r="D457" s="106"/>
      <c r="E457" s="93"/>
      <c r="F457" s="93"/>
      <c r="G457" s="106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</row>
    <row r="458" ht="21.0" customHeight="1">
      <c r="A458" s="93"/>
      <c r="B458" s="93"/>
      <c r="C458" s="93"/>
      <c r="D458" s="106"/>
      <c r="E458" s="93"/>
      <c r="F458" s="93"/>
      <c r="G458" s="106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</row>
    <row r="459" ht="21.0" customHeight="1">
      <c r="A459" s="93"/>
      <c r="B459" s="93"/>
      <c r="C459" s="93"/>
      <c r="D459" s="106"/>
      <c r="E459" s="93"/>
      <c r="F459" s="93"/>
      <c r="G459" s="106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</row>
    <row r="460" ht="21.0" customHeight="1">
      <c r="A460" s="93"/>
      <c r="B460" s="93"/>
      <c r="C460" s="93"/>
      <c r="D460" s="106"/>
      <c r="E460" s="93"/>
      <c r="F460" s="93"/>
      <c r="G460" s="106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</row>
    <row r="461" ht="21.0" customHeight="1">
      <c r="A461" s="93"/>
      <c r="B461" s="93"/>
      <c r="C461" s="93"/>
      <c r="D461" s="106"/>
      <c r="E461" s="93"/>
      <c r="F461" s="93"/>
      <c r="G461" s="106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</row>
    <row r="462" ht="21.0" customHeight="1">
      <c r="A462" s="93"/>
      <c r="B462" s="93"/>
      <c r="C462" s="93"/>
      <c r="D462" s="106"/>
      <c r="E462" s="93"/>
      <c r="F462" s="93"/>
      <c r="G462" s="106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</row>
    <row r="463" ht="21.0" customHeight="1">
      <c r="A463" s="93"/>
      <c r="B463" s="93"/>
      <c r="C463" s="93"/>
      <c r="D463" s="106"/>
      <c r="E463" s="93"/>
      <c r="F463" s="93"/>
      <c r="G463" s="106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</row>
    <row r="464" ht="21.0" customHeight="1">
      <c r="A464" s="93"/>
      <c r="B464" s="93"/>
      <c r="C464" s="93"/>
      <c r="D464" s="106"/>
      <c r="E464" s="93"/>
      <c r="F464" s="93"/>
      <c r="G464" s="106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</row>
    <row r="465" ht="21.0" customHeight="1">
      <c r="A465" s="93"/>
      <c r="B465" s="93"/>
      <c r="C465" s="93"/>
      <c r="D465" s="106"/>
      <c r="E465" s="93"/>
      <c r="F465" s="93"/>
      <c r="G465" s="106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</row>
    <row r="466" ht="21.0" customHeight="1">
      <c r="A466" s="93"/>
      <c r="B466" s="93"/>
      <c r="C466" s="93"/>
      <c r="D466" s="106"/>
      <c r="E466" s="93"/>
      <c r="F466" s="93"/>
      <c r="G466" s="106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</row>
    <row r="467" ht="21.0" customHeight="1">
      <c r="A467" s="93"/>
      <c r="B467" s="93"/>
      <c r="C467" s="93"/>
      <c r="D467" s="106"/>
      <c r="E467" s="93"/>
      <c r="F467" s="93"/>
      <c r="G467" s="106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</row>
    <row r="468" ht="21.0" customHeight="1">
      <c r="A468" s="93"/>
      <c r="B468" s="93"/>
      <c r="C468" s="93"/>
      <c r="D468" s="106"/>
      <c r="E468" s="93"/>
      <c r="F468" s="93"/>
      <c r="G468" s="106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</row>
    <row r="469" ht="21.0" customHeight="1">
      <c r="A469" s="93"/>
      <c r="B469" s="93"/>
      <c r="C469" s="93"/>
      <c r="D469" s="106"/>
      <c r="E469" s="93"/>
      <c r="F469" s="93"/>
      <c r="G469" s="106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</row>
    <row r="470" ht="21.0" customHeight="1">
      <c r="A470" s="93"/>
      <c r="B470" s="93"/>
      <c r="C470" s="93"/>
      <c r="D470" s="106"/>
      <c r="E470" s="93"/>
      <c r="F470" s="93"/>
      <c r="G470" s="106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</row>
    <row r="471" ht="21.0" customHeight="1">
      <c r="A471" s="93"/>
      <c r="B471" s="93"/>
      <c r="C471" s="93"/>
      <c r="D471" s="106"/>
      <c r="E471" s="93"/>
      <c r="F471" s="93"/>
      <c r="G471" s="106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</row>
    <row r="472" ht="21.0" customHeight="1">
      <c r="A472" s="93"/>
      <c r="B472" s="93"/>
      <c r="C472" s="93"/>
      <c r="D472" s="106"/>
      <c r="E472" s="93"/>
      <c r="F472" s="93"/>
      <c r="G472" s="106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</row>
    <row r="473" ht="21.0" customHeight="1">
      <c r="A473" s="93"/>
      <c r="B473" s="93"/>
      <c r="C473" s="93"/>
      <c r="D473" s="106"/>
      <c r="E473" s="93"/>
      <c r="F473" s="93"/>
      <c r="G473" s="106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</row>
    <row r="474" ht="21.0" customHeight="1">
      <c r="A474" s="93"/>
      <c r="B474" s="93"/>
      <c r="C474" s="93"/>
      <c r="D474" s="106"/>
      <c r="E474" s="93"/>
      <c r="F474" s="93"/>
      <c r="G474" s="106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</row>
    <row r="475" ht="21.0" customHeight="1">
      <c r="A475" s="93"/>
      <c r="B475" s="93"/>
      <c r="C475" s="93"/>
      <c r="D475" s="106"/>
      <c r="E475" s="93"/>
      <c r="F475" s="93"/>
      <c r="G475" s="106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</row>
    <row r="476" ht="21.0" customHeight="1">
      <c r="A476" s="93"/>
      <c r="B476" s="93"/>
      <c r="C476" s="93"/>
      <c r="D476" s="106"/>
      <c r="E476" s="93"/>
      <c r="F476" s="93"/>
      <c r="G476" s="106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</row>
    <row r="477" ht="21.0" customHeight="1">
      <c r="A477" s="93"/>
      <c r="B477" s="93"/>
      <c r="C477" s="93"/>
      <c r="D477" s="106"/>
      <c r="E477" s="93"/>
      <c r="F477" s="93"/>
      <c r="G477" s="106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</row>
    <row r="478" ht="21.0" customHeight="1">
      <c r="A478" s="93"/>
      <c r="B478" s="93"/>
      <c r="C478" s="93"/>
      <c r="D478" s="106"/>
      <c r="E478" s="93"/>
      <c r="F478" s="93"/>
      <c r="G478" s="106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</row>
    <row r="479" ht="21.0" customHeight="1">
      <c r="A479" s="93"/>
      <c r="B479" s="93"/>
      <c r="C479" s="93"/>
      <c r="D479" s="106"/>
      <c r="E479" s="93"/>
      <c r="F479" s="93"/>
      <c r="G479" s="106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</row>
    <row r="480" ht="21.0" customHeight="1">
      <c r="A480" s="93"/>
      <c r="B480" s="93"/>
      <c r="C480" s="93"/>
      <c r="D480" s="106"/>
      <c r="E480" s="93"/>
      <c r="F480" s="93"/>
      <c r="G480" s="106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</row>
    <row r="481" ht="21.0" customHeight="1">
      <c r="A481" s="93"/>
      <c r="B481" s="93"/>
      <c r="C481" s="93"/>
      <c r="D481" s="106"/>
      <c r="E481" s="93"/>
      <c r="F481" s="93"/>
      <c r="G481" s="106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</row>
    <row r="482" ht="21.0" customHeight="1">
      <c r="A482" s="93"/>
      <c r="B482" s="93"/>
      <c r="C482" s="93"/>
      <c r="D482" s="106"/>
      <c r="E482" s="93"/>
      <c r="F482" s="93"/>
      <c r="G482" s="106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</row>
    <row r="483" ht="21.0" customHeight="1">
      <c r="A483" s="93"/>
      <c r="B483" s="93"/>
      <c r="C483" s="93"/>
      <c r="D483" s="106"/>
      <c r="E483" s="93"/>
      <c r="F483" s="93"/>
      <c r="G483" s="106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</row>
    <row r="484" ht="21.0" customHeight="1">
      <c r="A484" s="93"/>
      <c r="B484" s="93"/>
      <c r="C484" s="93"/>
      <c r="D484" s="106"/>
      <c r="E484" s="93"/>
      <c r="F484" s="93"/>
      <c r="G484" s="106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</row>
    <row r="485" ht="21.0" customHeight="1">
      <c r="A485" s="93"/>
      <c r="B485" s="93"/>
      <c r="C485" s="93"/>
      <c r="D485" s="106"/>
      <c r="E485" s="93"/>
      <c r="F485" s="93"/>
      <c r="G485" s="106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</row>
    <row r="486" ht="21.0" customHeight="1">
      <c r="A486" s="93"/>
      <c r="B486" s="93"/>
      <c r="C486" s="93"/>
      <c r="D486" s="106"/>
      <c r="E486" s="93"/>
      <c r="F486" s="93"/>
      <c r="G486" s="106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</row>
    <row r="487" ht="21.0" customHeight="1">
      <c r="A487" s="93"/>
      <c r="B487" s="93"/>
      <c r="C487" s="93"/>
      <c r="D487" s="106"/>
      <c r="E487" s="93"/>
      <c r="F487" s="93"/>
      <c r="G487" s="106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</row>
    <row r="488" ht="21.0" customHeight="1">
      <c r="A488" s="93"/>
      <c r="B488" s="93"/>
      <c r="C488" s="93"/>
      <c r="D488" s="106"/>
      <c r="E488" s="93"/>
      <c r="F488" s="93"/>
      <c r="G488" s="106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</row>
    <row r="489" ht="21.0" customHeight="1">
      <c r="A489" s="93"/>
      <c r="B489" s="93"/>
      <c r="C489" s="93"/>
      <c r="D489" s="106"/>
      <c r="E489" s="93"/>
      <c r="F489" s="93"/>
      <c r="G489" s="106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</row>
    <row r="490" ht="21.0" customHeight="1">
      <c r="A490" s="93"/>
      <c r="B490" s="93"/>
      <c r="C490" s="93"/>
      <c r="D490" s="106"/>
      <c r="E490" s="93"/>
      <c r="F490" s="93"/>
      <c r="G490" s="106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</row>
    <row r="491" ht="21.0" customHeight="1">
      <c r="A491" s="93"/>
      <c r="B491" s="93"/>
      <c r="C491" s="93"/>
      <c r="D491" s="106"/>
      <c r="E491" s="93"/>
      <c r="F491" s="93"/>
      <c r="G491" s="106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</row>
    <row r="492" ht="21.0" customHeight="1">
      <c r="A492" s="93"/>
      <c r="B492" s="93"/>
      <c r="C492" s="93"/>
      <c r="D492" s="106"/>
      <c r="E492" s="93"/>
      <c r="F492" s="93"/>
      <c r="G492" s="106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</row>
    <row r="493" ht="21.0" customHeight="1">
      <c r="A493" s="93"/>
      <c r="B493" s="93"/>
      <c r="C493" s="93"/>
      <c r="D493" s="106"/>
      <c r="E493" s="93"/>
      <c r="F493" s="93"/>
      <c r="G493" s="106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</row>
    <row r="494" ht="21.0" customHeight="1">
      <c r="A494" s="93"/>
      <c r="B494" s="93"/>
      <c r="C494" s="93"/>
      <c r="D494" s="106"/>
      <c r="E494" s="93"/>
      <c r="F494" s="93"/>
      <c r="G494" s="106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</row>
    <row r="495" ht="21.0" customHeight="1">
      <c r="A495" s="93"/>
      <c r="B495" s="93"/>
      <c r="C495" s="93"/>
      <c r="D495" s="106"/>
      <c r="E495" s="93"/>
      <c r="F495" s="93"/>
      <c r="G495" s="106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</row>
    <row r="496" ht="21.0" customHeight="1">
      <c r="A496" s="93"/>
      <c r="B496" s="93"/>
      <c r="C496" s="93"/>
      <c r="D496" s="106"/>
      <c r="E496" s="93"/>
      <c r="F496" s="93"/>
      <c r="G496" s="106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</row>
    <row r="497" ht="21.0" customHeight="1">
      <c r="A497" s="93"/>
      <c r="B497" s="93"/>
      <c r="C497" s="93"/>
      <c r="D497" s="106"/>
      <c r="E497" s="93"/>
      <c r="F497" s="93"/>
      <c r="G497" s="106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</row>
    <row r="498" ht="21.0" customHeight="1">
      <c r="A498" s="93"/>
      <c r="B498" s="93"/>
      <c r="C498" s="93"/>
      <c r="D498" s="106"/>
      <c r="E498" s="93"/>
      <c r="F498" s="93"/>
      <c r="G498" s="106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</row>
    <row r="499" ht="21.0" customHeight="1">
      <c r="A499" s="93"/>
      <c r="B499" s="93"/>
      <c r="C499" s="93"/>
      <c r="D499" s="106"/>
      <c r="E499" s="93"/>
      <c r="F499" s="93"/>
      <c r="G499" s="106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</row>
    <row r="500" ht="21.0" customHeight="1">
      <c r="A500" s="93"/>
      <c r="B500" s="93"/>
      <c r="C500" s="93"/>
      <c r="D500" s="106"/>
      <c r="E500" s="93"/>
      <c r="F500" s="93"/>
      <c r="G500" s="106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</row>
    <row r="501" ht="21.0" customHeight="1">
      <c r="A501" s="93"/>
      <c r="B501" s="93"/>
      <c r="C501" s="93"/>
      <c r="D501" s="106"/>
      <c r="E501" s="93"/>
      <c r="F501" s="93"/>
      <c r="G501" s="106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</row>
    <row r="502" ht="21.0" customHeight="1">
      <c r="A502" s="93"/>
      <c r="B502" s="93"/>
      <c r="C502" s="93"/>
      <c r="D502" s="106"/>
      <c r="E502" s="93"/>
      <c r="F502" s="93"/>
      <c r="G502" s="106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</row>
    <row r="503" ht="21.0" customHeight="1">
      <c r="A503" s="93"/>
      <c r="B503" s="93"/>
      <c r="C503" s="93"/>
      <c r="D503" s="106"/>
      <c r="E503" s="93"/>
      <c r="F503" s="93"/>
      <c r="G503" s="106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</row>
    <row r="504" ht="21.0" customHeight="1">
      <c r="A504" s="93"/>
      <c r="B504" s="93"/>
      <c r="C504" s="93"/>
      <c r="D504" s="106"/>
      <c r="E504" s="93"/>
      <c r="F504" s="93"/>
      <c r="G504" s="106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</row>
    <row r="505" ht="21.0" customHeight="1">
      <c r="A505" s="93"/>
      <c r="B505" s="93"/>
      <c r="C505" s="93"/>
      <c r="D505" s="106"/>
      <c r="E505" s="93"/>
      <c r="F505" s="93"/>
      <c r="G505" s="106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</row>
    <row r="506" ht="21.0" customHeight="1">
      <c r="A506" s="93"/>
      <c r="B506" s="93"/>
      <c r="C506" s="93"/>
      <c r="D506" s="106"/>
      <c r="E506" s="93"/>
      <c r="F506" s="93"/>
      <c r="G506" s="106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</row>
    <row r="507" ht="21.0" customHeight="1">
      <c r="A507" s="93"/>
      <c r="B507" s="93"/>
      <c r="C507" s="93"/>
      <c r="D507" s="106"/>
      <c r="E507" s="93"/>
      <c r="F507" s="93"/>
      <c r="G507" s="106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</row>
    <row r="508" ht="21.0" customHeight="1">
      <c r="A508" s="93"/>
      <c r="B508" s="93"/>
      <c r="C508" s="93"/>
      <c r="D508" s="106"/>
      <c r="E508" s="93"/>
      <c r="F508" s="93"/>
      <c r="G508" s="106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</row>
    <row r="509" ht="21.0" customHeight="1">
      <c r="A509" s="93"/>
      <c r="B509" s="93"/>
      <c r="C509" s="93"/>
      <c r="D509" s="106"/>
      <c r="E509" s="93"/>
      <c r="F509" s="93"/>
      <c r="G509" s="106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</row>
    <row r="510" ht="21.0" customHeight="1">
      <c r="A510" s="93"/>
      <c r="B510" s="93"/>
      <c r="C510" s="93"/>
      <c r="D510" s="106"/>
      <c r="E510" s="93"/>
      <c r="F510" s="93"/>
      <c r="G510" s="106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</row>
    <row r="511" ht="21.0" customHeight="1">
      <c r="A511" s="93"/>
      <c r="B511" s="93"/>
      <c r="C511" s="93"/>
      <c r="D511" s="106"/>
      <c r="E511" s="93"/>
      <c r="F511" s="93"/>
      <c r="G511" s="106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</row>
    <row r="512" ht="21.0" customHeight="1">
      <c r="A512" s="93"/>
      <c r="B512" s="93"/>
      <c r="C512" s="93"/>
      <c r="D512" s="106"/>
      <c r="E512" s="93"/>
      <c r="F512" s="93"/>
      <c r="G512" s="106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ht="21.0" customHeight="1">
      <c r="A513" s="93"/>
      <c r="B513" s="93"/>
      <c r="C513" s="93"/>
      <c r="D513" s="106"/>
      <c r="E513" s="93"/>
      <c r="F513" s="93"/>
      <c r="G513" s="106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</row>
    <row r="514" ht="21.0" customHeight="1">
      <c r="A514" s="93"/>
      <c r="B514" s="93"/>
      <c r="C514" s="93"/>
      <c r="D514" s="106"/>
      <c r="E514" s="93"/>
      <c r="F514" s="93"/>
      <c r="G514" s="106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</row>
    <row r="515" ht="21.0" customHeight="1">
      <c r="A515" s="93"/>
      <c r="B515" s="93"/>
      <c r="C515" s="93"/>
      <c r="D515" s="106"/>
      <c r="E515" s="93"/>
      <c r="F515" s="93"/>
      <c r="G515" s="106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</row>
    <row r="516" ht="21.0" customHeight="1">
      <c r="A516" s="93"/>
      <c r="B516" s="93"/>
      <c r="C516" s="93"/>
      <c r="D516" s="106"/>
      <c r="E516" s="93"/>
      <c r="F516" s="93"/>
      <c r="G516" s="106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</row>
    <row r="517" ht="21.0" customHeight="1">
      <c r="A517" s="93"/>
      <c r="B517" s="93"/>
      <c r="C517" s="93"/>
      <c r="D517" s="106"/>
      <c r="E517" s="93"/>
      <c r="F517" s="93"/>
      <c r="G517" s="106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</row>
    <row r="518" ht="21.0" customHeight="1">
      <c r="A518" s="93"/>
      <c r="B518" s="93"/>
      <c r="C518" s="93"/>
      <c r="D518" s="106"/>
      <c r="E518" s="93"/>
      <c r="F518" s="93"/>
      <c r="G518" s="106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</row>
    <row r="519" ht="21.0" customHeight="1">
      <c r="A519" s="93"/>
      <c r="B519" s="93"/>
      <c r="C519" s="93"/>
      <c r="D519" s="106"/>
      <c r="E519" s="93"/>
      <c r="F519" s="93"/>
      <c r="G519" s="106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</row>
    <row r="520" ht="21.0" customHeight="1">
      <c r="A520" s="93"/>
      <c r="B520" s="93"/>
      <c r="C520" s="93"/>
      <c r="D520" s="106"/>
      <c r="E520" s="93"/>
      <c r="F520" s="93"/>
      <c r="G520" s="106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</row>
    <row r="521" ht="21.0" customHeight="1">
      <c r="A521" s="93"/>
      <c r="B521" s="93"/>
      <c r="C521" s="93"/>
      <c r="D521" s="106"/>
      <c r="E521" s="93"/>
      <c r="F521" s="93"/>
      <c r="G521" s="106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</row>
    <row r="522" ht="21.0" customHeight="1">
      <c r="A522" s="93"/>
      <c r="B522" s="93"/>
      <c r="C522" s="93"/>
      <c r="D522" s="106"/>
      <c r="E522" s="93"/>
      <c r="F522" s="93"/>
      <c r="G522" s="106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</row>
    <row r="523" ht="21.0" customHeight="1">
      <c r="A523" s="93"/>
      <c r="B523" s="93"/>
      <c r="C523" s="93"/>
      <c r="D523" s="106"/>
      <c r="E523" s="93"/>
      <c r="F523" s="93"/>
      <c r="G523" s="106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</row>
    <row r="524" ht="21.0" customHeight="1">
      <c r="A524" s="93"/>
      <c r="B524" s="93"/>
      <c r="C524" s="93"/>
      <c r="D524" s="106"/>
      <c r="E524" s="93"/>
      <c r="F524" s="93"/>
      <c r="G524" s="106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</row>
    <row r="525" ht="21.0" customHeight="1">
      <c r="A525" s="93"/>
      <c r="B525" s="93"/>
      <c r="C525" s="93"/>
      <c r="D525" s="106"/>
      <c r="E525" s="93"/>
      <c r="F525" s="93"/>
      <c r="G525" s="106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</row>
    <row r="526" ht="21.0" customHeight="1">
      <c r="A526" s="93"/>
      <c r="B526" s="93"/>
      <c r="C526" s="93"/>
      <c r="D526" s="106"/>
      <c r="E526" s="93"/>
      <c r="F526" s="93"/>
      <c r="G526" s="106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</row>
    <row r="527" ht="21.0" customHeight="1">
      <c r="A527" s="93"/>
      <c r="B527" s="93"/>
      <c r="C527" s="93"/>
      <c r="D527" s="106"/>
      <c r="E527" s="93"/>
      <c r="F527" s="93"/>
      <c r="G527" s="106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</row>
    <row r="528" ht="21.0" customHeight="1">
      <c r="A528" s="93"/>
      <c r="B528" s="93"/>
      <c r="C528" s="93"/>
      <c r="D528" s="106"/>
      <c r="E528" s="93"/>
      <c r="F528" s="93"/>
      <c r="G528" s="106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</row>
    <row r="529" ht="21.0" customHeight="1">
      <c r="A529" s="93"/>
      <c r="B529" s="93"/>
      <c r="C529" s="93"/>
      <c r="D529" s="106"/>
      <c r="E529" s="93"/>
      <c r="F529" s="93"/>
      <c r="G529" s="106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</row>
    <row r="530" ht="21.0" customHeight="1">
      <c r="A530" s="93"/>
      <c r="B530" s="93"/>
      <c r="C530" s="93"/>
      <c r="D530" s="106"/>
      <c r="E530" s="93"/>
      <c r="F530" s="93"/>
      <c r="G530" s="106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</row>
    <row r="531" ht="21.0" customHeight="1">
      <c r="A531" s="93"/>
      <c r="B531" s="93"/>
      <c r="C531" s="93"/>
      <c r="D531" s="106"/>
      <c r="E531" s="93"/>
      <c r="F531" s="93"/>
      <c r="G531" s="106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</row>
    <row r="532" ht="21.0" customHeight="1">
      <c r="A532" s="93"/>
      <c r="B532" s="93"/>
      <c r="C532" s="93"/>
      <c r="D532" s="106"/>
      <c r="E532" s="93"/>
      <c r="F532" s="93"/>
      <c r="G532" s="106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</row>
    <row r="533" ht="21.0" customHeight="1">
      <c r="A533" s="93"/>
      <c r="B533" s="93"/>
      <c r="C533" s="93"/>
      <c r="D533" s="106"/>
      <c r="E533" s="93"/>
      <c r="F533" s="93"/>
      <c r="G533" s="106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</row>
    <row r="534" ht="21.0" customHeight="1">
      <c r="A534" s="93"/>
      <c r="B534" s="93"/>
      <c r="C534" s="93"/>
      <c r="D534" s="106"/>
      <c r="E534" s="93"/>
      <c r="F534" s="93"/>
      <c r="G534" s="106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</row>
    <row r="535" ht="21.0" customHeight="1">
      <c r="A535" s="93"/>
      <c r="B535" s="93"/>
      <c r="C535" s="93"/>
      <c r="D535" s="106"/>
      <c r="E535" s="93"/>
      <c r="F535" s="93"/>
      <c r="G535" s="106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</row>
    <row r="536" ht="21.0" customHeight="1">
      <c r="A536" s="93"/>
      <c r="B536" s="93"/>
      <c r="C536" s="93"/>
      <c r="D536" s="106"/>
      <c r="E536" s="93"/>
      <c r="F536" s="93"/>
      <c r="G536" s="106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</row>
    <row r="537" ht="21.0" customHeight="1">
      <c r="A537" s="93"/>
      <c r="B537" s="93"/>
      <c r="C537" s="93"/>
      <c r="D537" s="106"/>
      <c r="E537" s="93"/>
      <c r="F537" s="93"/>
      <c r="G537" s="106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</row>
    <row r="538" ht="21.0" customHeight="1">
      <c r="A538" s="93"/>
      <c r="B538" s="93"/>
      <c r="C538" s="93"/>
      <c r="D538" s="106"/>
      <c r="E538" s="93"/>
      <c r="F538" s="93"/>
      <c r="G538" s="106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</row>
    <row r="539" ht="21.0" customHeight="1">
      <c r="A539" s="93"/>
      <c r="B539" s="93"/>
      <c r="C539" s="93"/>
      <c r="D539" s="106"/>
      <c r="E539" s="93"/>
      <c r="F539" s="93"/>
      <c r="G539" s="106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</row>
    <row r="540" ht="21.0" customHeight="1">
      <c r="A540" s="93"/>
      <c r="B540" s="93"/>
      <c r="C540" s="93"/>
      <c r="D540" s="106"/>
      <c r="E540" s="93"/>
      <c r="F540" s="93"/>
      <c r="G540" s="106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</row>
    <row r="541" ht="21.0" customHeight="1">
      <c r="A541" s="93"/>
      <c r="B541" s="93"/>
      <c r="C541" s="93"/>
      <c r="D541" s="106"/>
      <c r="E541" s="93"/>
      <c r="F541" s="93"/>
      <c r="G541" s="106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</row>
    <row r="542" ht="21.0" customHeight="1">
      <c r="A542" s="93"/>
      <c r="B542" s="93"/>
      <c r="C542" s="93"/>
      <c r="D542" s="106"/>
      <c r="E542" s="93"/>
      <c r="F542" s="93"/>
      <c r="G542" s="106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</row>
    <row r="543" ht="21.0" customHeight="1">
      <c r="A543" s="93"/>
      <c r="B543" s="93"/>
      <c r="C543" s="93"/>
      <c r="D543" s="106"/>
      <c r="E543" s="93"/>
      <c r="F543" s="93"/>
      <c r="G543" s="106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</row>
    <row r="544" ht="21.0" customHeight="1">
      <c r="A544" s="93"/>
      <c r="B544" s="93"/>
      <c r="C544" s="93"/>
      <c r="D544" s="106"/>
      <c r="E544" s="93"/>
      <c r="F544" s="93"/>
      <c r="G544" s="106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</row>
    <row r="545" ht="21.0" customHeight="1">
      <c r="A545" s="93"/>
      <c r="B545" s="93"/>
      <c r="C545" s="93"/>
      <c r="D545" s="106"/>
      <c r="E545" s="93"/>
      <c r="F545" s="93"/>
      <c r="G545" s="106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</row>
    <row r="546" ht="21.0" customHeight="1">
      <c r="A546" s="93"/>
      <c r="B546" s="93"/>
      <c r="C546" s="93"/>
      <c r="D546" s="106"/>
      <c r="E546" s="93"/>
      <c r="F546" s="93"/>
      <c r="G546" s="106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</row>
    <row r="547" ht="21.0" customHeight="1">
      <c r="A547" s="93"/>
      <c r="B547" s="93"/>
      <c r="C547" s="93"/>
      <c r="D547" s="106"/>
      <c r="E547" s="93"/>
      <c r="F547" s="93"/>
      <c r="G547" s="106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</row>
    <row r="548" ht="21.0" customHeight="1">
      <c r="A548" s="93"/>
      <c r="B548" s="93"/>
      <c r="C548" s="93"/>
      <c r="D548" s="106"/>
      <c r="E548" s="93"/>
      <c r="F548" s="93"/>
      <c r="G548" s="106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</row>
    <row r="549" ht="21.0" customHeight="1">
      <c r="A549" s="93"/>
      <c r="B549" s="93"/>
      <c r="C549" s="93"/>
      <c r="D549" s="106"/>
      <c r="E549" s="93"/>
      <c r="F549" s="93"/>
      <c r="G549" s="106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</row>
    <row r="550" ht="21.0" customHeight="1">
      <c r="A550" s="93"/>
      <c r="B550" s="93"/>
      <c r="C550" s="93"/>
      <c r="D550" s="106"/>
      <c r="E550" s="93"/>
      <c r="F550" s="93"/>
      <c r="G550" s="106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</row>
    <row r="551" ht="21.0" customHeight="1">
      <c r="A551" s="93"/>
      <c r="B551" s="93"/>
      <c r="C551" s="93"/>
      <c r="D551" s="106"/>
      <c r="E551" s="93"/>
      <c r="F551" s="93"/>
      <c r="G551" s="106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</row>
    <row r="552" ht="21.0" customHeight="1">
      <c r="A552" s="93"/>
      <c r="B552" s="93"/>
      <c r="C552" s="93"/>
      <c r="D552" s="106"/>
      <c r="E552" s="93"/>
      <c r="F552" s="93"/>
      <c r="G552" s="106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</row>
    <row r="553" ht="21.0" customHeight="1">
      <c r="A553" s="93"/>
      <c r="B553" s="93"/>
      <c r="C553" s="93"/>
      <c r="D553" s="106"/>
      <c r="E553" s="93"/>
      <c r="F553" s="93"/>
      <c r="G553" s="106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</row>
    <row r="554" ht="21.0" customHeight="1">
      <c r="A554" s="93"/>
      <c r="B554" s="93"/>
      <c r="C554" s="93"/>
      <c r="D554" s="106"/>
      <c r="E554" s="93"/>
      <c r="F554" s="93"/>
      <c r="G554" s="106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</row>
    <row r="555" ht="21.0" customHeight="1">
      <c r="A555" s="93"/>
      <c r="B555" s="93"/>
      <c r="C555" s="93"/>
      <c r="D555" s="106"/>
      <c r="E555" s="93"/>
      <c r="F555" s="93"/>
      <c r="G555" s="106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</row>
    <row r="556" ht="21.0" customHeight="1">
      <c r="A556" s="93"/>
      <c r="B556" s="93"/>
      <c r="C556" s="93"/>
      <c r="D556" s="106"/>
      <c r="E556" s="93"/>
      <c r="F556" s="93"/>
      <c r="G556" s="106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</row>
    <row r="557" ht="21.0" customHeight="1">
      <c r="A557" s="93"/>
      <c r="B557" s="93"/>
      <c r="C557" s="93"/>
      <c r="D557" s="106"/>
      <c r="E557" s="93"/>
      <c r="F557" s="93"/>
      <c r="G557" s="106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</row>
    <row r="558" ht="21.0" customHeight="1">
      <c r="A558" s="93"/>
      <c r="B558" s="93"/>
      <c r="C558" s="93"/>
      <c r="D558" s="106"/>
      <c r="E558" s="93"/>
      <c r="F558" s="93"/>
      <c r="G558" s="106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</row>
    <row r="559" ht="21.0" customHeight="1">
      <c r="A559" s="93"/>
      <c r="B559" s="93"/>
      <c r="C559" s="93"/>
      <c r="D559" s="106"/>
      <c r="E559" s="93"/>
      <c r="F559" s="93"/>
      <c r="G559" s="106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</row>
    <row r="560" ht="21.0" customHeight="1">
      <c r="A560" s="93"/>
      <c r="B560" s="93"/>
      <c r="C560" s="93"/>
      <c r="D560" s="106"/>
      <c r="E560" s="93"/>
      <c r="F560" s="93"/>
      <c r="G560" s="106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</row>
    <row r="561" ht="21.0" customHeight="1">
      <c r="A561" s="93"/>
      <c r="B561" s="93"/>
      <c r="C561" s="93"/>
      <c r="D561" s="106"/>
      <c r="E561" s="93"/>
      <c r="F561" s="93"/>
      <c r="G561" s="106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</row>
    <row r="562" ht="21.0" customHeight="1">
      <c r="A562" s="93"/>
      <c r="B562" s="93"/>
      <c r="C562" s="93"/>
      <c r="D562" s="106"/>
      <c r="E562" s="93"/>
      <c r="F562" s="93"/>
      <c r="G562" s="106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</row>
    <row r="563" ht="21.0" customHeight="1">
      <c r="A563" s="93"/>
      <c r="B563" s="93"/>
      <c r="C563" s="93"/>
      <c r="D563" s="106"/>
      <c r="E563" s="93"/>
      <c r="F563" s="93"/>
      <c r="G563" s="106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</row>
    <row r="564" ht="21.0" customHeight="1">
      <c r="A564" s="93"/>
      <c r="B564" s="93"/>
      <c r="C564" s="93"/>
      <c r="D564" s="106"/>
      <c r="E564" s="93"/>
      <c r="F564" s="93"/>
      <c r="G564" s="106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</row>
    <row r="565" ht="21.0" customHeight="1">
      <c r="A565" s="93"/>
      <c r="B565" s="93"/>
      <c r="C565" s="93"/>
      <c r="D565" s="106"/>
      <c r="E565" s="93"/>
      <c r="F565" s="93"/>
      <c r="G565" s="106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</row>
    <row r="566" ht="21.0" customHeight="1">
      <c r="A566" s="93"/>
      <c r="B566" s="93"/>
      <c r="C566" s="93"/>
      <c r="D566" s="106"/>
      <c r="E566" s="93"/>
      <c r="F566" s="93"/>
      <c r="G566" s="106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</row>
    <row r="567" ht="21.0" customHeight="1">
      <c r="A567" s="93"/>
      <c r="B567" s="93"/>
      <c r="C567" s="93"/>
      <c r="D567" s="106"/>
      <c r="E567" s="93"/>
      <c r="F567" s="93"/>
      <c r="G567" s="106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</row>
    <row r="568" ht="21.0" customHeight="1">
      <c r="A568" s="93"/>
      <c r="B568" s="93"/>
      <c r="C568" s="93"/>
      <c r="D568" s="106"/>
      <c r="E568" s="93"/>
      <c r="F568" s="93"/>
      <c r="G568" s="106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</row>
    <row r="569" ht="21.0" customHeight="1">
      <c r="A569" s="93"/>
      <c r="B569" s="93"/>
      <c r="C569" s="93"/>
      <c r="D569" s="106"/>
      <c r="E569" s="93"/>
      <c r="F569" s="93"/>
      <c r="G569" s="106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</row>
    <row r="570" ht="21.0" customHeight="1">
      <c r="A570" s="93"/>
      <c r="B570" s="93"/>
      <c r="C570" s="93"/>
      <c r="D570" s="106"/>
      <c r="E570" s="93"/>
      <c r="F570" s="93"/>
      <c r="G570" s="106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</row>
    <row r="571" ht="21.0" customHeight="1">
      <c r="A571" s="93"/>
      <c r="B571" s="93"/>
      <c r="C571" s="93"/>
      <c r="D571" s="106"/>
      <c r="E571" s="93"/>
      <c r="F571" s="93"/>
      <c r="G571" s="106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</row>
    <row r="572" ht="21.0" customHeight="1">
      <c r="A572" s="93"/>
      <c r="B572" s="93"/>
      <c r="C572" s="93"/>
      <c r="D572" s="106"/>
      <c r="E572" s="93"/>
      <c r="F572" s="93"/>
      <c r="G572" s="106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</row>
    <row r="573" ht="21.0" customHeight="1">
      <c r="A573" s="93"/>
      <c r="B573" s="93"/>
      <c r="C573" s="93"/>
      <c r="D573" s="106"/>
      <c r="E573" s="93"/>
      <c r="F573" s="93"/>
      <c r="G573" s="106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</row>
    <row r="574" ht="21.0" customHeight="1">
      <c r="A574" s="93"/>
      <c r="B574" s="93"/>
      <c r="C574" s="93"/>
      <c r="D574" s="106"/>
      <c r="E574" s="93"/>
      <c r="F574" s="93"/>
      <c r="G574" s="106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</row>
    <row r="575" ht="21.0" customHeight="1">
      <c r="A575" s="93"/>
      <c r="B575" s="93"/>
      <c r="C575" s="93"/>
      <c r="D575" s="106"/>
      <c r="E575" s="93"/>
      <c r="F575" s="93"/>
      <c r="G575" s="106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</row>
    <row r="576" ht="21.0" customHeight="1">
      <c r="A576" s="93"/>
      <c r="B576" s="93"/>
      <c r="C576" s="93"/>
      <c r="D576" s="106"/>
      <c r="E576" s="93"/>
      <c r="F576" s="93"/>
      <c r="G576" s="106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</row>
    <row r="577" ht="21.0" customHeight="1">
      <c r="A577" s="93"/>
      <c r="B577" s="93"/>
      <c r="C577" s="93"/>
      <c r="D577" s="106"/>
      <c r="E577" s="93"/>
      <c r="F577" s="93"/>
      <c r="G577" s="106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</row>
    <row r="578" ht="21.0" customHeight="1">
      <c r="A578" s="93"/>
      <c r="B578" s="93"/>
      <c r="C578" s="93"/>
      <c r="D578" s="106"/>
      <c r="E578" s="93"/>
      <c r="F578" s="93"/>
      <c r="G578" s="106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</row>
    <row r="579" ht="21.0" customHeight="1">
      <c r="A579" s="93"/>
      <c r="B579" s="93"/>
      <c r="C579" s="93"/>
      <c r="D579" s="106"/>
      <c r="E579" s="93"/>
      <c r="F579" s="93"/>
      <c r="G579" s="106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</row>
    <row r="580" ht="21.0" customHeight="1">
      <c r="A580" s="93"/>
      <c r="B580" s="93"/>
      <c r="C580" s="93"/>
      <c r="D580" s="106"/>
      <c r="E580" s="93"/>
      <c r="F580" s="93"/>
      <c r="G580" s="106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</row>
    <row r="581" ht="21.0" customHeight="1">
      <c r="A581" s="93"/>
      <c r="B581" s="93"/>
      <c r="C581" s="93"/>
      <c r="D581" s="106"/>
      <c r="E581" s="93"/>
      <c r="F581" s="93"/>
      <c r="G581" s="106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</row>
    <row r="582" ht="21.0" customHeight="1">
      <c r="A582" s="93"/>
      <c r="B582" s="93"/>
      <c r="C582" s="93"/>
      <c r="D582" s="106"/>
      <c r="E582" s="93"/>
      <c r="F582" s="93"/>
      <c r="G582" s="106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</row>
    <row r="583" ht="21.0" customHeight="1">
      <c r="A583" s="93"/>
      <c r="B583" s="93"/>
      <c r="C583" s="93"/>
      <c r="D583" s="106"/>
      <c r="E583" s="93"/>
      <c r="F583" s="93"/>
      <c r="G583" s="106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</row>
    <row r="584" ht="21.0" customHeight="1">
      <c r="A584" s="93"/>
      <c r="B584" s="93"/>
      <c r="C584" s="93"/>
      <c r="D584" s="106"/>
      <c r="E584" s="93"/>
      <c r="F584" s="93"/>
      <c r="G584" s="106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</row>
    <row r="585" ht="21.0" customHeight="1">
      <c r="A585" s="93"/>
      <c r="B585" s="93"/>
      <c r="C585" s="93"/>
      <c r="D585" s="106"/>
      <c r="E585" s="93"/>
      <c r="F585" s="93"/>
      <c r="G585" s="106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</row>
    <row r="586" ht="21.0" customHeight="1">
      <c r="A586" s="93"/>
      <c r="B586" s="93"/>
      <c r="C586" s="93"/>
      <c r="D586" s="106"/>
      <c r="E586" s="93"/>
      <c r="F586" s="93"/>
      <c r="G586" s="106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</row>
    <row r="587" ht="21.0" customHeight="1">
      <c r="A587" s="93"/>
      <c r="B587" s="93"/>
      <c r="C587" s="93"/>
      <c r="D587" s="106"/>
      <c r="E587" s="93"/>
      <c r="F587" s="93"/>
      <c r="G587" s="106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</row>
    <row r="588" ht="21.0" customHeight="1">
      <c r="A588" s="93"/>
      <c r="B588" s="93"/>
      <c r="C588" s="93"/>
      <c r="D588" s="106"/>
      <c r="E588" s="93"/>
      <c r="F588" s="93"/>
      <c r="G588" s="106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</row>
    <row r="589" ht="21.0" customHeight="1">
      <c r="A589" s="93"/>
      <c r="B589" s="93"/>
      <c r="C589" s="93"/>
      <c r="D589" s="106"/>
      <c r="E589" s="93"/>
      <c r="F589" s="93"/>
      <c r="G589" s="106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</row>
    <row r="590" ht="21.0" customHeight="1">
      <c r="A590" s="93"/>
      <c r="B590" s="93"/>
      <c r="C590" s="93"/>
      <c r="D590" s="106"/>
      <c r="E590" s="93"/>
      <c r="F590" s="93"/>
      <c r="G590" s="106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</row>
    <row r="591" ht="21.0" customHeight="1">
      <c r="A591" s="93"/>
      <c r="B591" s="93"/>
      <c r="C591" s="93"/>
      <c r="D591" s="106"/>
      <c r="E591" s="93"/>
      <c r="F591" s="93"/>
      <c r="G591" s="106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</row>
    <row r="592" ht="21.0" customHeight="1">
      <c r="A592" s="93"/>
      <c r="B592" s="93"/>
      <c r="C592" s="93"/>
      <c r="D592" s="106"/>
      <c r="E592" s="93"/>
      <c r="F592" s="93"/>
      <c r="G592" s="106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</row>
    <row r="593" ht="21.0" customHeight="1">
      <c r="A593" s="93"/>
      <c r="B593" s="93"/>
      <c r="C593" s="93"/>
      <c r="D593" s="106"/>
      <c r="E593" s="93"/>
      <c r="F593" s="93"/>
      <c r="G593" s="106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</row>
    <row r="594" ht="21.0" customHeight="1">
      <c r="A594" s="93"/>
      <c r="B594" s="93"/>
      <c r="C594" s="93"/>
      <c r="D594" s="106"/>
      <c r="E594" s="93"/>
      <c r="F594" s="93"/>
      <c r="G594" s="106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</row>
    <row r="595" ht="21.0" customHeight="1">
      <c r="A595" s="93"/>
      <c r="B595" s="93"/>
      <c r="C595" s="93"/>
      <c r="D595" s="106"/>
      <c r="E595" s="93"/>
      <c r="F595" s="93"/>
      <c r="G595" s="106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</row>
    <row r="596" ht="21.0" customHeight="1">
      <c r="A596" s="93"/>
      <c r="B596" s="93"/>
      <c r="C596" s="93"/>
      <c r="D596" s="106"/>
      <c r="E596" s="93"/>
      <c r="F596" s="93"/>
      <c r="G596" s="106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</row>
    <row r="597" ht="21.0" customHeight="1">
      <c r="A597" s="93"/>
      <c r="B597" s="93"/>
      <c r="C597" s="93"/>
      <c r="D597" s="106"/>
      <c r="E597" s="93"/>
      <c r="F597" s="93"/>
      <c r="G597" s="106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</row>
    <row r="598" ht="21.0" customHeight="1">
      <c r="A598" s="93"/>
      <c r="B598" s="93"/>
      <c r="C598" s="93"/>
      <c r="D598" s="106"/>
      <c r="E598" s="93"/>
      <c r="F598" s="93"/>
      <c r="G598" s="106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</row>
    <row r="599" ht="21.0" customHeight="1">
      <c r="A599" s="93"/>
      <c r="B599" s="93"/>
      <c r="C599" s="93"/>
      <c r="D599" s="106"/>
      <c r="E599" s="93"/>
      <c r="F599" s="93"/>
      <c r="G599" s="106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</row>
    <row r="600" ht="21.0" customHeight="1">
      <c r="A600" s="93"/>
      <c r="B600" s="93"/>
      <c r="C600" s="93"/>
      <c r="D600" s="106"/>
      <c r="E600" s="93"/>
      <c r="F600" s="93"/>
      <c r="G600" s="106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</row>
    <row r="601" ht="21.0" customHeight="1">
      <c r="A601" s="93"/>
      <c r="B601" s="93"/>
      <c r="C601" s="93"/>
      <c r="D601" s="106"/>
      <c r="E601" s="93"/>
      <c r="F601" s="93"/>
      <c r="G601" s="106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</row>
    <row r="602" ht="21.0" customHeight="1">
      <c r="A602" s="93"/>
      <c r="B602" s="93"/>
      <c r="C602" s="93"/>
      <c r="D602" s="106"/>
      <c r="E602" s="93"/>
      <c r="F602" s="93"/>
      <c r="G602" s="106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</row>
    <row r="603" ht="21.0" customHeight="1">
      <c r="A603" s="93"/>
      <c r="B603" s="93"/>
      <c r="C603" s="93"/>
      <c r="D603" s="106"/>
      <c r="E603" s="93"/>
      <c r="F603" s="93"/>
      <c r="G603" s="106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</row>
    <row r="604" ht="21.0" customHeight="1">
      <c r="A604" s="93"/>
      <c r="B604" s="93"/>
      <c r="C604" s="93"/>
      <c r="D604" s="106"/>
      <c r="E604" s="93"/>
      <c r="F604" s="93"/>
      <c r="G604" s="106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</row>
    <row r="605" ht="21.0" customHeight="1">
      <c r="A605" s="93"/>
      <c r="B605" s="93"/>
      <c r="C605" s="93"/>
      <c r="D605" s="106"/>
      <c r="E605" s="93"/>
      <c r="F605" s="93"/>
      <c r="G605" s="106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</row>
    <row r="606" ht="21.0" customHeight="1">
      <c r="A606" s="93"/>
      <c r="B606" s="93"/>
      <c r="C606" s="93"/>
      <c r="D606" s="106"/>
      <c r="E606" s="93"/>
      <c r="F606" s="93"/>
      <c r="G606" s="106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</row>
    <row r="607" ht="21.0" customHeight="1">
      <c r="A607" s="93"/>
      <c r="B607" s="93"/>
      <c r="C607" s="93"/>
      <c r="D607" s="106"/>
      <c r="E607" s="93"/>
      <c r="F607" s="93"/>
      <c r="G607" s="106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</row>
    <row r="608" ht="21.0" customHeight="1">
      <c r="A608" s="93"/>
      <c r="B608" s="93"/>
      <c r="C608" s="93"/>
      <c r="D608" s="106"/>
      <c r="E608" s="93"/>
      <c r="F608" s="93"/>
      <c r="G608" s="106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</row>
    <row r="609" ht="21.0" customHeight="1">
      <c r="A609" s="93"/>
      <c r="B609" s="93"/>
      <c r="C609" s="93"/>
      <c r="D609" s="106"/>
      <c r="E609" s="93"/>
      <c r="F609" s="93"/>
      <c r="G609" s="106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</row>
    <row r="610" ht="21.0" customHeight="1">
      <c r="A610" s="93"/>
      <c r="B610" s="93"/>
      <c r="C610" s="93"/>
      <c r="D610" s="106"/>
      <c r="E610" s="93"/>
      <c r="F610" s="93"/>
      <c r="G610" s="106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</row>
    <row r="611" ht="21.0" customHeight="1">
      <c r="A611" s="93"/>
      <c r="B611" s="93"/>
      <c r="C611" s="93"/>
      <c r="D611" s="106"/>
      <c r="E611" s="93"/>
      <c r="F611" s="93"/>
      <c r="G611" s="106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</row>
    <row r="612" ht="21.0" customHeight="1">
      <c r="A612" s="93"/>
      <c r="B612" s="93"/>
      <c r="C612" s="93"/>
      <c r="D612" s="106"/>
      <c r="E612" s="93"/>
      <c r="F612" s="93"/>
      <c r="G612" s="106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</row>
    <row r="613" ht="21.0" customHeight="1">
      <c r="A613" s="93"/>
      <c r="B613" s="93"/>
      <c r="C613" s="93"/>
      <c r="D613" s="106"/>
      <c r="E613" s="93"/>
      <c r="F613" s="93"/>
      <c r="G613" s="106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</row>
    <row r="614" ht="21.0" customHeight="1">
      <c r="A614" s="93"/>
      <c r="B614" s="93"/>
      <c r="C614" s="93"/>
      <c r="D614" s="106"/>
      <c r="E614" s="93"/>
      <c r="F614" s="93"/>
      <c r="G614" s="106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</row>
    <row r="615" ht="21.0" customHeight="1">
      <c r="A615" s="93"/>
      <c r="B615" s="93"/>
      <c r="C615" s="93"/>
      <c r="D615" s="106"/>
      <c r="E615" s="93"/>
      <c r="F615" s="93"/>
      <c r="G615" s="106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</row>
    <row r="616" ht="21.0" customHeight="1">
      <c r="A616" s="93"/>
      <c r="B616" s="93"/>
      <c r="C616" s="93"/>
      <c r="D616" s="106"/>
      <c r="E616" s="93"/>
      <c r="F616" s="93"/>
      <c r="G616" s="106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</row>
    <row r="617" ht="21.0" customHeight="1">
      <c r="A617" s="93"/>
      <c r="B617" s="93"/>
      <c r="C617" s="93"/>
      <c r="D617" s="106"/>
      <c r="E617" s="93"/>
      <c r="F617" s="93"/>
      <c r="G617" s="106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</row>
    <row r="618" ht="21.0" customHeight="1">
      <c r="A618" s="93"/>
      <c r="B618" s="93"/>
      <c r="C618" s="93"/>
      <c r="D618" s="106"/>
      <c r="E618" s="93"/>
      <c r="F618" s="93"/>
      <c r="G618" s="106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</row>
    <row r="619" ht="21.0" customHeight="1">
      <c r="A619" s="93"/>
      <c r="B619" s="93"/>
      <c r="C619" s="93"/>
      <c r="D619" s="106"/>
      <c r="E619" s="93"/>
      <c r="F619" s="93"/>
      <c r="G619" s="106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</row>
    <row r="620" ht="21.0" customHeight="1">
      <c r="A620" s="93"/>
      <c r="B620" s="93"/>
      <c r="C620" s="93"/>
      <c r="D620" s="106"/>
      <c r="E620" s="93"/>
      <c r="F620" s="93"/>
      <c r="G620" s="106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</row>
    <row r="621" ht="21.0" customHeight="1">
      <c r="A621" s="93"/>
      <c r="B621" s="93"/>
      <c r="C621" s="93"/>
      <c r="D621" s="106"/>
      <c r="E621" s="93"/>
      <c r="F621" s="93"/>
      <c r="G621" s="106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</row>
    <row r="622" ht="21.0" customHeight="1">
      <c r="A622" s="93"/>
      <c r="B622" s="93"/>
      <c r="C622" s="93"/>
      <c r="D622" s="106"/>
      <c r="E622" s="93"/>
      <c r="F622" s="93"/>
      <c r="G622" s="106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</row>
    <row r="623" ht="21.0" customHeight="1">
      <c r="A623" s="93"/>
      <c r="B623" s="93"/>
      <c r="C623" s="93"/>
      <c r="D623" s="106"/>
      <c r="E623" s="93"/>
      <c r="F623" s="93"/>
      <c r="G623" s="106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</row>
    <row r="624" ht="21.0" customHeight="1">
      <c r="A624" s="93"/>
      <c r="B624" s="93"/>
      <c r="C624" s="93"/>
      <c r="D624" s="106"/>
      <c r="E624" s="93"/>
      <c r="F624" s="93"/>
      <c r="G624" s="106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</row>
    <row r="625" ht="21.0" customHeight="1">
      <c r="A625" s="93"/>
      <c r="B625" s="93"/>
      <c r="C625" s="93"/>
      <c r="D625" s="106"/>
      <c r="E625" s="93"/>
      <c r="F625" s="93"/>
      <c r="G625" s="106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</row>
    <row r="626" ht="21.0" customHeight="1">
      <c r="A626" s="93"/>
      <c r="B626" s="93"/>
      <c r="C626" s="93"/>
      <c r="D626" s="106"/>
      <c r="E626" s="93"/>
      <c r="F626" s="93"/>
      <c r="G626" s="106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</row>
    <row r="627" ht="21.0" customHeight="1">
      <c r="A627" s="93"/>
      <c r="B627" s="93"/>
      <c r="C627" s="93"/>
      <c r="D627" s="106"/>
      <c r="E627" s="93"/>
      <c r="F627" s="93"/>
      <c r="G627" s="106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</row>
    <row r="628" ht="21.0" customHeight="1">
      <c r="A628" s="93"/>
      <c r="B628" s="93"/>
      <c r="C628" s="93"/>
      <c r="D628" s="106"/>
      <c r="E628" s="93"/>
      <c r="F628" s="93"/>
      <c r="G628" s="106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</row>
    <row r="629" ht="21.0" customHeight="1">
      <c r="A629" s="93"/>
      <c r="B629" s="93"/>
      <c r="C629" s="93"/>
      <c r="D629" s="106"/>
      <c r="E629" s="93"/>
      <c r="F629" s="93"/>
      <c r="G629" s="106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</row>
    <row r="630" ht="21.0" customHeight="1">
      <c r="A630" s="93"/>
      <c r="B630" s="93"/>
      <c r="C630" s="93"/>
      <c r="D630" s="106"/>
      <c r="E630" s="93"/>
      <c r="F630" s="93"/>
      <c r="G630" s="106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</row>
    <row r="631" ht="21.0" customHeight="1">
      <c r="A631" s="93"/>
      <c r="B631" s="93"/>
      <c r="C631" s="93"/>
      <c r="D631" s="106"/>
      <c r="E631" s="93"/>
      <c r="F631" s="93"/>
      <c r="G631" s="106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</row>
    <row r="632" ht="21.0" customHeight="1">
      <c r="A632" s="93"/>
      <c r="B632" s="93"/>
      <c r="C632" s="93"/>
      <c r="D632" s="106"/>
      <c r="E632" s="93"/>
      <c r="F632" s="93"/>
      <c r="G632" s="106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</row>
    <row r="633" ht="21.0" customHeight="1">
      <c r="A633" s="93"/>
      <c r="B633" s="93"/>
      <c r="C633" s="93"/>
      <c r="D633" s="106"/>
      <c r="E633" s="93"/>
      <c r="F633" s="93"/>
      <c r="G633" s="106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</row>
    <row r="634" ht="21.0" customHeight="1">
      <c r="A634" s="93"/>
      <c r="B634" s="93"/>
      <c r="C634" s="93"/>
      <c r="D634" s="106"/>
      <c r="E634" s="93"/>
      <c r="F634" s="93"/>
      <c r="G634" s="106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</row>
    <row r="635" ht="21.0" customHeight="1">
      <c r="A635" s="93"/>
      <c r="B635" s="93"/>
      <c r="C635" s="93"/>
      <c r="D635" s="106"/>
      <c r="E635" s="93"/>
      <c r="F635" s="93"/>
      <c r="G635" s="106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</row>
    <row r="636" ht="21.0" customHeight="1">
      <c r="A636" s="93"/>
      <c r="B636" s="93"/>
      <c r="C636" s="93"/>
      <c r="D636" s="106"/>
      <c r="E636" s="93"/>
      <c r="F636" s="93"/>
      <c r="G636" s="106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</row>
    <row r="637" ht="21.0" customHeight="1">
      <c r="A637" s="93"/>
      <c r="B637" s="93"/>
      <c r="C637" s="93"/>
      <c r="D637" s="106"/>
      <c r="E637" s="93"/>
      <c r="F637" s="93"/>
      <c r="G637" s="106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</row>
    <row r="638" ht="21.0" customHeight="1">
      <c r="A638" s="93"/>
      <c r="B638" s="93"/>
      <c r="C638" s="93"/>
      <c r="D638" s="106"/>
      <c r="E638" s="93"/>
      <c r="F638" s="93"/>
      <c r="G638" s="106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</row>
    <row r="639" ht="21.0" customHeight="1">
      <c r="A639" s="93"/>
      <c r="B639" s="93"/>
      <c r="C639" s="93"/>
      <c r="D639" s="106"/>
      <c r="E639" s="93"/>
      <c r="F639" s="93"/>
      <c r="G639" s="106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</row>
    <row r="640" ht="21.0" customHeight="1">
      <c r="A640" s="93"/>
      <c r="B640" s="93"/>
      <c r="C640" s="93"/>
      <c r="D640" s="106"/>
      <c r="E640" s="93"/>
      <c r="F640" s="93"/>
      <c r="G640" s="106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</row>
    <row r="641" ht="21.0" customHeight="1">
      <c r="A641" s="93"/>
      <c r="B641" s="93"/>
      <c r="C641" s="93"/>
      <c r="D641" s="106"/>
      <c r="E641" s="93"/>
      <c r="F641" s="93"/>
      <c r="G641" s="106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</row>
    <row r="642" ht="21.0" customHeight="1">
      <c r="A642" s="93"/>
      <c r="B642" s="93"/>
      <c r="C642" s="93"/>
      <c r="D642" s="106"/>
      <c r="E642" s="93"/>
      <c r="F642" s="93"/>
      <c r="G642" s="106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</row>
    <row r="643" ht="21.0" customHeight="1">
      <c r="A643" s="93"/>
      <c r="B643" s="93"/>
      <c r="C643" s="93"/>
      <c r="D643" s="106"/>
      <c r="E643" s="93"/>
      <c r="F643" s="93"/>
      <c r="G643" s="106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</row>
    <row r="644" ht="21.0" customHeight="1">
      <c r="A644" s="93"/>
      <c r="B644" s="93"/>
      <c r="C644" s="93"/>
      <c r="D644" s="106"/>
      <c r="E644" s="93"/>
      <c r="F644" s="93"/>
      <c r="G644" s="106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</row>
    <row r="645" ht="21.0" customHeight="1">
      <c r="A645" s="93"/>
      <c r="B645" s="93"/>
      <c r="C645" s="93"/>
      <c r="D645" s="106"/>
      <c r="E645" s="93"/>
      <c r="F645" s="93"/>
      <c r="G645" s="106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</row>
    <row r="646" ht="21.0" customHeight="1">
      <c r="A646" s="93"/>
      <c r="B646" s="93"/>
      <c r="C646" s="93"/>
      <c r="D646" s="106"/>
      <c r="E646" s="93"/>
      <c r="F646" s="93"/>
      <c r="G646" s="106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</row>
    <row r="647" ht="21.0" customHeight="1">
      <c r="A647" s="93"/>
      <c r="B647" s="93"/>
      <c r="C647" s="93"/>
      <c r="D647" s="106"/>
      <c r="E647" s="93"/>
      <c r="F647" s="93"/>
      <c r="G647" s="106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</row>
    <row r="648" ht="21.0" customHeight="1">
      <c r="A648" s="93"/>
      <c r="B648" s="93"/>
      <c r="C648" s="93"/>
      <c r="D648" s="106"/>
      <c r="E648" s="93"/>
      <c r="F648" s="93"/>
      <c r="G648" s="106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</row>
    <row r="649" ht="21.0" customHeight="1">
      <c r="A649" s="93"/>
      <c r="B649" s="93"/>
      <c r="C649" s="93"/>
      <c r="D649" s="106"/>
      <c r="E649" s="93"/>
      <c r="F649" s="93"/>
      <c r="G649" s="106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</row>
    <row r="650" ht="21.0" customHeight="1">
      <c r="A650" s="93"/>
      <c r="B650" s="93"/>
      <c r="C650" s="93"/>
      <c r="D650" s="106"/>
      <c r="E650" s="93"/>
      <c r="F650" s="93"/>
      <c r="G650" s="106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</row>
    <row r="651" ht="21.0" customHeight="1">
      <c r="A651" s="93"/>
      <c r="B651" s="93"/>
      <c r="C651" s="93"/>
      <c r="D651" s="106"/>
      <c r="E651" s="93"/>
      <c r="F651" s="93"/>
      <c r="G651" s="106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</row>
    <row r="652" ht="21.0" customHeight="1">
      <c r="A652" s="93"/>
      <c r="B652" s="93"/>
      <c r="C652" s="93"/>
      <c r="D652" s="106"/>
      <c r="E652" s="93"/>
      <c r="F652" s="93"/>
      <c r="G652" s="106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</row>
    <row r="653" ht="21.0" customHeight="1">
      <c r="A653" s="93"/>
      <c r="B653" s="93"/>
      <c r="C653" s="93"/>
      <c r="D653" s="106"/>
      <c r="E653" s="93"/>
      <c r="F653" s="93"/>
      <c r="G653" s="106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</row>
    <row r="654" ht="21.0" customHeight="1">
      <c r="A654" s="93"/>
      <c r="B654" s="93"/>
      <c r="C654" s="93"/>
      <c r="D654" s="106"/>
      <c r="E654" s="93"/>
      <c r="F654" s="93"/>
      <c r="G654" s="106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</row>
    <row r="655" ht="21.0" customHeight="1">
      <c r="A655" s="93"/>
      <c r="B655" s="93"/>
      <c r="C655" s="93"/>
      <c r="D655" s="106"/>
      <c r="E655" s="93"/>
      <c r="F655" s="93"/>
      <c r="G655" s="106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</row>
    <row r="656" ht="21.0" customHeight="1">
      <c r="A656" s="93"/>
      <c r="B656" s="93"/>
      <c r="C656" s="93"/>
      <c r="D656" s="106"/>
      <c r="E656" s="93"/>
      <c r="F656" s="93"/>
      <c r="G656" s="106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</row>
    <row r="657" ht="21.0" customHeight="1">
      <c r="A657" s="93"/>
      <c r="B657" s="93"/>
      <c r="C657" s="93"/>
      <c r="D657" s="106"/>
      <c r="E657" s="93"/>
      <c r="F657" s="93"/>
      <c r="G657" s="106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</row>
    <row r="658" ht="21.0" customHeight="1">
      <c r="A658" s="93"/>
      <c r="B658" s="93"/>
      <c r="C658" s="93"/>
      <c r="D658" s="106"/>
      <c r="E658" s="93"/>
      <c r="F658" s="93"/>
      <c r="G658" s="106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</row>
    <row r="659" ht="21.0" customHeight="1">
      <c r="A659" s="93"/>
      <c r="B659" s="93"/>
      <c r="C659" s="93"/>
      <c r="D659" s="106"/>
      <c r="E659" s="93"/>
      <c r="F659" s="93"/>
      <c r="G659" s="106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</row>
    <row r="660" ht="21.0" customHeight="1">
      <c r="A660" s="93"/>
      <c r="B660" s="93"/>
      <c r="C660" s="93"/>
      <c r="D660" s="106"/>
      <c r="E660" s="93"/>
      <c r="F660" s="93"/>
      <c r="G660" s="106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</row>
    <row r="661" ht="21.0" customHeight="1">
      <c r="A661" s="93"/>
      <c r="B661" s="93"/>
      <c r="C661" s="93"/>
      <c r="D661" s="106"/>
      <c r="E661" s="93"/>
      <c r="F661" s="93"/>
      <c r="G661" s="106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</row>
    <row r="662" ht="21.0" customHeight="1">
      <c r="A662" s="93"/>
      <c r="B662" s="93"/>
      <c r="C662" s="93"/>
      <c r="D662" s="106"/>
      <c r="E662" s="93"/>
      <c r="F662" s="93"/>
      <c r="G662" s="106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</row>
    <row r="663" ht="21.0" customHeight="1">
      <c r="A663" s="93"/>
      <c r="B663" s="93"/>
      <c r="C663" s="93"/>
      <c r="D663" s="106"/>
      <c r="E663" s="93"/>
      <c r="F663" s="93"/>
      <c r="G663" s="106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</row>
    <row r="664" ht="21.0" customHeight="1">
      <c r="A664" s="93"/>
      <c r="B664" s="93"/>
      <c r="C664" s="93"/>
      <c r="D664" s="106"/>
      <c r="E664" s="93"/>
      <c r="F664" s="93"/>
      <c r="G664" s="106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</row>
    <row r="665" ht="21.0" customHeight="1">
      <c r="A665" s="93"/>
      <c r="B665" s="93"/>
      <c r="C665" s="93"/>
      <c r="D665" s="106"/>
      <c r="E665" s="93"/>
      <c r="F665" s="93"/>
      <c r="G665" s="106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</row>
    <row r="666" ht="21.0" customHeight="1">
      <c r="A666" s="93"/>
      <c r="B666" s="93"/>
      <c r="C666" s="93"/>
      <c r="D666" s="106"/>
      <c r="E666" s="93"/>
      <c r="F666" s="93"/>
      <c r="G666" s="106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</row>
    <row r="667" ht="21.0" customHeight="1">
      <c r="A667" s="93"/>
      <c r="B667" s="93"/>
      <c r="C667" s="93"/>
      <c r="D667" s="106"/>
      <c r="E667" s="93"/>
      <c r="F667" s="93"/>
      <c r="G667" s="106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</row>
    <row r="668" ht="21.0" customHeight="1">
      <c r="A668" s="93"/>
      <c r="B668" s="93"/>
      <c r="C668" s="93"/>
      <c r="D668" s="106"/>
      <c r="E668" s="93"/>
      <c r="F668" s="93"/>
      <c r="G668" s="106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</row>
    <row r="669" ht="21.0" customHeight="1">
      <c r="A669" s="93"/>
      <c r="B669" s="93"/>
      <c r="C669" s="93"/>
      <c r="D669" s="106"/>
      <c r="E669" s="93"/>
      <c r="F669" s="93"/>
      <c r="G669" s="106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</row>
    <row r="670" ht="21.0" customHeight="1">
      <c r="A670" s="93"/>
      <c r="B670" s="93"/>
      <c r="C670" s="93"/>
      <c r="D670" s="106"/>
      <c r="E670" s="93"/>
      <c r="F670" s="93"/>
      <c r="G670" s="106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</row>
    <row r="671" ht="21.0" customHeight="1">
      <c r="A671" s="93"/>
      <c r="B671" s="93"/>
      <c r="C671" s="93"/>
      <c r="D671" s="106"/>
      <c r="E671" s="93"/>
      <c r="F671" s="93"/>
      <c r="G671" s="106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</row>
    <row r="672" ht="21.0" customHeight="1">
      <c r="A672" s="93"/>
      <c r="B672" s="93"/>
      <c r="C672" s="93"/>
      <c r="D672" s="106"/>
      <c r="E672" s="93"/>
      <c r="F672" s="93"/>
      <c r="G672" s="106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</row>
    <row r="673" ht="21.0" customHeight="1">
      <c r="A673" s="93"/>
      <c r="B673" s="93"/>
      <c r="C673" s="93"/>
      <c r="D673" s="106"/>
      <c r="E673" s="93"/>
      <c r="F673" s="93"/>
      <c r="G673" s="106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</row>
    <row r="674" ht="21.0" customHeight="1">
      <c r="A674" s="93"/>
      <c r="B674" s="93"/>
      <c r="C674" s="93"/>
      <c r="D674" s="106"/>
      <c r="E674" s="93"/>
      <c r="F674" s="93"/>
      <c r="G674" s="106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</row>
    <row r="675" ht="21.0" customHeight="1">
      <c r="A675" s="93"/>
      <c r="B675" s="93"/>
      <c r="C675" s="93"/>
      <c r="D675" s="106"/>
      <c r="E675" s="93"/>
      <c r="F675" s="93"/>
      <c r="G675" s="106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</row>
    <row r="676" ht="21.0" customHeight="1">
      <c r="A676" s="93"/>
      <c r="B676" s="93"/>
      <c r="C676" s="93"/>
      <c r="D676" s="106"/>
      <c r="E676" s="93"/>
      <c r="F676" s="93"/>
      <c r="G676" s="106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</row>
    <row r="677" ht="21.0" customHeight="1">
      <c r="A677" s="93"/>
      <c r="B677" s="93"/>
      <c r="C677" s="93"/>
      <c r="D677" s="106"/>
      <c r="E677" s="93"/>
      <c r="F677" s="93"/>
      <c r="G677" s="106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</row>
    <row r="678" ht="21.0" customHeight="1">
      <c r="A678" s="93"/>
      <c r="B678" s="93"/>
      <c r="C678" s="93"/>
      <c r="D678" s="106"/>
      <c r="E678" s="93"/>
      <c r="F678" s="93"/>
      <c r="G678" s="106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</row>
    <row r="679" ht="21.0" customHeight="1">
      <c r="A679" s="93"/>
      <c r="B679" s="93"/>
      <c r="C679" s="93"/>
      <c r="D679" s="106"/>
      <c r="E679" s="93"/>
      <c r="F679" s="93"/>
      <c r="G679" s="106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</row>
    <row r="680" ht="21.0" customHeight="1">
      <c r="A680" s="93"/>
      <c r="B680" s="93"/>
      <c r="C680" s="93"/>
      <c r="D680" s="106"/>
      <c r="E680" s="93"/>
      <c r="F680" s="93"/>
      <c r="G680" s="106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</row>
    <row r="681" ht="21.0" customHeight="1">
      <c r="A681" s="93"/>
      <c r="B681" s="93"/>
      <c r="C681" s="93"/>
      <c r="D681" s="106"/>
      <c r="E681" s="93"/>
      <c r="F681" s="93"/>
      <c r="G681" s="106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</row>
    <row r="682" ht="21.0" customHeight="1">
      <c r="A682" s="93"/>
      <c r="B682" s="93"/>
      <c r="C682" s="93"/>
      <c r="D682" s="106"/>
      <c r="E682" s="93"/>
      <c r="F682" s="93"/>
      <c r="G682" s="106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</row>
    <row r="683" ht="21.0" customHeight="1">
      <c r="A683" s="93"/>
      <c r="B683" s="93"/>
      <c r="C683" s="93"/>
      <c r="D683" s="106"/>
      <c r="E683" s="93"/>
      <c r="F683" s="93"/>
      <c r="G683" s="106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</row>
    <row r="684" ht="21.0" customHeight="1">
      <c r="A684" s="93"/>
      <c r="B684" s="93"/>
      <c r="C684" s="93"/>
      <c r="D684" s="106"/>
      <c r="E684" s="93"/>
      <c r="F684" s="93"/>
      <c r="G684" s="106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</row>
    <row r="685" ht="21.0" customHeight="1">
      <c r="A685" s="93"/>
      <c r="B685" s="93"/>
      <c r="C685" s="93"/>
      <c r="D685" s="106"/>
      <c r="E685" s="93"/>
      <c r="F685" s="93"/>
      <c r="G685" s="106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</row>
    <row r="686" ht="21.0" customHeight="1">
      <c r="A686" s="93"/>
      <c r="B686" s="93"/>
      <c r="C686" s="93"/>
      <c r="D686" s="106"/>
      <c r="E686" s="93"/>
      <c r="F686" s="93"/>
      <c r="G686" s="106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</row>
    <row r="687" ht="21.0" customHeight="1">
      <c r="A687" s="93"/>
      <c r="B687" s="93"/>
      <c r="C687" s="93"/>
      <c r="D687" s="106"/>
      <c r="E687" s="93"/>
      <c r="F687" s="93"/>
      <c r="G687" s="106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</row>
    <row r="688" ht="21.0" customHeight="1">
      <c r="A688" s="93"/>
      <c r="B688" s="93"/>
      <c r="C688" s="93"/>
      <c r="D688" s="106"/>
      <c r="E688" s="93"/>
      <c r="F688" s="93"/>
      <c r="G688" s="106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</row>
    <row r="689" ht="21.0" customHeight="1">
      <c r="A689" s="93"/>
      <c r="B689" s="93"/>
      <c r="C689" s="93"/>
      <c r="D689" s="106"/>
      <c r="E689" s="93"/>
      <c r="F689" s="93"/>
      <c r="G689" s="106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</row>
    <row r="690" ht="21.0" customHeight="1">
      <c r="A690" s="93"/>
      <c r="B690" s="93"/>
      <c r="C690" s="93"/>
      <c r="D690" s="106"/>
      <c r="E690" s="93"/>
      <c r="F690" s="93"/>
      <c r="G690" s="106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</row>
    <row r="691" ht="21.0" customHeight="1">
      <c r="A691" s="93"/>
      <c r="B691" s="93"/>
      <c r="C691" s="93"/>
      <c r="D691" s="106"/>
      <c r="E691" s="93"/>
      <c r="F691" s="93"/>
      <c r="G691" s="106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</row>
    <row r="692" ht="21.0" customHeight="1">
      <c r="A692" s="93"/>
      <c r="B692" s="93"/>
      <c r="C692" s="93"/>
      <c r="D692" s="106"/>
      <c r="E692" s="93"/>
      <c r="F692" s="93"/>
      <c r="G692" s="106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</row>
    <row r="693" ht="21.0" customHeight="1">
      <c r="A693" s="93"/>
      <c r="B693" s="93"/>
      <c r="C693" s="93"/>
      <c r="D693" s="106"/>
      <c r="E693" s="93"/>
      <c r="F693" s="93"/>
      <c r="G693" s="106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</row>
    <row r="694" ht="21.0" customHeight="1">
      <c r="A694" s="93"/>
      <c r="B694" s="93"/>
      <c r="C694" s="93"/>
      <c r="D694" s="106"/>
      <c r="E694" s="93"/>
      <c r="F694" s="93"/>
      <c r="G694" s="106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</row>
    <row r="695" ht="21.0" customHeight="1">
      <c r="A695" s="93"/>
      <c r="B695" s="93"/>
      <c r="C695" s="93"/>
      <c r="D695" s="106"/>
      <c r="E695" s="93"/>
      <c r="F695" s="93"/>
      <c r="G695" s="106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</row>
    <row r="696" ht="21.0" customHeight="1">
      <c r="A696" s="93"/>
      <c r="B696" s="93"/>
      <c r="C696" s="93"/>
      <c r="D696" s="106"/>
      <c r="E696" s="93"/>
      <c r="F696" s="93"/>
      <c r="G696" s="106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</row>
    <row r="697" ht="21.0" customHeight="1">
      <c r="A697" s="93"/>
      <c r="B697" s="93"/>
      <c r="C697" s="93"/>
      <c r="D697" s="106"/>
      <c r="E697" s="93"/>
      <c r="F697" s="93"/>
      <c r="G697" s="106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</row>
    <row r="698" ht="21.0" customHeight="1">
      <c r="A698" s="93"/>
      <c r="B698" s="93"/>
      <c r="C698" s="93"/>
      <c r="D698" s="106"/>
      <c r="E698" s="93"/>
      <c r="F698" s="93"/>
      <c r="G698" s="106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</row>
    <row r="699" ht="21.0" customHeight="1">
      <c r="A699" s="93"/>
      <c r="B699" s="93"/>
      <c r="C699" s="93"/>
      <c r="D699" s="106"/>
      <c r="E699" s="93"/>
      <c r="F699" s="93"/>
      <c r="G699" s="106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</row>
    <row r="700" ht="21.0" customHeight="1">
      <c r="A700" s="93"/>
      <c r="B700" s="93"/>
      <c r="C700" s="93"/>
      <c r="D700" s="106"/>
      <c r="E700" s="93"/>
      <c r="F700" s="93"/>
      <c r="G700" s="106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</row>
    <row r="701" ht="21.0" customHeight="1">
      <c r="A701" s="93"/>
      <c r="B701" s="93"/>
      <c r="C701" s="93"/>
      <c r="D701" s="106"/>
      <c r="E701" s="93"/>
      <c r="F701" s="93"/>
      <c r="G701" s="106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</row>
    <row r="702" ht="21.0" customHeight="1">
      <c r="A702" s="93"/>
      <c r="B702" s="93"/>
      <c r="C702" s="93"/>
      <c r="D702" s="106"/>
      <c r="E702" s="93"/>
      <c r="F702" s="93"/>
      <c r="G702" s="106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</row>
    <row r="703" ht="21.0" customHeight="1">
      <c r="A703" s="93"/>
      <c r="B703" s="93"/>
      <c r="C703" s="93"/>
      <c r="D703" s="106"/>
      <c r="E703" s="93"/>
      <c r="F703" s="93"/>
      <c r="G703" s="106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</row>
    <row r="704" ht="21.0" customHeight="1">
      <c r="A704" s="93"/>
      <c r="B704" s="93"/>
      <c r="C704" s="93"/>
      <c r="D704" s="106"/>
      <c r="E704" s="93"/>
      <c r="F704" s="93"/>
      <c r="G704" s="106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</row>
    <row r="705" ht="21.0" customHeight="1">
      <c r="A705" s="93"/>
      <c r="B705" s="93"/>
      <c r="C705" s="93"/>
      <c r="D705" s="106"/>
      <c r="E705" s="93"/>
      <c r="F705" s="93"/>
      <c r="G705" s="106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</row>
    <row r="706" ht="21.0" customHeight="1">
      <c r="A706" s="93"/>
      <c r="B706" s="93"/>
      <c r="C706" s="93"/>
      <c r="D706" s="106"/>
      <c r="E706" s="93"/>
      <c r="F706" s="93"/>
      <c r="G706" s="106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</row>
    <row r="707" ht="21.0" customHeight="1">
      <c r="A707" s="93"/>
      <c r="B707" s="93"/>
      <c r="C707" s="93"/>
      <c r="D707" s="106"/>
      <c r="E707" s="93"/>
      <c r="F707" s="93"/>
      <c r="G707" s="106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</row>
    <row r="708" ht="21.0" customHeight="1">
      <c r="A708" s="93"/>
      <c r="B708" s="93"/>
      <c r="C708" s="93"/>
      <c r="D708" s="106"/>
      <c r="E708" s="93"/>
      <c r="F708" s="93"/>
      <c r="G708" s="106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</row>
    <row r="709" ht="21.0" customHeight="1">
      <c r="A709" s="93"/>
      <c r="B709" s="93"/>
      <c r="C709" s="93"/>
      <c r="D709" s="106"/>
      <c r="E709" s="93"/>
      <c r="F709" s="93"/>
      <c r="G709" s="106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</row>
    <row r="710" ht="21.0" customHeight="1">
      <c r="A710" s="93"/>
      <c r="B710" s="93"/>
      <c r="C710" s="93"/>
      <c r="D710" s="106"/>
      <c r="E710" s="93"/>
      <c r="F710" s="93"/>
      <c r="G710" s="106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</row>
    <row r="711" ht="21.0" customHeight="1">
      <c r="A711" s="93"/>
      <c r="B711" s="93"/>
      <c r="C711" s="93"/>
      <c r="D711" s="106"/>
      <c r="E711" s="93"/>
      <c r="F711" s="93"/>
      <c r="G711" s="106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</row>
    <row r="712" ht="21.0" customHeight="1">
      <c r="A712" s="93"/>
      <c r="B712" s="93"/>
      <c r="C712" s="93"/>
      <c r="D712" s="106"/>
      <c r="E712" s="93"/>
      <c r="F712" s="93"/>
      <c r="G712" s="106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</row>
    <row r="713" ht="21.0" customHeight="1">
      <c r="A713" s="93"/>
      <c r="B713" s="93"/>
      <c r="C713" s="93"/>
      <c r="D713" s="106"/>
      <c r="E713" s="93"/>
      <c r="F713" s="93"/>
      <c r="G713" s="106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</row>
    <row r="714" ht="21.0" customHeight="1">
      <c r="A714" s="93"/>
      <c r="B714" s="93"/>
      <c r="C714" s="93"/>
      <c r="D714" s="106"/>
      <c r="E714" s="93"/>
      <c r="F714" s="93"/>
      <c r="G714" s="106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</row>
    <row r="715" ht="21.0" customHeight="1">
      <c r="A715" s="93"/>
      <c r="B715" s="93"/>
      <c r="C715" s="93"/>
      <c r="D715" s="106"/>
      <c r="E715" s="93"/>
      <c r="F715" s="93"/>
      <c r="G715" s="106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</row>
    <row r="716" ht="21.0" customHeight="1">
      <c r="A716" s="93"/>
      <c r="B716" s="93"/>
      <c r="C716" s="93"/>
      <c r="D716" s="106"/>
      <c r="E716" s="93"/>
      <c r="F716" s="93"/>
      <c r="G716" s="106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</row>
    <row r="717" ht="21.0" customHeight="1">
      <c r="A717" s="93"/>
      <c r="B717" s="93"/>
      <c r="C717" s="93"/>
      <c r="D717" s="106"/>
      <c r="E717" s="93"/>
      <c r="F717" s="93"/>
      <c r="G717" s="106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</row>
    <row r="718" ht="21.0" customHeight="1">
      <c r="A718" s="93"/>
      <c r="B718" s="93"/>
      <c r="C718" s="93"/>
      <c r="D718" s="106"/>
      <c r="E718" s="93"/>
      <c r="F718" s="93"/>
      <c r="G718" s="106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</row>
    <row r="719" ht="21.0" customHeight="1">
      <c r="A719" s="93"/>
      <c r="B719" s="93"/>
      <c r="C719" s="93"/>
      <c r="D719" s="106"/>
      <c r="E719" s="93"/>
      <c r="F719" s="93"/>
      <c r="G719" s="106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</row>
    <row r="720" ht="21.0" customHeight="1">
      <c r="A720" s="93"/>
      <c r="B720" s="93"/>
      <c r="C720" s="93"/>
      <c r="D720" s="106"/>
      <c r="E720" s="93"/>
      <c r="F720" s="93"/>
      <c r="G720" s="106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</row>
    <row r="721" ht="21.0" customHeight="1">
      <c r="A721" s="93"/>
      <c r="B721" s="93"/>
      <c r="C721" s="93"/>
      <c r="D721" s="106"/>
      <c r="E721" s="93"/>
      <c r="F721" s="93"/>
      <c r="G721" s="106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</row>
    <row r="722" ht="21.0" customHeight="1">
      <c r="A722" s="93"/>
      <c r="B722" s="93"/>
      <c r="C722" s="93"/>
      <c r="D722" s="106"/>
      <c r="E722" s="93"/>
      <c r="F722" s="93"/>
      <c r="G722" s="106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</row>
    <row r="723" ht="21.0" customHeight="1">
      <c r="A723" s="93"/>
      <c r="B723" s="93"/>
      <c r="C723" s="93"/>
      <c r="D723" s="106"/>
      <c r="E723" s="93"/>
      <c r="F723" s="93"/>
      <c r="G723" s="106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</row>
    <row r="724" ht="21.0" customHeight="1">
      <c r="A724" s="93"/>
      <c r="B724" s="93"/>
      <c r="C724" s="93"/>
      <c r="D724" s="106"/>
      <c r="E724" s="93"/>
      <c r="F724" s="93"/>
      <c r="G724" s="106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</row>
    <row r="725" ht="21.0" customHeight="1">
      <c r="A725" s="93"/>
      <c r="B725" s="93"/>
      <c r="C725" s="93"/>
      <c r="D725" s="106"/>
      <c r="E725" s="93"/>
      <c r="F725" s="93"/>
      <c r="G725" s="106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</row>
    <row r="726" ht="21.0" customHeight="1">
      <c r="A726" s="93"/>
      <c r="B726" s="93"/>
      <c r="C726" s="93"/>
      <c r="D726" s="106"/>
      <c r="E726" s="93"/>
      <c r="F726" s="93"/>
      <c r="G726" s="106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</row>
    <row r="727" ht="21.0" customHeight="1">
      <c r="A727" s="93"/>
      <c r="B727" s="93"/>
      <c r="C727" s="93"/>
      <c r="D727" s="106"/>
      <c r="E727" s="93"/>
      <c r="F727" s="93"/>
      <c r="G727" s="106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</row>
    <row r="728" ht="21.0" customHeight="1">
      <c r="A728" s="93"/>
      <c r="B728" s="93"/>
      <c r="C728" s="93"/>
      <c r="D728" s="106"/>
      <c r="E728" s="93"/>
      <c r="F728" s="93"/>
      <c r="G728" s="106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</row>
    <row r="729" ht="21.0" customHeight="1">
      <c r="A729" s="93"/>
      <c r="B729" s="93"/>
      <c r="C729" s="93"/>
      <c r="D729" s="106"/>
      <c r="E729" s="93"/>
      <c r="F729" s="93"/>
      <c r="G729" s="106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</row>
    <row r="730" ht="21.0" customHeight="1">
      <c r="A730" s="93"/>
      <c r="B730" s="93"/>
      <c r="C730" s="93"/>
      <c r="D730" s="106"/>
      <c r="E730" s="93"/>
      <c r="F730" s="93"/>
      <c r="G730" s="106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</row>
    <row r="731" ht="21.0" customHeight="1">
      <c r="A731" s="93"/>
      <c r="B731" s="93"/>
      <c r="C731" s="93"/>
      <c r="D731" s="106"/>
      <c r="E731" s="93"/>
      <c r="F731" s="93"/>
      <c r="G731" s="106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</row>
    <row r="732" ht="21.0" customHeight="1">
      <c r="A732" s="93"/>
      <c r="B732" s="93"/>
      <c r="C732" s="93"/>
      <c r="D732" s="106"/>
      <c r="E732" s="93"/>
      <c r="F732" s="93"/>
      <c r="G732" s="106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</row>
    <row r="733" ht="21.0" customHeight="1">
      <c r="A733" s="93"/>
      <c r="B733" s="93"/>
      <c r="C733" s="93"/>
      <c r="D733" s="106"/>
      <c r="E733" s="93"/>
      <c r="F733" s="93"/>
      <c r="G733" s="106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</row>
    <row r="734" ht="21.0" customHeight="1">
      <c r="A734" s="93"/>
      <c r="B734" s="93"/>
      <c r="C734" s="93"/>
      <c r="D734" s="106"/>
      <c r="E734" s="93"/>
      <c r="F734" s="93"/>
      <c r="G734" s="106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</row>
    <row r="735" ht="21.0" customHeight="1">
      <c r="A735" s="93"/>
      <c r="B735" s="93"/>
      <c r="C735" s="93"/>
      <c r="D735" s="106"/>
      <c r="E735" s="93"/>
      <c r="F735" s="93"/>
      <c r="G735" s="106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</row>
    <row r="736" ht="21.0" customHeight="1">
      <c r="A736" s="93"/>
      <c r="B736" s="93"/>
      <c r="C736" s="93"/>
      <c r="D736" s="106"/>
      <c r="E736" s="93"/>
      <c r="F736" s="93"/>
      <c r="G736" s="106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</row>
    <row r="737" ht="21.0" customHeight="1">
      <c r="A737" s="93"/>
      <c r="B737" s="93"/>
      <c r="C737" s="93"/>
      <c r="D737" s="106"/>
      <c r="E737" s="93"/>
      <c r="F737" s="93"/>
      <c r="G737" s="106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</row>
    <row r="738" ht="21.0" customHeight="1">
      <c r="A738" s="93"/>
      <c r="B738" s="93"/>
      <c r="C738" s="93"/>
      <c r="D738" s="106"/>
      <c r="E738" s="93"/>
      <c r="F738" s="93"/>
      <c r="G738" s="106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</row>
    <row r="739" ht="21.0" customHeight="1">
      <c r="A739" s="93"/>
      <c r="B739" s="93"/>
      <c r="C739" s="93"/>
      <c r="D739" s="106"/>
      <c r="E739" s="93"/>
      <c r="F739" s="93"/>
      <c r="G739" s="106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</row>
    <row r="740" ht="21.0" customHeight="1">
      <c r="A740" s="93"/>
      <c r="B740" s="93"/>
      <c r="C740" s="93"/>
      <c r="D740" s="106"/>
      <c r="E740" s="93"/>
      <c r="F740" s="93"/>
      <c r="G740" s="106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</row>
    <row r="741" ht="21.0" customHeight="1">
      <c r="A741" s="93"/>
      <c r="B741" s="93"/>
      <c r="C741" s="93"/>
      <c r="D741" s="106"/>
      <c r="E741" s="93"/>
      <c r="F741" s="93"/>
      <c r="G741" s="106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</row>
    <row r="742" ht="21.0" customHeight="1">
      <c r="A742" s="93"/>
      <c r="B742" s="93"/>
      <c r="C742" s="93"/>
      <c r="D742" s="106"/>
      <c r="E742" s="93"/>
      <c r="F742" s="93"/>
      <c r="G742" s="106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</row>
    <row r="743" ht="21.0" customHeight="1">
      <c r="A743" s="93"/>
      <c r="B743" s="93"/>
      <c r="C743" s="93"/>
      <c r="D743" s="106"/>
      <c r="E743" s="93"/>
      <c r="F743" s="93"/>
      <c r="G743" s="106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</row>
    <row r="744" ht="21.0" customHeight="1">
      <c r="A744" s="93"/>
      <c r="B744" s="93"/>
      <c r="C744" s="93"/>
      <c r="D744" s="106"/>
      <c r="E744" s="93"/>
      <c r="F744" s="93"/>
      <c r="G744" s="106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</row>
    <row r="745" ht="21.0" customHeight="1">
      <c r="A745" s="93"/>
      <c r="B745" s="93"/>
      <c r="C745" s="93"/>
      <c r="D745" s="106"/>
      <c r="E745" s="93"/>
      <c r="F745" s="93"/>
      <c r="G745" s="106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</row>
    <row r="746" ht="21.0" customHeight="1">
      <c r="A746" s="93"/>
      <c r="B746" s="93"/>
      <c r="C746" s="93"/>
      <c r="D746" s="106"/>
      <c r="E746" s="93"/>
      <c r="F746" s="93"/>
      <c r="G746" s="106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</row>
    <row r="747" ht="21.0" customHeight="1">
      <c r="A747" s="93"/>
      <c r="B747" s="93"/>
      <c r="C747" s="93"/>
      <c r="D747" s="106"/>
      <c r="E747" s="93"/>
      <c r="F747" s="93"/>
      <c r="G747" s="106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</row>
    <row r="748" ht="21.0" customHeight="1">
      <c r="A748" s="93"/>
      <c r="B748" s="93"/>
      <c r="C748" s="93"/>
      <c r="D748" s="106"/>
      <c r="E748" s="93"/>
      <c r="F748" s="93"/>
      <c r="G748" s="106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</row>
    <row r="749" ht="21.0" customHeight="1">
      <c r="A749" s="93"/>
      <c r="B749" s="93"/>
      <c r="C749" s="93"/>
      <c r="D749" s="106"/>
      <c r="E749" s="93"/>
      <c r="F749" s="93"/>
      <c r="G749" s="106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</row>
    <row r="750" ht="21.0" customHeight="1">
      <c r="A750" s="93"/>
      <c r="B750" s="93"/>
      <c r="C750" s="93"/>
      <c r="D750" s="106"/>
      <c r="E750" s="93"/>
      <c r="F750" s="93"/>
      <c r="G750" s="106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</row>
    <row r="751" ht="21.0" customHeight="1">
      <c r="A751" s="93"/>
      <c r="B751" s="93"/>
      <c r="C751" s="93"/>
      <c r="D751" s="106"/>
      <c r="E751" s="93"/>
      <c r="F751" s="93"/>
      <c r="G751" s="106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</row>
    <row r="752" ht="21.0" customHeight="1">
      <c r="A752" s="93"/>
      <c r="B752" s="93"/>
      <c r="C752" s="93"/>
      <c r="D752" s="106"/>
      <c r="E752" s="93"/>
      <c r="F752" s="93"/>
      <c r="G752" s="106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</row>
    <row r="753" ht="21.0" customHeight="1">
      <c r="A753" s="93"/>
      <c r="B753" s="93"/>
      <c r="C753" s="93"/>
      <c r="D753" s="106"/>
      <c r="E753" s="93"/>
      <c r="F753" s="93"/>
      <c r="G753" s="106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</row>
    <row r="754" ht="21.0" customHeight="1">
      <c r="A754" s="93"/>
      <c r="B754" s="93"/>
      <c r="C754" s="93"/>
      <c r="D754" s="106"/>
      <c r="E754" s="93"/>
      <c r="F754" s="93"/>
      <c r="G754" s="106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</row>
    <row r="755" ht="21.0" customHeight="1">
      <c r="A755" s="93"/>
      <c r="B755" s="93"/>
      <c r="C755" s="93"/>
      <c r="D755" s="106"/>
      <c r="E755" s="93"/>
      <c r="F755" s="93"/>
      <c r="G755" s="106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</row>
    <row r="756" ht="21.0" customHeight="1">
      <c r="A756" s="93"/>
      <c r="B756" s="93"/>
      <c r="C756" s="93"/>
      <c r="D756" s="106"/>
      <c r="E756" s="93"/>
      <c r="F756" s="93"/>
      <c r="G756" s="106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</row>
    <row r="757" ht="21.0" customHeight="1">
      <c r="A757" s="93"/>
      <c r="B757" s="93"/>
      <c r="C757" s="93"/>
      <c r="D757" s="106"/>
      <c r="E757" s="93"/>
      <c r="F757" s="93"/>
      <c r="G757" s="106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</row>
    <row r="758" ht="21.0" customHeight="1">
      <c r="A758" s="93"/>
      <c r="B758" s="93"/>
      <c r="C758" s="93"/>
      <c r="D758" s="106"/>
      <c r="E758" s="93"/>
      <c r="F758" s="93"/>
      <c r="G758" s="106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</row>
    <row r="759" ht="21.0" customHeight="1">
      <c r="A759" s="93"/>
      <c r="B759" s="93"/>
      <c r="C759" s="93"/>
      <c r="D759" s="106"/>
      <c r="E759" s="93"/>
      <c r="F759" s="93"/>
      <c r="G759" s="106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</row>
    <row r="760" ht="21.0" customHeight="1">
      <c r="A760" s="93"/>
      <c r="B760" s="93"/>
      <c r="C760" s="93"/>
      <c r="D760" s="106"/>
      <c r="E760" s="93"/>
      <c r="F760" s="93"/>
      <c r="G760" s="106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</row>
    <row r="761" ht="21.0" customHeight="1">
      <c r="A761" s="93"/>
      <c r="B761" s="93"/>
      <c r="C761" s="93"/>
      <c r="D761" s="106"/>
      <c r="E761" s="93"/>
      <c r="F761" s="93"/>
      <c r="G761" s="106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</row>
    <row r="762" ht="21.0" customHeight="1">
      <c r="A762" s="93"/>
      <c r="B762" s="93"/>
      <c r="C762" s="93"/>
      <c r="D762" s="106"/>
      <c r="E762" s="93"/>
      <c r="F762" s="93"/>
      <c r="G762" s="106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</row>
    <row r="763" ht="21.0" customHeight="1">
      <c r="A763" s="93"/>
      <c r="B763" s="93"/>
      <c r="C763" s="93"/>
      <c r="D763" s="106"/>
      <c r="E763" s="93"/>
      <c r="F763" s="93"/>
      <c r="G763" s="106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</row>
    <row r="764" ht="21.0" customHeight="1">
      <c r="A764" s="93"/>
      <c r="B764" s="93"/>
      <c r="C764" s="93"/>
      <c r="D764" s="106"/>
      <c r="E764" s="93"/>
      <c r="F764" s="93"/>
      <c r="G764" s="106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</row>
    <row r="765" ht="21.0" customHeight="1">
      <c r="A765" s="93"/>
      <c r="B765" s="93"/>
      <c r="C765" s="93"/>
      <c r="D765" s="106"/>
      <c r="E765" s="93"/>
      <c r="F765" s="93"/>
      <c r="G765" s="106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</row>
    <row r="766" ht="21.0" customHeight="1">
      <c r="A766" s="93"/>
      <c r="B766" s="93"/>
      <c r="C766" s="93"/>
      <c r="D766" s="106"/>
      <c r="E766" s="93"/>
      <c r="F766" s="93"/>
      <c r="G766" s="106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</row>
    <row r="767" ht="21.0" customHeight="1">
      <c r="A767" s="93"/>
      <c r="B767" s="93"/>
      <c r="C767" s="93"/>
      <c r="D767" s="106"/>
      <c r="E767" s="93"/>
      <c r="F767" s="93"/>
      <c r="G767" s="106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</row>
    <row r="768" ht="21.0" customHeight="1">
      <c r="A768" s="93"/>
      <c r="B768" s="93"/>
      <c r="C768" s="93"/>
      <c r="D768" s="106"/>
      <c r="E768" s="93"/>
      <c r="F768" s="93"/>
      <c r="G768" s="106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</row>
    <row r="769" ht="21.0" customHeight="1">
      <c r="A769" s="93"/>
      <c r="B769" s="93"/>
      <c r="C769" s="93"/>
      <c r="D769" s="106"/>
      <c r="E769" s="93"/>
      <c r="F769" s="93"/>
      <c r="G769" s="106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</row>
    <row r="770" ht="21.0" customHeight="1">
      <c r="A770" s="93"/>
      <c r="B770" s="93"/>
      <c r="C770" s="93"/>
      <c r="D770" s="106"/>
      <c r="E770" s="93"/>
      <c r="F770" s="93"/>
      <c r="G770" s="106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</row>
    <row r="771" ht="21.0" customHeight="1">
      <c r="A771" s="93"/>
      <c r="B771" s="93"/>
      <c r="C771" s="93"/>
      <c r="D771" s="106"/>
      <c r="E771" s="93"/>
      <c r="F771" s="93"/>
      <c r="G771" s="106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</row>
    <row r="772" ht="21.0" customHeight="1">
      <c r="A772" s="93"/>
      <c r="B772" s="93"/>
      <c r="C772" s="93"/>
      <c r="D772" s="106"/>
      <c r="E772" s="93"/>
      <c r="F772" s="93"/>
      <c r="G772" s="106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</row>
    <row r="773" ht="21.0" customHeight="1">
      <c r="A773" s="93"/>
      <c r="B773" s="93"/>
      <c r="C773" s="93"/>
      <c r="D773" s="106"/>
      <c r="E773" s="93"/>
      <c r="F773" s="93"/>
      <c r="G773" s="106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</row>
    <row r="774" ht="21.0" customHeight="1">
      <c r="A774" s="93"/>
      <c r="B774" s="93"/>
      <c r="C774" s="93"/>
      <c r="D774" s="106"/>
      <c r="E774" s="93"/>
      <c r="F774" s="93"/>
      <c r="G774" s="106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</row>
    <row r="775" ht="21.0" customHeight="1">
      <c r="A775" s="93"/>
      <c r="B775" s="93"/>
      <c r="C775" s="93"/>
      <c r="D775" s="106"/>
      <c r="E775" s="93"/>
      <c r="F775" s="93"/>
      <c r="G775" s="106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</row>
    <row r="776" ht="21.0" customHeight="1">
      <c r="A776" s="93"/>
      <c r="B776" s="93"/>
      <c r="C776" s="93"/>
      <c r="D776" s="106"/>
      <c r="E776" s="93"/>
      <c r="F776" s="93"/>
      <c r="G776" s="106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</row>
    <row r="777" ht="21.0" customHeight="1">
      <c r="A777" s="93"/>
      <c r="B777" s="93"/>
      <c r="C777" s="93"/>
      <c r="D777" s="106"/>
      <c r="E777" s="93"/>
      <c r="F777" s="93"/>
      <c r="G777" s="106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</row>
    <row r="778" ht="21.0" customHeight="1">
      <c r="A778" s="93"/>
      <c r="B778" s="93"/>
      <c r="C778" s="93"/>
      <c r="D778" s="106"/>
      <c r="E778" s="93"/>
      <c r="F778" s="93"/>
      <c r="G778" s="106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</row>
    <row r="779" ht="21.0" customHeight="1">
      <c r="A779" s="93"/>
      <c r="B779" s="93"/>
      <c r="C779" s="93"/>
      <c r="D779" s="106"/>
      <c r="E779" s="93"/>
      <c r="F779" s="93"/>
      <c r="G779" s="106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</row>
    <row r="780" ht="21.0" customHeight="1">
      <c r="A780" s="93"/>
      <c r="B780" s="93"/>
      <c r="C780" s="93"/>
      <c r="D780" s="106"/>
      <c r="E780" s="93"/>
      <c r="F780" s="93"/>
      <c r="G780" s="106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</row>
    <row r="781" ht="21.0" customHeight="1">
      <c r="A781" s="93"/>
      <c r="B781" s="93"/>
      <c r="C781" s="93"/>
      <c r="D781" s="106"/>
      <c r="E781" s="93"/>
      <c r="F781" s="93"/>
      <c r="G781" s="106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</row>
    <row r="782" ht="21.0" customHeight="1">
      <c r="A782" s="93"/>
      <c r="B782" s="93"/>
      <c r="C782" s="93"/>
      <c r="D782" s="106"/>
      <c r="E782" s="93"/>
      <c r="F782" s="93"/>
      <c r="G782" s="106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</row>
    <row r="783" ht="21.0" customHeight="1">
      <c r="A783" s="93"/>
      <c r="B783" s="93"/>
      <c r="C783" s="93"/>
      <c r="D783" s="106"/>
      <c r="E783" s="93"/>
      <c r="F783" s="93"/>
      <c r="G783" s="106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</row>
    <row r="784" ht="21.0" customHeight="1">
      <c r="A784" s="93"/>
      <c r="B784" s="93"/>
      <c r="C784" s="93"/>
      <c r="D784" s="106"/>
      <c r="E784" s="93"/>
      <c r="F784" s="93"/>
      <c r="G784" s="106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</row>
    <row r="785" ht="21.0" customHeight="1">
      <c r="A785" s="93"/>
      <c r="B785" s="93"/>
      <c r="C785" s="93"/>
      <c r="D785" s="106"/>
      <c r="E785" s="93"/>
      <c r="F785" s="93"/>
      <c r="G785" s="106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</row>
    <row r="786" ht="21.0" customHeight="1">
      <c r="A786" s="93"/>
      <c r="B786" s="93"/>
      <c r="C786" s="93"/>
      <c r="D786" s="106"/>
      <c r="E786" s="93"/>
      <c r="F786" s="93"/>
      <c r="G786" s="106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</row>
    <row r="787" ht="21.0" customHeight="1">
      <c r="A787" s="93"/>
      <c r="B787" s="93"/>
      <c r="C787" s="93"/>
      <c r="D787" s="106"/>
      <c r="E787" s="93"/>
      <c r="F787" s="93"/>
      <c r="G787" s="106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</row>
    <row r="788" ht="21.0" customHeight="1">
      <c r="A788" s="93"/>
      <c r="B788" s="93"/>
      <c r="C788" s="93"/>
      <c r="D788" s="106"/>
      <c r="E788" s="93"/>
      <c r="F788" s="93"/>
      <c r="G788" s="106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</row>
    <row r="789" ht="21.0" customHeight="1">
      <c r="A789" s="93"/>
      <c r="B789" s="93"/>
      <c r="C789" s="93"/>
      <c r="D789" s="106"/>
      <c r="E789" s="93"/>
      <c r="F789" s="93"/>
      <c r="G789" s="106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</row>
    <row r="790" ht="21.0" customHeight="1">
      <c r="A790" s="93"/>
      <c r="B790" s="93"/>
      <c r="C790" s="93"/>
      <c r="D790" s="106"/>
      <c r="E790" s="93"/>
      <c r="F790" s="93"/>
      <c r="G790" s="106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</row>
    <row r="791" ht="21.0" customHeight="1">
      <c r="A791" s="93"/>
      <c r="B791" s="93"/>
      <c r="C791" s="93"/>
      <c r="D791" s="106"/>
      <c r="E791" s="93"/>
      <c r="F791" s="93"/>
      <c r="G791" s="106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</row>
    <row r="792" ht="21.0" customHeight="1">
      <c r="A792" s="93"/>
      <c r="B792" s="93"/>
      <c r="C792" s="93"/>
      <c r="D792" s="106"/>
      <c r="E792" s="93"/>
      <c r="F792" s="93"/>
      <c r="G792" s="106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</row>
    <row r="793" ht="21.0" customHeight="1">
      <c r="A793" s="93"/>
      <c r="B793" s="93"/>
      <c r="C793" s="93"/>
      <c r="D793" s="106"/>
      <c r="E793" s="93"/>
      <c r="F793" s="93"/>
      <c r="G793" s="106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</row>
    <row r="794" ht="21.0" customHeight="1">
      <c r="A794" s="93"/>
      <c r="B794" s="93"/>
      <c r="C794" s="93"/>
      <c r="D794" s="106"/>
      <c r="E794" s="93"/>
      <c r="F794" s="93"/>
      <c r="G794" s="106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</row>
    <row r="795" ht="21.0" customHeight="1">
      <c r="A795" s="93"/>
      <c r="B795" s="93"/>
      <c r="C795" s="93"/>
      <c r="D795" s="106"/>
      <c r="E795" s="93"/>
      <c r="F795" s="93"/>
      <c r="G795" s="106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</row>
    <row r="796" ht="21.0" customHeight="1">
      <c r="A796" s="93"/>
      <c r="B796" s="93"/>
      <c r="C796" s="93"/>
      <c r="D796" s="106"/>
      <c r="E796" s="93"/>
      <c r="F796" s="93"/>
      <c r="G796" s="106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</row>
    <row r="797" ht="21.0" customHeight="1">
      <c r="A797" s="93"/>
      <c r="B797" s="93"/>
      <c r="C797" s="93"/>
      <c r="D797" s="106"/>
      <c r="E797" s="93"/>
      <c r="F797" s="93"/>
      <c r="G797" s="106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</row>
    <row r="798" ht="21.0" customHeight="1">
      <c r="A798" s="93"/>
      <c r="B798" s="93"/>
      <c r="C798" s="93"/>
      <c r="D798" s="106"/>
      <c r="E798" s="93"/>
      <c r="F798" s="93"/>
      <c r="G798" s="106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</row>
    <row r="799" ht="21.0" customHeight="1">
      <c r="A799" s="93"/>
      <c r="B799" s="93"/>
      <c r="C799" s="93"/>
      <c r="D799" s="106"/>
      <c r="E799" s="93"/>
      <c r="F799" s="93"/>
      <c r="G799" s="106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</row>
    <row r="800" ht="21.0" customHeight="1">
      <c r="A800" s="93"/>
      <c r="B800" s="93"/>
      <c r="C800" s="93"/>
      <c r="D800" s="106"/>
      <c r="E800" s="93"/>
      <c r="F800" s="93"/>
      <c r="G800" s="106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</row>
    <row r="801" ht="21.0" customHeight="1">
      <c r="A801" s="93"/>
      <c r="B801" s="93"/>
      <c r="C801" s="93"/>
      <c r="D801" s="106"/>
      <c r="E801" s="93"/>
      <c r="F801" s="93"/>
      <c r="G801" s="106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</row>
    <row r="802" ht="21.0" customHeight="1">
      <c r="A802" s="93"/>
      <c r="B802" s="93"/>
      <c r="C802" s="93"/>
      <c r="D802" s="106"/>
      <c r="E802" s="93"/>
      <c r="F802" s="93"/>
      <c r="G802" s="106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</row>
    <row r="803" ht="21.0" customHeight="1">
      <c r="A803" s="93"/>
      <c r="B803" s="93"/>
      <c r="C803" s="93"/>
      <c r="D803" s="106"/>
      <c r="E803" s="93"/>
      <c r="F803" s="93"/>
      <c r="G803" s="106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</row>
    <row r="804" ht="21.0" customHeight="1">
      <c r="A804" s="93"/>
      <c r="B804" s="93"/>
      <c r="C804" s="93"/>
      <c r="D804" s="106"/>
      <c r="E804" s="93"/>
      <c r="F804" s="93"/>
      <c r="G804" s="106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</row>
    <row r="805" ht="21.0" customHeight="1">
      <c r="A805" s="93"/>
      <c r="B805" s="93"/>
      <c r="C805" s="93"/>
      <c r="D805" s="106"/>
      <c r="E805" s="93"/>
      <c r="F805" s="93"/>
      <c r="G805" s="106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</row>
    <row r="806" ht="21.0" customHeight="1">
      <c r="A806" s="93"/>
      <c r="B806" s="93"/>
      <c r="C806" s="93"/>
      <c r="D806" s="106"/>
      <c r="E806" s="93"/>
      <c r="F806" s="93"/>
      <c r="G806" s="106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</row>
    <row r="807" ht="21.0" customHeight="1">
      <c r="A807" s="93"/>
      <c r="B807" s="93"/>
      <c r="C807" s="93"/>
      <c r="D807" s="106"/>
      <c r="E807" s="93"/>
      <c r="F807" s="93"/>
      <c r="G807" s="106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</row>
    <row r="808" ht="21.0" customHeight="1">
      <c r="A808" s="93"/>
      <c r="B808" s="93"/>
      <c r="C808" s="93"/>
      <c r="D808" s="106"/>
      <c r="E808" s="93"/>
      <c r="F808" s="93"/>
      <c r="G808" s="106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</row>
    <row r="809" ht="21.0" customHeight="1">
      <c r="A809" s="93"/>
      <c r="B809" s="93"/>
      <c r="C809" s="93"/>
      <c r="D809" s="106"/>
      <c r="E809" s="93"/>
      <c r="F809" s="93"/>
      <c r="G809" s="106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</row>
    <row r="810" ht="21.0" customHeight="1">
      <c r="A810" s="93"/>
      <c r="B810" s="93"/>
      <c r="C810" s="93"/>
      <c r="D810" s="106"/>
      <c r="E810" s="93"/>
      <c r="F810" s="93"/>
      <c r="G810" s="106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</row>
    <row r="811" ht="21.0" customHeight="1">
      <c r="A811" s="93"/>
      <c r="B811" s="93"/>
      <c r="C811" s="93"/>
      <c r="D811" s="106"/>
      <c r="E811" s="93"/>
      <c r="F811" s="93"/>
      <c r="G811" s="106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</row>
    <row r="812" ht="21.0" customHeight="1">
      <c r="A812" s="93"/>
      <c r="B812" s="93"/>
      <c r="C812" s="93"/>
      <c r="D812" s="106"/>
      <c r="E812" s="93"/>
      <c r="F812" s="93"/>
      <c r="G812" s="106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</row>
    <row r="813" ht="21.0" customHeight="1">
      <c r="A813" s="93"/>
      <c r="B813" s="93"/>
      <c r="C813" s="93"/>
      <c r="D813" s="106"/>
      <c r="E813" s="93"/>
      <c r="F813" s="93"/>
      <c r="G813" s="106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</row>
    <row r="814" ht="21.0" customHeight="1">
      <c r="A814" s="93"/>
      <c r="B814" s="93"/>
      <c r="C814" s="93"/>
      <c r="D814" s="106"/>
      <c r="E814" s="93"/>
      <c r="F814" s="93"/>
      <c r="G814" s="106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</row>
    <row r="815" ht="21.0" customHeight="1">
      <c r="A815" s="93"/>
      <c r="B815" s="93"/>
      <c r="C815" s="93"/>
      <c r="D815" s="106"/>
      <c r="E815" s="93"/>
      <c r="F815" s="93"/>
      <c r="G815" s="106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</row>
    <row r="816" ht="21.0" customHeight="1">
      <c r="A816" s="93"/>
      <c r="B816" s="93"/>
      <c r="C816" s="93"/>
      <c r="D816" s="106"/>
      <c r="E816" s="93"/>
      <c r="F816" s="93"/>
      <c r="G816" s="106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</row>
    <row r="817" ht="21.0" customHeight="1">
      <c r="A817" s="93"/>
      <c r="B817" s="93"/>
      <c r="C817" s="93"/>
      <c r="D817" s="106"/>
      <c r="E817" s="93"/>
      <c r="F817" s="93"/>
      <c r="G817" s="106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</row>
    <row r="818" ht="21.0" customHeight="1">
      <c r="A818" s="93"/>
      <c r="B818" s="93"/>
      <c r="C818" s="93"/>
      <c r="D818" s="106"/>
      <c r="E818" s="93"/>
      <c r="F818" s="93"/>
      <c r="G818" s="106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</row>
    <row r="819" ht="21.0" customHeight="1">
      <c r="A819" s="93"/>
      <c r="B819" s="93"/>
      <c r="C819" s="93"/>
      <c r="D819" s="106"/>
      <c r="E819" s="93"/>
      <c r="F819" s="93"/>
      <c r="G819" s="106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</row>
    <row r="820" ht="21.0" customHeight="1">
      <c r="A820" s="93"/>
      <c r="B820" s="93"/>
      <c r="C820" s="93"/>
      <c r="D820" s="106"/>
      <c r="E820" s="93"/>
      <c r="F820" s="93"/>
      <c r="G820" s="106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</row>
    <row r="821" ht="21.0" customHeight="1">
      <c r="A821" s="93"/>
      <c r="B821" s="93"/>
      <c r="C821" s="93"/>
      <c r="D821" s="106"/>
      <c r="E821" s="93"/>
      <c r="F821" s="93"/>
      <c r="G821" s="106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</row>
    <row r="822" ht="21.0" customHeight="1">
      <c r="A822" s="93"/>
      <c r="B822" s="93"/>
      <c r="C822" s="93"/>
      <c r="D822" s="106"/>
      <c r="E822" s="93"/>
      <c r="F822" s="93"/>
      <c r="G822" s="106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</row>
    <row r="823" ht="21.0" customHeight="1">
      <c r="A823" s="93"/>
      <c r="B823" s="93"/>
      <c r="C823" s="93"/>
      <c r="D823" s="106"/>
      <c r="E823" s="93"/>
      <c r="F823" s="93"/>
      <c r="G823" s="106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</row>
    <row r="824" ht="21.0" customHeight="1">
      <c r="A824" s="93"/>
      <c r="B824" s="93"/>
      <c r="C824" s="93"/>
      <c r="D824" s="106"/>
      <c r="E824" s="93"/>
      <c r="F824" s="93"/>
      <c r="G824" s="106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</row>
    <row r="825" ht="21.0" customHeight="1">
      <c r="A825" s="93"/>
      <c r="B825" s="93"/>
      <c r="C825" s="93"/>
      <c r="D825" s="106"/>
      <c r="E825" s="93"/>
      <c r="F825" s="93"/>
      <c r="G825" s="106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</row>
    <row r="826" ht="21.0" customHeight="1">
      <c r="A826" s="93"/>
      <c r="B826" s="93"/>
      <c r="C826" s="93"/>
      <c r="D826" s="106"/>
      <c r="E826" s="93"/>
      <c r="F826" s="93"/>
      <c r="G826" s="106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</row>
    <row r="827" ht="21.0" customHeight="1">
      <c r="A827" s="93"/>
      <c r="B827" s="93"/>
      <c r="C827" s="93"/>
      <c r="D827" s="106"/>
      <c r="E827" s="93"/>
      <c r="F827" s="93"/>
      <c r="G827" s="106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</row>
    <row r="828" ht="21.0" customHeight="1">
      <c r="A828" s="93"/>
      <c r="B828" s="93"/>
      <c r="C828" s="93"/>
      <c r="D828" s="106"/>
      <c r="E828" s="93"/>
      <c r="F828" s="93"/>
      <c r="G828" s="106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</row>
    <row r="829" ht="21.0" customHeight="1">
      <c r="A829" s="93"/>
      <c r="B829" s="93"/>
      <c r="C829" s="93"/>
      <c r="D829" s="106"/>
      <c r="E829" s="93"/>
      <c r="F829" s="93"/>
      <c r="G829" s="106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</row>
    <row r="830" ht="21.0" customHeight="1">
      <c r="A830" s="93"/>
      <c r="B830" s="93"/>
      <c r="C830" s="93"/>
      <c r="D830" s="106"/>
      <c r="E830" s="93"/>
      <c r="F830" s="93"/>
      <c r="G830" s="106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</row>
    <row r="831" ht="21.0" customHeight="1">
      <c r="A831" s="93"/>
      <c r="B831" s="93"/>
      <c r="C831" s="93"/>
      <c r="D831" s="106"/>
      <c r="E831" s="93"/>
      <c r="F831" s="93"/>
      <c r="G831" s="106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</row>
    <row r="832" ht="21.0" customHeight="1">
      <c r="A832" s="93"/>
      <c r="B832" s="93"/>
      <c r="C832" s="93"/>
      <c r="D832" s="106"/>
      <c r="E832" s="93"/>
      <c r="F832" s="93"/>
      <c r="G832" s="106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</row>
    <row r="833" ht="21.0" customHeight="1">
      <c r="A833" s="93"/>
      <c r="B833" s="93"/>
      <c r="C833" s="93"/>
      <c r="D833" s="106"/>
      <c r="E833" s="93"/>
      <c r="F833" s="93"/>
      <c r="G833" s="106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</row>
    <row r="834" ht="21.0" customHeight="1">
      <c r="A834" s="93"/>
      <c r="B834" s="93"/>
      <c r="C834" s="93"/>
      <c r="D834" s="106"/>
      <c r="E834" s="93"/>
      <c r="F834" s="93"/>
      <c r="G834" s="106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</row>
    <row r="835" ht="21.0" customHeight="1">
      <c r="A835" s="93"/>
      <c r="B835" s="93"/>
      <c r="C835" s="93"/>
      <c r="D835" s="106"/>
      <c r="E835" s="93"/>
      <c r="F835" s="93"/>
      <c r="G835" s="106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</row>
    <row r="836" ht="21.0" customHeight="1">
      <c r="A836" s="93"/>
      <c r="B836" s="93"/>
      <c r="C836" s="93"/>
      <c r="D836" s="106"/>
      <c r="E836" s="93"/>
      <c r="F836" s="93"/>
      <c r="G836" s="106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</row>
    <row r="837" ht="21.0" customHeight="1">
      <c r="A837" s="93"/>
      <c r="B837" s="93"/>
      <c r="C837" s="93"/>
      <c r="D837" s="106"/>
      <c r="E837" s="93"/>
      <c r="F837" s="93"/>
      <c r="G837" s="106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</row>
    <row r="838" ht="21.0" customHeight="1">
      <c r="A838" s="93"/>
      <c r="B838" s="93"/>
      <c r="C838" s="93"/>
      <c r="D838" s="106"/>
      <c r="E838" s="93"/>
      <c r="F838" s="93"/>
      <c r="G838" s="106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</row>
    <row r="839" ht="21.0" customHeight="1">
      <c r="A839" s="93"/>
      <c r="B839" s="93"/>
      <c r="C839" s="93"/>
      <c r="D839" s="106"/>
      <c r="E839" s="93"/>
      <c r="F839" s="93"/>
      <c r="G839" s="106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</row>
    <row r="840" ht="21.0" customHeight="1">
      <c r="A840" s="93"/>
      <c r="B840" s="93"/>
      <c r="C840" s="93"/>
      <c r="D840" s="106"/>
      <c r="E840" s="93"/>
      <c r="F840" s="93"/>
      <c r="G840" s="106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</row>
    <row r="841" ht="21.0" customHeight="1">
      <c r="A841" s="93"/>
      <c r="B841" s="93"/>
      <c r="C841" s="93"/>
      <c r="D841" s="106"/>
      <c r="E841" s="93"/>
      <c r="F841" s="93"/>
      <c r="G841" s="106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</row>
    <row r="842" ht="21.0" customHeight="1">
      <c r="A842" s="93"/>
      <c r="B842" s="93"/>
      <c r="C842" s="93"/>
      <c r="D842" s="106"/>
      <c r="E842" s="93"/>
      <c r="F842" s="93"/>
      <c r="G842" s="106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</row>
    <row r="843" ht="21.0" customHeight="1">
      <c r="A843" s="93"/>
      <c r="B843" s="93"/>
      <c r="C843" s="93"/>
      <c r="D843" s="106"/>
      <c r="E843" s="93"/>
      <c r="F843" s="93"/>
      <c r="G843" s="106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</row>
    <row r="844" ht="21.0" customHeight="1">
      <c r="A844" s="93"/>
      <c r="B844" s="93"/>
      <c r="C844" s="93"/>
      <c r="D844" s="106"/>
      <c r="E844" s="93"/>
      <c r="F844" s="93"/>
      <c r="G844" s="106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</row>
    <row r="845" ht="21.0" customHeight="1">
      <c r="A845" s="93"/>
      <c r="B845" s="93"/>
      <c r="C845" s="93"/>
      <c r="D845" s="106"/>
      <c r="E845" s="93"/>
      <c r="F845" s="93"/>
      <c r="G845" s="106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</row>
    <row r="846" ht="21.0" customHeight="1">
      <c r="A846" s="93"/>
      <c r="B846" s="93"/>
      <c r="C846" s="93"/>
      <c r="D846" s="106"/>
      <c r="E846" s="93"/>
      <c r="F846" s="93"/>
      <c r="G846" s="106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</row>
    <row r="847" ht="21.0" customHeight="1">
      <c r="A847" s="93"/>
      <c r="B847" s="93"/>
      <c r="C847" s="93"/>
      <c r="D847" s="106"/>
      <c r="E847" s="93"/>
      <c r="F847" s="93"/>
      <c r="G847" s="106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</row>
    <row r="848" ht="21.0" customHeight="1">
      <c r="A848" s="93"/>
      <c r="B848" s="93"/>
      <c r="C848" s="93"/>
      <c r="D848" s="106"/>
      <c r="E848" s="93"/>
      <c r="F848" s="93"/>
      <c r="G848" s="106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</row>
    <row r="849" ht="21.0" customHeight="1">
      <c r="A849" s="93"/>
      <c r="B849" s="93"/>
      <c r="C849" s="93"/>
      <c r="D849" s="106"/>
      <c r="E849" s="93"/>
      <c r="F849" s="93"/>
      <c r="G849" s="106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</row>
    <row r="850" ht="21.0" customHeight="1">
      <c r="A850" s="93"/>
      <c r="B850" s="93"/>
      <c r="C850" s="93"/>
      <c r="D850" s="106"/>
      <c r="E850" s="93"/>
      <c r="F850" s="93"/>
      <c r="G850" s="106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</row>
    <row r="851" ht="21.0" customHeight="1">
      <c r="A851" s="93"/>
      <c r="B851" s="93"/>
      <c r="C851" s="93"/>
      <c r="D851" s="106"/>
      <c r="E851" s="93"/>
      <c r="F851" s="93"/>
      <c r="G851" s="106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</row>
    <row r="852" ht="21.0" customHeight="1">
      <c r="A852" s="93"/>
      <c r="B852" s="93"/>
      <c r="C852" s="93"/>
      <c r="D852" s="106"/>
      <c r="E852" s="93"/>
      <c r="F852" s="93"/>
      <c r="G852" s="106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</row>
    <row r="853" ht="21.0" customHeight="1">
      <c r="A853" s="93"/>
      <c r="B853" s="93"/>
      <c r="C853" s="93"/>
      <c r="D853" s="106"/>
      <c r="E853" s="93"/>
      <c r="F853" s="93"/>
      <c r="G853" s="106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</row>
    <row r="854" ht="21.0" customHeight="1">
      <c r="A854" s="93"/>
      <c r="B854" s="93"/>
      <c r="C854" s="93"/>
      <c r="D854" s="106"/>
      <c r="E854" s="93"/>
      <c r="F854" s="93"/>
      <c r="G854" s="106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</row>
    <row r="855" ht="21.0" customHeight="1">
      <c r="A855" s="93"/>
      <c r="B855" s="93"/>
      <c r="C855" s="93"/>
      <c r="D855" s="106"/>
      <c r="E855" s="93"/>
      <c r="F855" s="93"/>
      <c r="G855" s="106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</row>
    <row r="856" ht="21.0" customHeight="1">
      <c r="A856" s="93"/>
      <c r="B856" s="93"/>
      <c r="C856" s="93"/>
      <c r="D856" s="106"/>
      <c r="E856" s="93"/>
      <c r="F856" s="93"/>
      <c r="G856" s="106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</row>
    <row r="857" ht="21.0" customHeight="1">
      <c r="A857" s="93"/>
      <c r="B857" s="93"/>
      <c r="C857" s="93"/>
      <c r="D857" s="106"/>
      <c r="E857" s="93"/>
      <c r="F857" s="93"/>
      <c r="G857" s="106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</row>
    <row r="858" ht="21.0" customHeight="1">
      <c r="A858" s="93"/>
      <c r="B858" s="93"/>
      <c r="C858" s="93"/>
      <c r="D858" s="106"/>
      <c r="E858" s="93"/>
      <c r="F858" s="93"/>
      <c r="G858" s="106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</row>
    <row r="859" ht="21.0" customHeight="1">
      <c r="A859" s="93"/>
      <c r="B859" s="93"/>
      <c r="C859" s="93"/>
      <c r="D859" s="106"/>
      <c r="E859" s="93"/>
      <c r="F859" s="93"/>
      <c r="G859" s="106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</row>
    <row r="860" ht="21.0" customHeight="1">
      <c r="A860" s="93"/>
      <c r="B860" s="93"/>
      <c r="C860" s="93"/>
      <c r="D860" s="106"/>
      <c r="E860" s="93"/>
      <c r="F860" s="93"/>
      <c r="G860" s="106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</row>
    <row r="861" ht="21.0" customHeight="1">
      <c r="A861" s="93"/>
      <c r="B861" s="93"/>
      <c r="C861" s="93"/>
      <c r="D861" s="106"/>
      <c r="E861" s="93"/>
      <c r="F861" s="93"/>
      <c r="G861" s="106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</row>
    <row r="862" ht="21.0" customHeight="1">
      <c r="A862" s="93"/>
      <c r="B862" s="93"/>
      <c r="C862" s="93"/>
      <c r="D862" s="106"/>
      <c r="E862" s="93"/>
      <c r="F862" s="93"/>
      <c r="G862" s="106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</row>
    <row r="863" ht="21.0" customHeight="1">
      <c r="A863" s="93"/>
      <c r="B863" s="93"/>
      <c r="C863" s="93"/>
      <c r="D863" s="106"/>
      <c r="E863" s="93"/>
      <c r="F863" s="93"/>
      <c r="G863" s="106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</row>
    <row r="864" ht="21.0" customHeight="1">
      <c r="A864" s="93"/>
      <c r="B864" s="93"/>
      <c r="C864" s="93"/>
      <c r="D864" s="106"/>
      <c r="E864" s="93"/>
      <c r="F864" s="93"/>
      <c r="G864" s="106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</row>
    <row r="865" ht="21.0" customHeight="1">
      <c r="A865" s="93"/>
      <c r="B865" s="93"/>
      <c r="C865" s="93"/>
      <c r="D865" s="106"/>
      <c r="E865" s="93"/>
      <c r="F865" s="93"/>
      <c r="G865" s="106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</row>
    <row r="866" ht="21.0" customHeight="1">
      <c r="A866" s="93"/>
      <c r="B866" s="93"/>
      <c r="C866" s="93"/>
      <c r="D866" s="106"/>
      <c r="E866" s="93"/>
      <c r="F866" s="93"/>
      <c r="G866" s="106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</row>
    <row r="867" ht="21.0" customHeight="1">
      <c r="A867" s="93"/>
      <c r="B867" s="93"/>
      <c r="C867" s="93"/>
      <c r="D867" s="106"/>
      <c r="E867" s="93"/>
      <c r="F867" s="93"/>
      <c r="G867" s="106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</row>
    <row r="868" ht="21.0" customHeight="1">
      <c r="A868" s="93"/>
      <c r="B868" s="93"/>
      <c r="C868" s="93"/>
      <c r="D868" s="106"/>
      <c r="E868" s="93"/>
      <c r="F868" s="93"/>
      <c r="G868" s="106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</row>
    <row r="869" ht="21.0" customHeight="1">
      <c r="A869" s="93"/>
      <c r="B869" s="93"/>
      <c r="C869" s="93"/>
      <c r="D869" s="106"/>
      <c r="E869" s="93"/>
      <c r="F869" s="93"/>
      <c r="G869" s="106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</row>
    <row r="870" ht="21.0" customHeight="1">
      <c r="A870" s="93"/>
      <c r="B870" s="93"/>
      <c r="C870" s="93"/>
      <c r="D870" s="106"/>
      <c r="E870" s="93"/>
      <c r="F870" s="93"/>
      <c r="G870" s="106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</row>
    <row r="871" ht="21.0" customHeight="1">
      <c r="A871" s="93"/>
      <c r="B871" s="93"/>
      <c r="C871" s="93"/>
      <c r="D871" s="106"/>
      <c r="E871" s="93"/>
      <c r="F871" s="93"/>
      <c r="G871" s="106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</row>
    <row r="872" ht="21.0" customHeight="1">
      <c r="A872" s="93"/>
      <c r="B872" s="93"/>
      <c r="C872" s="93"/>
      <c r="D872" s="106"/>
      <c r="E872" s="93"/>
      <c r="F872" s="93"/>
      <c r="G872" s="106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</row>
    <row r="873" ht="21.0" customHeight="1">
      <c r="A873" s="93"/>
      <c r="B873" s="93"/>
      <c r="C873" s="93"/>
      <c r="D873" s="106"/>
      <c r="E873" s="93"/>
      <c r="F873" s="93"/>
      <c r="G873" s="106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</row>
    <row r="874" ht="21.0" customHeight="1">
      <c r="A874" s="93"/>
      <c r="B874" s="93"/>
      <c r="C874" s="93"/>
      <c r="D874" s="106"/>
      <c r="E874" s="93"/>
      <c r="F874" s="93"/>
      <c r="G874" s="106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</row>
    <row r="875" ht="21.0" customHeight="1">
      <c r="A875" s="93"/>
      <c r="B875" s="93"/>
      <c r="C875" s="93"/>
      <c r="D875" s="106"/>
      <c r="E875" s="93"/>
      <c r="F875" s="93"/>
      <c r="G875" s="106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</row>
    <row r="876" ht="21.0" customHeight="1">
      <c r="A876" s="93"/>
      <c r="B876" s="93"/>
      <c r="C876" s="93"/>
      <c r="D876" s="106"/>
      <c r="E876" s="93"/>
      <c r="F876" s="93"/>
      <c r="G876" s="106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</row>
    <row r="877" ht="21.0" customHeight="1">
      <c r="A877" s="93"/>
      <c r="B877" s="93"/>
      <c r="C877" s="93"/>
      <c r="D877" s="106"/>
      <c r="E877" s="93"/>
      <c r="F877" s="93"/>
      <c r="G877" s="106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</row>
    <row r="878" ht="21.0" customHeight="1">
      <c r="A878" s="93"/>
      <c r="B878" s="93"/>
      <c r="C878" s="93"/>
      <c r="D878" s="106"/>
      <c r="E878" s="93"/>
      <c r="F878" s="93"/>
      <c r="G878" s="106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</row>
    <row r="879" ht="21.0" customHeight="1">
      <c r="A879" s="93"/>
      <c r="B879" s="93"/>
      <c r="C879" s="93"/>
      <c r="D879" s="106"/>
      <c r="E879" s="93"/>
      <c r="F879" s="93"/>
      <c r="G879" s="106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</row>
    <row r="880" ht="21.0" customHeight="1">
      <c r="A880" s="93"/>
      <c r="B880" s="93"/>
      <c r="C880" s="93"/>
      <c r="D880" s="106"/>
      <c r="E880" s="93"/>
      <c r="F880" s="93"/>
      <c r="G880" s="106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</row>
    <row r="881" ht="21.0" customHeight="1">
      <c r="A881" s="93"/>
      <c r="B881" s="93"/>
      <c r="C881" s="93"/>
      <c r="D881" s="106"/>
      <c r="E881" s="93"/>
      <c r="F881" s="93"/>
      <c r="G881" s="106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</row>
    <row r="882" ht="21.0" customHeight="1">
      <c r="A882" s="93"/>
      <c r="B882" s="93"/>
      <c r="C882" s="93"/>
      <c r="D882" s="106"/>
      <c r="E882" s="93"/>
      <c r="F882" s="93"/>
      <c r="G882" s="106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</row>
    <row r="883" ht="21.0" customHeight="1">
      <c r="A883" s="93"/>
      <c r="B883" s="93"/>
      <c r="C883" s="93"/>
      <c r="D883" s="106"/>
      <c r="E883" s="93"/>
      <c r="F883" s="93"/>
      <c r="G883" s="106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</row>
    <row r="884" ht="21.0" customHeight="1">
      <c r="A884" s="93"/>
      <c r="B884" s="93"/>
      <c r="C884" s="93"/>
      <c r="D884" s="106"/>
      <c r="E884" s="93"/>
      <c r="F884" s="93"/>
      <c r="G884" s="106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</row>
    <row r="885" ht="21.0" customHeight="1">
      <c r="A885" s="93"/>
      <c r="B885" s="93"/>
      <c r="C885" s="93"/>
      <c r="D885" s="106"/>
      <c r="E885" s="93"/>
      <c r="F885" s="93"/>
      <c r="G885" s="106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</row>
    <row r="886" ht="21.0" customHeight="1">
      <c r="A886" s="93"/>
      <c r="B886" s="93"/>
      <c r="C886" s="93"/>
      <c r="D886" s="106"/>
      <c r="E886" s="93"/>
      <c r="F886" s="93"/>
      <c r="G886" s="106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</row>
    <row r="887" ht="21.0" customHeight="1">
      <c r="A887" s="93"/>
      <c r="B887" s="93"/>
      <c r="C887" s="93"/>
      <c r="D887" s="106"/>
      <c r="E887" s="93"/>
      <c r="F887" s="93"/>
      <c r="G887" s="106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</row>
    <row r="888" ht="21.0" customHeight="1">
      <c r="A888" s="93"/>
      <c r="B888" s="93"/>
      <c r="C888" s="93"/>
      <c r="D888" s="106"/>
      <c r="E888" s="93"/>
      <c r="F888" s="93"/>
      <c r="G888" s="106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</row>
    <row r="889" ht="21.0" customHeight="1">
      <c r="A889" s="93"/>
      <c r="B889" s="93"/>
      <c r="C889" s="93"/>
      <c r="D889" s="106"/>
      <c r="E889" s="93"/>
      <c r="F889" s="93"/>
      <c r="G889" s="106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</row>
    <row r="890" ht="21.0" customHeight="1">
      <c r="A890" s="93"/>
      <c r="B890" s="93"/>
      <c r="C890" s="93"/>
      <c r="D890" s="106"/>
      <c r="E890" s="93"/>
      <c r="F890" s="93"/>
      <c r="G890" s="106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</row>
    <row r="891" ht="21.0" customHeight="1">
      <c r="A891" s="93"/>
      <c r="B891" s="93"/>
      <c r="C891" s="93"/>
      <c r="D891" s="106"/>
      <c r="E891" s="93"/>
      <c r="F891" s="93"/>
      <c r="G891" s="106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</row>
    <row r="892" ht="21.0" customHeight="1">
      <c r="A892" s="93"/>
      <c r="B892" s="93"/>
      <c r="C892" s="93"/>
      <c r="D892" s="106"/>
      <c r="E892" s="93"/>
      <c r="F892" s="93"/>
      <c r="G892" s="106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</row>
    <row r="893" ht="21.0" customHeight="1">
      <c r="A893" s="93"/>
      <c r="B893" s="93"/>
      <c r="C893" s="93"/>
      <c r="D893" s="106"/>
      <c r="E893" s="93"/>
      <c r="F893" s="93"/>
      <c r="G893" s="106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</row>
    <row r="894" ht="21.0" customHeight="1">
      <c r="A894" s="93"/>
      <c r="B894" s="93"/>
      <c r="C894" s="93"/>
      <c r="D894" s="106"/>
      <c r="E894" s="93"/>
      <c r="F894" s="93"/>
      <c r="G894" s="106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</row>
    <row r="895" ht="21.0" customHeight="1">
      <c r="A895" s="93"/>
      <c r="B895" s="93"/>
      <c r="C895" s="93"/>
      <c r="D895" s="106"/>
      <c r="E895" s="93"/>
      <c r="F895" s="93"/>
      <c r="G895" s="106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</row>
    <row r="896" ht="21.0" customHeight="1">
      <c r="A896" s="93"/>
      <c r="B896" s="93"/>
      <c r="C896" s="93"/>
      <c r="D896" s="106"/>
      <c r="E896" s="93"/>
      <c r="F896" s="93"/>
      <c r="G896" s="106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</row>
    <row r="897" ht="21.0" customHeight="1">
      <c r="A897" s="93"/>
      <c r="B897" s="93"/>
      <c r="C897" s="93"/>
      <c r="D897" s="106"/>
      <c r="E897" s="93"/>
      <c r="F897" s="93"/>
      <c r="G897" s="106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</row>
    <row r="898" ht="21.0" customHeight="1">
      <c r="A898" s="93"/>
      <c r="B898" s="93"/>
      <c r="C898" s="93"/>
      <c r="D898" s="106"/>
      <c r="E898" s="93"/>
      <c r="F898" s="93"/>
      <c r="G898" s="106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</row>
    <row r="899" ht="21.0" customHeight="1">
      <c r="A899" s="93"/>
      <c r="B899" s="93"/>
      <c r="C899" s="93"/>
      <c r="D899" s="106"/>
      <c r="E899" s="93"/>
      <c r="F899" s="93"/>
      <c r="G899" s="106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</row>
    <row r="900" ht="21.0" customHeight="1">
      <c r="A900" s="93"/>
      <c r="B900" s="93"/>
      <c r="C900" s="93"/>
      <c r="D900" s="106"/>
      <c r="E900" s="93"/>
      <c r="F900" s="93"/>
      <c r="G900" s="106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</row>
    <row r="901" ht="21.0" customHeight="1">
      <c r="A901" s="93"/>
      <c r="B901" s="93"/>
      <c r="C901" s="93"/>
      <c r="D901" s="106"/>
      <c r="E901" s="93"/>
      <c r="F901" s="93"/>
      <c r="G901" s="106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</row>
    <row r="902" ht="21.0" customHeight="1">
      <c r="A902" s="93"/>
      <c r="B902" s="93"/>
      <c r="C902" s="93"/>
      <c r="D902" s="106"/>
      <c r="E902" s="93"/>
      <c r="F902" s="93"/>
      <c r="G902" s="106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</row>
    <row r="903" ht="21.0" customHeight="1">
      <c r="A903" s="93"/>
      <c r="B903" s="93"/>
      <c r="C903" s="93"/>
      <c r="D903" s="106"/>
      <c r="E903" s="93"/>
      <c r="F903" s="93"/>
      <c r="G903" s="106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</row>
    <row r="904" ht="21.0" customHeight="1">
      <c r="A904" s="93"/>
      <c r="B904" s="93"/>
      <c r="C904" s="93"/>
      <c r="D904" s="106"/>
      <c r="E904" s="93"/>
      <c r="F904" s="93"/>
      <c r="G904" s="106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</row>
    <row r="905" ht="21.0" customHeight="1">
      <c r="A905" s="93"/>
      <c r="B905" s="93"/>
      <c r="C905" s="93"/>
      <c r="D905" s="106"/>
      <c r="E905" s="93"/>
      <c r="F905" s="93"/>
      <c r="G905" s="106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</row>
    <row r="906" ht="21.0" customHeight="1">
      <c r="A906" s="93"/>
      <c r="B906" s="93"/>
      <c r="C906" s="93"/>
      <c r="D906" s="106"/>
      <c r="E906" s="93"/>
      <c r="F906" s="93"/>
      <c r="G906" s="106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</row>
    <row r="907" ht="21.0" customHeight="1">
      <c r="A907" s="93"/>
      <c r="B907" s="93"/>
      <c r="C907" s="93"/>
      <c r="D907" s="106"/>
      <c r="E907" s="93"/>
      <c r="F907" s="93"/>
      <c r="G907" s="106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</row>
    <row r="908" ht="21.0" customHeight="1">
      <c r="A908" s="93"/>
      <c r="B908" s="93"/>
      <c r="C908" s="93"/>
      <c r="D908" s="106"/>
      <c r="E908" s="93"/>
      <c r="F908" s="93"/>
      <c r="G908" s="106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</row>
    <row r="909" ht="21.0" customHeight="1">
      <c r="A909" s="93"/>
      <c r="B909" s="93"/>
      <c r="C909" s="93"/>
      <c r="D909" s="106"/>
      <c r="E909" s="93"/>
      <c r="F909" s="93"/>
      <c r="G909" s="106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</row>
    <row r="910" ht="21.0" customHeight="1">
      <c r="A910" s="93"/>
      <c r="B910" s="93"/>
      <c r="C910" s="93"/>
      <c r="D910" s="106"/>
      <c r="E910" s="93"/>
      <c r="F910" s="93"/>
      <c r="G910" s="106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</row>
    <row r="911" ht="21.0" customHeight="1">
      <c r="A911" s="93"/>
      <c r="B911" s="93"/>
      <c r="C911" s="93"/>
      <c r="D911" s="106"/>
      <c r="E911" s="93"/>
      <c r="F911" s="93"/>
      <c r="G911" s="106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</row>
    <row r="912" ht="21.0" customHeight="1">
      <c r="A912" s="93"/>
      <c r="B912" s="93"/>
      <c r="C912" s="93"/>
      <c r="D912" s="106"/>
      <c r="E912" s="93"/>
      <c r="F912" s="93"/>
      <c r="G912" s="106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</row>
    <row r="913" ht="21.0" customHeight="1">
      <c r="A913" s="93"/>
      <c r="B913" s="93"/>
      <c r="C913" s="93"/>
      <c r="D913" s="106"/>
      <c r="E913" s="93"/>
      <c r="F913" s="93"/>
      <c r="G913" s="106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</row>
    <row r="914" ht="21.0" customHeight="1">
      <c r="A914" s="93"/>
      <c r="B914" s="93"/>
      <c r="C914" s="93"/>
      <c r="D914" s="106"/>
      <c r="E914" s="93"/>
      <c r="F914" s="93"/>
      <c r="G914" s="106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</row>
    <row r="915" ht="21.0" customHeight="1">
      <c r="A915" s="93"/>
      <c r="B915" s="93"/>
      <c r="C915" s="93"/>
      <c r="D915" s="106"/>
      <c r="E915" s="93"/>
      <c r="F915" s="93"/>
      <c r="G915" s="106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</row>
    <row r="916" ht="21.0" customHeight="1">
      <c r="A916" s="93"/>
      <c r="B916" s="93"/>
      <c r="C916" s="93"/>
      <c r="D916" s="106"/>
      <c r="E916" s="93"/>
      <c r="F916" s="93"/>
      <c r="G916" s="106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</row>
    <row r="917" ht="21.0" customHeight="1">
      <c r="A917" s="93"/>
      <c r="B917" s="93"/>
      <c r="C917" s="93"/>
      <c r="D917" s="106"/>
      <c r="E917" s="93"/>
      <c r="F917" s="93"/>
      <c r="G917" s="106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</row>
    <row r="918" ht="21.0" customHeight="1">
      <c r="A918" s="93"/>
      <c r="B918" s="93"/>
      <c r="C918" s="93"/>
      <c r="D918" s="106"/>
      <c r="E918" s="93"/>
      <c r="F918" s="93"/>
      <c r="G918" s="106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</row>
  </sheetData>
  <autoFilter ref="$A$1:$V$9">
    <sortState ref="A1:V9">
      <sortCondition ref="A1:A9"/>
      <sortCondition ref="B1:B9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9.71"/>
    <col customWidth="1" min="3" max="3" width="25.43"/>
    <col customWidth="1" min="4" max="4" width="15.14"/>
    <col customWidth="1" min="5" max="5" width="14.57"/>
    <col customWidth="1" min="6" max="6" width="12.29"/>
    <col customWidth="1" min="7" max="7" width="11.0"/>
    <col customWidth="1" min="8" max="8" width="44.71"/>
    <col customWidth="1" min="9" max="9" width="20.86"/>
    <col customWidth="1" min="10" max="10" width="12.29"/>
    <col customWidth="1" min="11" max="22" width="37.86"/>
  </cols>
  <sheetData>
    <row r="1" ht="25.5" customHeight="1">
      <c r="A1" s="1" t="s">
        <v>0</v>
      </c>
      <c r="B1" s="1" t="s">
        <v>1</v>
      </c>
      <c r="C1" s="1" t="s">
        <v>2</v>
      </c>
      <c r="D1" s="49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ht="25.5" customHeight="1">
      <c r="A2" s="27" t="s">
        <v>24</v>
      </c>
      <c r="B2" s="27">
        <v>1024.0</v>
      </c>
      <c r="C2" s="28" t="s">
        <v>256</v>
      </c>
      <c r="D2" s="86">
        <v>2.0</v>
      </c>
      <c r="E2" s="116" t="s">
        <v>257</v>
      </c>
      <c r="F2" s="27" t="s">
        <v>258</v>
      </c>
      <c r="G2" s="27">
        <v>6.0</v>
      </c>
      <c r="H2" s="122"/>
      <c r="I2" s="122"/>
      <c r="J2" s="12" t="b">
        <v>0</v>
      </c>
      <c r="K2" s="13" t="s">
        <v>16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5.5" customHeight="1">
      <c r="A3" s="27" t="s">
        <v>24</v>
      </c>
      <c r="B3" s="27">
        <v>1026.0</v>
      </c>
      <c r="C3" s="28" t="s">
        <v>259</v>
      </c>
      <c r="D3" s="86">
        <v>2.0</v>
      </c>
      <c r="E3" s="116" t="s">
        <v>260</v>
      </c>
      <c r="F3" s="27" t="s">
        <v>258</v>
      </c>
      <c r="G3" s="27">
        <v>2.0</v>
      </c>
      <c r="H3" s="28" t="s">
        <v>160</v>
      </c>
      <c r="I3" s="122"/>
      <c r="J3" s="12" t="b">
        <v>0</v>
      </c>
      <c r="K3" s="13" t="s">
        <v>16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5.5" customHeight="1">
      <c r="A4" s="8" t="s">
        <v>11</v>
      </c>
      <c r="B4" s="8">
        <v>1225.0</v>
      </c>
      <c r="C4" s="9" t="s">
        <v>261</v>
      </c>
      <c r="D4" s="65">
        <f>60/20</f>
        <v>3</v>
      </c>
      <c r="E4" s="145" t="s">
        <v>257</v>
      </c>
      <c r="F4" s="8" t="s">
        <v>258</v>
      </c>
      <c r="G4" s="8">
        <v>4.0</v>
      </c>
      <c r="H4" s="9" t="s">
        <v>80</v>
      </c>
      <c r="I4" s="83"/>
      <c r="J4" s="12" t="b">
        <v>0</v>
      </c>
      <c r="K4" s="13" t="s">
        <v>16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5.5" customHeight="1">
      <c r="A5" s="113" t="s">
        <v>156</v>
      </c>
      <c r="B5" s="113">
        <v>2024.0</v>
      </c>
      <c r="C5" s="126" t="s">
        <v>256</v>
      </c>
      <c r="D5" s="164">
        <v>2.0</v>
      </c>
      <c r="E5" s="114" t="s">
        <v>257</v>
      </c>
      <c r="F5" s="113" t="s">
        <v>258</v>
      </c>
      <c r="G5" s="113">
        <v>6.0</v>
      </c>
      <c r="H5" s="128"/>
      <c r="I5" s="128"/>
      <c r="J5" s="12" t="b">
        <v>0</v>
      </c>
      <c r="K5" s="13" t="s">
        <v>16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5.5" customHeight="1">
      <c r="A6" s="113" t="s">
        <v>156</v>
      </c>
      <c r="B6" s="113">
        <v>2025.0</v>
      </c>
      <c r="C6" s="126" t="s">
        <v>262</v>
      </c>
      <c r="D6" s="164">
        <v>2.0</v>
      </c>
      <c r="E6" s="114" t="s">
        <v>257</v>
      </c>
      <c r="F6" s="113" t="s">
        <v>258</v>
      </c>
      <c r="G6" s="113">
        <v>4.0</v>
      </c>
      <c r="H6" s="128"/>
      <c r="I6" s="128"/>
      <c r="J6" s="12" t="b">
        <v>0</v>
      </c>
      <c r="K6" s="13" t="s">
        <v>16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5.5" customHeight="1">
      <c r="A7" s="129" t="s">
        <v>170</v>
      </c>
      <c r="B7" s="130">
        <v>2324.0</v>
      </c>
      <c r="C7" s="129" t="s">
        <v>263</v>
      </c>
      <c r="D7" s="166">
        <v>2.0</v>
      </c>
      <c r="E7" s="131" t="s">
        <v>257</v>
      </c>
      <c r="F7" s="130" t="s">
        <v>258</v>
      </c>
      <c r="G7" s="130" t="s">
        <v>171</v>
      </c>
      <c r="H7" s="129" t="s">
        <v>172</v>
      </c>
      <c r="I7" s="132"/>
      <c r="J7" s="12" t="b">
        <v>0</v>
      </c>
      <c r="K7" s="13" t="s">
        <v>16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5.5" customHeight="1">
      <c r="A8" s="113" t="s">
        <v>156</v>
      </c>
      <c r="B8" s="113" t="s">
        <v>25</v>
      </c>
      <c r="C8" s="126" t="s">
        <v>259</v>
      </c>
      <c r="D8" s="164">
        <v>2.0</v>
      </c>
      <c r="E8" s="114" t="s">
        <v>260</v>
      </c>
      <c r="F8" s="113" t="s">
        <v>258</v>
      </c>
      <c r="G8" s="128"/>
      <c r="H8" s="128"/>
      <c r="I8" s="128"/>
      <c r="J8" s="12" t="b">
        <v>0</v>
      </c>
      <c r="K8" s="13" t="s">
        <v>16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25.5" customHeight="1">
      <c r="A9" s="93"/>
      <c r="B9" s="93"/>
      <c r="C9" s="93"/>
      <c r="D9" s="106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</row>
    <row r="10" ht="25.5" customHeight="1">
      <c r="A10" s="93"/>
      <c r="B10" s="93"/>
      <c r="C10" s="93"/>
      <c r="D10" s="106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</row>
    <row r="11" ht="25.5" customHeight="1">
      <c r="A11" s="93"/>
      <c r="B11" s="93"/>
      <c r="C11" s="93"/>
      <c r="D11" s="106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</row>
    <row r="12" ht="25.5" customHeight="1">
      <c r="A12" s="93"/>
      <c r="B12" s="93"/>
      <c r="C12" s="93"/>
      <c r="D12" s="106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</row>
    <row r="13" ht="25.5" customHeight="1">
      <c r="A13" s="93"/>
      <c r="B13" s="93"/>
      <c r="C13" s="93"/>
      <c r="D13" s="106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</row>
    <row r="14" ht="25.5" customHeight="1">
      <c r="A14" s="93"/>
      <c r="B14" s="93"/>
      <c r="C14" s="93"/>
      <c r="D14" s="106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</row>
    <row r="15" ht="25.5" customHeight="1">
      <c r="A15" s="93"/>
      <c r="B15" s="93"/>
      <c r="C15" s="93"/>
      <c r="D15" s="106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</row>
    <row r="16" ht="25.5" customHeight="1">
      <c r="A16" s="93"/>
      <c r="B16" s="93"/>
      <c r="C16" s="93"/>
      <c r="D16" s="106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ht="25.5" customHeight="1">
      <c r="A17" s="93"/>
      <c r="B17" s="93"/>
      <c r="C17" s="93"/>
      <c r="D17" s="106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ht="25.5" customHeight="1">
      <c r="A18" s="93"/>
      <c r="B18" s="93"/>
      <c r="C18" s="93"/>
      <c r="D18" s="106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</row>
    <row r="19" ht="25.5" customHeight="1">
      <c r="A19" s="93"/>
      <c r="B19" s="93"/>
      <c r="C19" s="93"/>
      <c r="D19" s="106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</row>
    <row r="20" ht="25.5" customHeight="1">
      <c r="A20" s="93"/>
      <c r="B20" s="93"/>
      <c r="C20" s="93"/>
      <c r="D20" s="106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ht="25.5" customHeight="1">
      <c r="A21" s="93"/>
      <c r="B21" s="93"/>
      <c r="C21" s="93"/>
      <c r="D21" s="106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ht="25.5" customHeight="1">
      <c r="A22" s="93"/>
      <c r="B22" s="93"/>
      <c r="C22" s="93"/>
      <c r="D22" s="106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ht="25.5" customHeight="1">
      <c r="A23" s="93"/>
      <c r="B23" s="93"/>
      <c r="C23" s="93"/>
      <c r="D23" s="106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ht="25.5" customHeight="1">
      <c r="A24" s="93"/>
      <c r="B24" s="93"/>
      <c r="C24" s="93"/>
      <c r="D24" s="106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ht="25.5" customHeight="1">
      <c r="A25" s="93"/>
      <c r="B25" s="93"/>
      <c r="C25" s="93"/>
      <c r="D25" s="106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ht="25.5" customHeight="1">
      <c r="A26" s="93"/>
      <c r="B26" s="93"/>
      <c r="C26" s="93"/>
      <c r="D26" s="106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ht="25.5" customHeight="1">
      <c r="A27" s="93"/>
      <c r="B27" s="93"/>
      <c r="C27" s="93"/>
      <c r="D27" s="106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ht="25.5" customHeight="1">
      <c r="A28" s="93"/>
      <c r="B28" s="93"/>
      <c r="C28" s="93"/>
      <c r="D28" s="106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ht="25.5" customHeight="1">
      <c r="A29" s="93"/>
      <c r="B29" s="93"/>
      <c r="C29" s="93"/>
      <c r="D29" s="106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  <row r="30" ht="25.5" customHeight="1">
      <c r="A30" s="93"/>
      <c r="B30" s="93"/>
      <c r="C30" s="93"/>
      <c r="D30" s="106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</row>
    <row r="31" ht="25.5" customHeight="1">
      <c r="A31" s="93"/>
      <c r="B31" s="93"/>
      <c r="C31" s="93"/>
      <c r="D31" s="106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</row>
    <row r="32" ht="25.5" customHeight="1">
      <c r="A32" s="93"/>
      <c r="B32" s="93"/>
      <c r="C32" s="93"/>
      <c r="D32" s="10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ht="25.5" customHeight="1">
      <c r="A33" s="93"/>
      <c r="B33" s="93"/>
      <c r="C33" s="93"/>
      <c r="D33" s="106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ht="25.5" customHeight="1">
      <c r="A34" s="93"/>
      <c r="B34" s="93"/>
      <c r="C34" s="93"/>
      <c r="D34" s="106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</row>
    <row r="35" ht="25.5" customHeight="1">
      <c r="A35" s="93"/>
      <c r="B35" s="93"/>
      <c r="C35" s="93"/>
      <c r="D35" s="106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</row>
    <row r="36" ht="25.5" customHeight="1">
      <c r="A36" s="93"/>
      <c r="B36" s="93"/>
      <c r="C36" s="93"/>
      <c r="D36" s="106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25.5" customHeight="1">
      <c r="A37" s="93"/>
      <c r="B37" s="93"/>
      <c r="C37" s="93"/>
      <c r="D37" s="106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</row>
    <row r="38" ht="25.5" customHeight="1">
      <c r="A38" s="93"/>
      <c r="B38" s="93"/>
      <c r="C38" s="93"/>
      <c r="D38" s="106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</row>
    <row r="39" ht="25.5" customHeight="1">
      <c r="A39" s="93"/>
      <c r="B39" s="93"/>
      <c r="C39" s="93"/>
      <c r="D39" s="106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</row>
    <row r="40" ht="25.5" customHeight="1">
      <c r="A40" s="93"/>
      <c r="B40" s="93"/>
      <c r="C40" s="93"/>
      <c r="D40" s="106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ht="25.5" customHeight="1">
      <c r="A41" s="93"/>
      <c r="B41" s="93"/>
      <c r="C41" s="93"/>
      <c r="D41" s="106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ht="25.5" customHeight="1">
      <c r="A42" s="93"/>
      <c r="B42" s="93"/>
      <c r="C42" s="93"/>
      <c r="D42" s="106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ht="25.5" customHeight="1">
      <c r="A43" s="93"/>
      <c r="B43" s="93"/>
      <c r="C43" s="93"/>
      <c r="D43" s="106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</row>
    <row r="44" ht="25.5" customHeight="1">
      <c r="A44" s="93"/>
      <c r="B44" s="93"/>
      <c r="C44" s="93"/>
      <c r="D44" s="106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</row>
    <row r="45" ht="25.5" customHeight="1">
      <c r="A45" s="93"/>
      <c r="B45" s="93"/>
      <c r="C45" s="93"/>
      <c r="D45" s="106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ht="25.5" customHeight="1">
      <c r="A46" s="93"/>
      <c r="B46" s="93"/>
      <c r="C46" s="93"/>
      <c r="D46" s="106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ht="25.5" customHeight="1">
      <c r="A47" s="93"/>
      <c r="B47" s="93"/>
      <c r="C47" s="93"/>
      <c r="D47" s="106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ht="25.5" customHeight="1">
      <c r="A48" s="93"/>
      <c r="B48" s="93"/>
      <c r="C48" s="93"/>
      <c r="D48" s="106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ht="25.5" customHeight="1">
      <c r="A49" s="93"/>
      <c r="B49" s="93"/>
      <c r="C49" s="93"/>
      <c r="D49" s="106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ht="25.5" customHeight="1">
      <c r="A50" s="93"/>
      <c r="B50" s="93"/>
      <c r="C50" s="93"/>
      <c r="D50" s="106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ht="25.5" customHeight="1">
      <c r="A51" s="93"/>
      <c r="B51" s="93"/>
      <c r="C51" s="93"/>
      <c r="D51" s="106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ht="25.5" customHeight="1">
      <c r="A52" s="93"/>
      <c r="B52" s="93"/>
      <c r="C52" s="93"/>
      <c r="D52" s="106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ht="25.5" customHeight="1">
      <c r="A53" s="93"/>
      <c r="B53" s="93"/>
      <c r="C53" s="93"/>
      <c r="D53" s="106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ht="25.5" customHeight="1">
      <c r="A54" s="93"/>
      <c r="B54" s="93"/>
      <c r="C54" s="93"/>
      <c r="D54" s="106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ht="25.5" customHeight="1">
      <c r="A55" s="93"/>
      <c r="B55" s="93"/>
      <c r="C55" s="93"/>
      <c r="D55" s="106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ht="25.5" customHeight="1">
      <c r="A56" s="93"/>
      <c r="B56" s="93"/>
      <c r="C56" s="93"/>
      <c r="D56" s="106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ht="25.5" customHeight="1">
      <c r="A57" s="93"/>
      <c r="B57" s="93"/>
      <c r="C57" s="93"/>
      <c r="D57" s="106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ht="25.5" customHeight="1">
      <c r="A58" s="93"/>
      <c r="B58" s="93"/>
      <c r="C58" s="93"/>
      <c r="D58" s="106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ht="25.5" customHeight="1">
      <c r="A59" s="93"/>
      <c r="B59" s="93"/>
      <c r="C59" s="93"/>
      <c r="D59" s="106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ht="25.5" customHeight="1">
      <c r="A60" s="93"/>
      <c r="B60" s="93"/>
      <c r="C60" s="93"/>
      <c r="D60" s="106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ht="25.5" customHeight="1">
      <c r="A61" s="93"/>
      <c r="B61" s="93"/>
      <c r="C61" s="93"/>
      <c r="D61" s="106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ht="25.5" customHeight="1">
      <c r="A62" s="93"/>
      <c r="B62" s="93"/>
      <c r="C62" s="93"/>
      <c r="D62" s="106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ht="25.5" customHeight="1">
      <c r="A63" s="93"/>
      <c r="B63" s="93"/>
      <c r="C63" s="93"/>
      <c r="D63" s="106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ht="25.5" customHeight="1">
      <c r="A64" s="93"/>
      <c r="B64" s="93"/>
      <c r="C64" s="93"/>
      <c r="D64" s="106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ht="25.5" customHeight="1">
      <c r="A65" s="93"/>
      <c r="B65" s="93"/>
      <c r="C65" s="93"/>
      <c r="D65" s="106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ht="25.5" customHeight="1">
      <c r="A66" s="93"/>
      <c r="B66" s="93"/>
      <c r="C66" s="93"/>
      <c r="D66" s="106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ht="25.5" customHeight="1">
      <c r="A67" s="93"/>
      <c r="B67" s="93"/>
      <c r="C67" s="93"/>
      <c r="D67" s="106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ht="25.5" customHeight="1">
      <c r="A68" s="93"/>
      <c r="B68" s="93"/>
      <c r="C68" s="93"/>
      <c r="D68" s="106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69" ht="25.5" customHeight="1">
      <c r="A69" s="93"/>
      <c r="B69" s="93"/>
      <c r="C69" s="93"/>
      <c r="D69" s="106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</row>
    <row r="70" ht="25.5" customHeight="1">
      <c r="A70" s="93"/>
      <c r="B70" s="93"/>
      <c r="C70" s="93"/>
      <c r="D70" s="106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</row>
    <row r="71" ht="25.5" customHeight="1">
      <c r="A71" s="93"/>
      <c r="B71" s="93"/>
      <c r="C71" s="93"/>
      <c r="D71" s="106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</row>
    <row r="72" ht="25.5" customHeight="1">
      <c r="A72" s="93"/>
      <c r="B72" s="93"/>
      <c r="C72" s="93"/>
      <c r="D72" s="106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</row>
    <row r="73" ht="25.5" customHeight="1">
      <c r="A73" s="93"/>
      <c r="B73" s="93"/>
      <c r="C73" s="93"/>
      <c r="D73" s="106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</row>
    <row r="74" ht="25.5" customHeight="1">
      <c r="A74" s="93"/>
      <c r="B74" s="93"/>
      <c r="C74" s="93"/>
      <c r="D74" s="106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</row>
    <row r="75" ht="25.5" customHeight="1">
      <c r="A75" s="93"/>
      <c r="B75" s="93"/>
      <c r="C75" s="93"/>
      <c r="D75" s="106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ht="25.5" customHeight="1">
      <c r="A76" s="93"/>
      <c r="B76" s="93"/>
      <c r="C76" s="93"/>
      <c r="D76" s="106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</row>
    <row r="77" ht="25.5" customHeight="1">
      <c r="A77" s="93"/>
      <c r="B77" s="93"/>
      <c r="C77" s="93"/>
      <c r="D77" s="106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</row>
    <row r="78" ht="25.5" customHeight="1">
      <c r="A78" s="93"/>
      <c r="B78" s="93"/>
      <c r="C78" s="93"/>
      <c r="D78" s="106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</row>
    <row r="79" ht="25.5" customHeight="1">
      <c r="A79" s="93"/>
      <c r="B79" s="93"/>
      <c r="C79" s="93"/>
      <c r="D79" s="106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</row>
    <row r="80" ht="25.5" customHeight="1">
      <c r="A80" s="93"/>
      <c r="B80" s="93"/>
      <c r="C80" s="93"/>
      <c r="D80" s="106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</row>
    <row r="81" ht="25.5" customHeight="1">
      <c r="A81" s="93"/>
      <c r="B81" s="93"/>
      <c r="C81" s="93"/>
      <c r="D81" s="106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ht="25.5" customHeight="1">
      <c r="A82" s="93"/>
      <c r="B82" s="93"/>
      <c r="C82" s="93"/>
      <c r="D82" s="106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</row>
    <row r="83" ht="25.5" customHeight="1">
      <c r="A83" s="93"/>
      <c r="B83" s="93"/>
      <c r="C83" s="93"/>
      <c r="D83" s="106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</row>
    <row r="84" ht="25.5" customHeight="1">
      <c r="A84" s="93"/>
      <c r="B84" s="93"/>
      <c r="C84" s="93"/>
      <c r="D84" s="106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</row>
    <row r="85" ht="25.5" customHeight="1">
      <c r="A85" s="93"/>
      <c r="B85" s="93"/>
      <c r="C85" s="93"/>
      <c r="D85" s="106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</row>
    <row r="86" ht="25.5" customHeight="1">
      <c r="A86" s="93"/>
      <c r="B86" s="93"/>
      <c r="C86" s="93"/>
      <c r="D86" s="106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</row>
    <row r="87" ht="25.5" customHeight="1">
      <c r="A87" s="93"/>
      <c r="B87" s="93"/>
      <c r="C87" s="93"/>
      <c r="D87" s="106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</row>
    <row r="88" ht="25.5" customHeight="1">
      <c r="A88" s="93"/>
      <c r="B88" s="93"/>
      <c r="C88" s="93"/>
      <c r="D88" s="106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ht="25.5" customHeight="1">
      <c r="A89" s="93"/>
      <c r="B89" s="93"/>
      <c r="C89" s="93"/>
      <c r="D89" s="106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</row>
    <row r="90" ht="25.5" customHeight="1">
      <c r="A90" s="93"/>
      <c r="B90" s="93"/>
      <c r="C90" s="93"/>
      <c r="D90" s="106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</row>
    <row r="91" ht="25.5" customHeight="1">
      <c r="A91" s="93"/>
      <c r="B91" s="93"/>
      <c r="C91" s="93"/>
      <c r="D91" s="106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</row>
    <row r="92" ht="25.5" customHeight="1">
      <c r="A92" s="93"/>
      <c r="B92" s="93"/>
      <c r="C92" s="93"/>
      <c r="D92" s="106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</row>
    <row r="93" ht="25.5" customHeight="1">
      <c r="A93" s="93"/>
      <c r="B93" s="93"/>
      <c r="C93" s="93"/>
      <c r="D93" s="106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</row>
    <row r="94" ht="25.5" customHeight="1">
      <c r="A94" s="93"/>
      <c r="B94" s="93"/>
      <c r="C94" s="93"/>
      <c r="D94" s="106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</row>
    <row r="95" ht="25.5" customHeight="1">
      <c r="A95" s="93"/>
      <c r="B95" s="93"/>
      <c r="C95" s="93"/>
      <c r="D95" s="106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</row>
    <row r="96" ht="25.5" customHeight="1">
      <c r="A96" s="93"/>
      <c r="B96" s="93"/>
      <c r="C96" s="93"/>
      <c r="D96" s="106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</row>
    <row r="97" ht="25.5" customHeight="1">
      <c r="A97" s="93"/>
      <c r="B97" s="93"/>
      <c r="C97" s="93"/>
      <c r="D97" s="106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</row>
    <row r="98" ht="25.5" customHeight="1">
      <c r="A98" s="93"/>
      <c r="B98" s="93"/>
      <c r="C98" s="93"/>
      <c r="D98" s="106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</row>
    <row r="99" ht="25.5" customHeight="1">
      <c r="A99" s="93"/>
      <c r="B99" s="93"/>
      <c r="C99" s="93"/>
      <c r="D99" s="106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</row>
    <row r="100" ht="25.5" customHeight="1">
      <c r="A100" s="93"/>
      <c r="B100" s="93"/>
      <c r="C100" s="93"/>
      <c r="D100" s="106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</row>
    <row r="101" ht="25.5" customHeight="1">
      <c r="A101" s="93"/>
      <c r="B101" s="93"/>
      <c r="C101" s="93"/>
      <c r="D101" s="106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</row>
    <row r="102" ht="25.5" customHeight="1">
      <c r="A102" s="93"/>
      <c r="B102" s="93"/>
      <c r="C102" s="93"/>
      <c r="D102" s="106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</row>
    <row r="103" ht="25.5" customHeight="1">
      <c r="A103" s="93"/>
      <c r="B103" s="93"/>
      <c r="C103" s="93"/>
      <c r="D103" s="106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</row>
    <row r="104" ht="25.5" customHeight="1">
      <c r="A104" s="93"/>
      <c r="B104" s="93"/>
      <c r="C104" s="93"/>
      <c r="D104" s="106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</row>
    <row r="105" ht="25.5" customHeight="1">
      <c r="A105" s="93"/>
      <c r="B105" s="93"/>
      <c r="C105" s="93"/>
      <c r="D105" s="106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</row>
    <row r="106" ht="25.5" customHeight="1">
      <c r="A106" s="93"/>
      <c r="B106" s="93"/>
      <c r="C106" s="93"/>
      <c r="D106" s="106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</row>
    <row r="107" ht="25.5" customHeight="1">
      <c r="A107" s="93"/>
      <c r="B107" s="93"/>
      <c r="C107" s="93"/>
      <c r="D107" s="106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</row>
    <row r="108" ht="25.5" customHeight="1">
      <c r="A108" s="93"/>
      <c r="B108" s="93"/>
      <c r="C108" s="93"/>
      <c r="D108" s="106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</row>
    <row r="109" ht="25.5" customHeight="1">
      <c r="A109" s="93"/>
      <c r="B109" s="93"/>
      <c r="C109" s="93"/>
      <c r="D109" s="106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</row>
    <row r="110" ht="25.5" customHeight="1">
      <c r="A110" s="93"/>
      <c r="B110" s="93"/>
      <c r="C110" s="93"/>
      <c r="D110" s="106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</row>
    <row r="111" ht="25.5" customHeight="1">
      <c r="A111" s="93"/>
      <c r="B111" s="93"/>
      <c r="C111" s="93"/>
      <c r="D111" s="106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</row>
    <row r="112" ht="25.5" customHeight="1">
      <c r="A112" s="93"/>
      <c r="B112" s="93"/>
      <c r="C112" s="93"/>
      <c r="D112" s="106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</row>
    <row r="113" ht="25.5" customHeight="1">
      <c r="A113" s="93"/>
      <c r="B113" s="93"/>
      <c r="C113" s="93"/>
      <c r="D113" s="106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</row>
    <row r="114" ht="25.5" customHeight="1">
      <c r="A114" s="93"/>
      <c r="B114" s="93"/>
      <c r="C114" s="93"/>
      <c r="D114" s="106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</row>
    <row r="115" ht="25.5" customHeight="1">
      <c r="A115" s="93"/>
      <c r="B115" s="93"/>
      <c r="C115" s="93"/>
      <c r="D115" s="106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</row>
    <row r="116" ht="25.5" customHeight="1">
      <c r="A116" s="93"/>
      <c r="B116" s="93"/>
      <c r="C116" s="93"/>
      <c r="D116" s="106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</row>
    <row r="117" ht="25.5" customHeight="1">
      <c r="A117" s="93"/>
      <c r="B117" s="93"/>
      <c r="C117" s="93"/>
      <c r="D117" s="106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</row>
    <row r="118" ht="25.5" customHeight="1">
      <c r="A118" s="93"/>
      <c r="B118" s="93"/>
      <c r="C118" s="93"/>
      <c r="D118" s="106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</row>
    <row r="119" ht="25.5" customHeight="1">
      <c r="A119" s="93"/>
      <c r="B119" s="93"/>
      <c r="C119" s="93"/>
      <c r="D119" s="106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</row>
    <row r="120" ht="25.5" customHeight="1">
      <c r="A120" s="93"/>
      <c r="B120" s="93"/>
      <c r="C120" s="93"/>
      <c r="D120" s="106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</row>
    <row r="121" ht="25.5" customHeight="1">
      <c r="A121" s="93"/>
      <c r="B121" s="93"/>
      <c r="C121" s="93"/>
      <c r="D121" s="106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ht="25.5" customHeight="1">
      <c r="A122" s="93"/>
      <c r="B122" s="93"/>
      <c r="C122" s="93"/>
      <c r="D122" s="106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</row>
    <row r="123" ht="25.5" customHeight="1">
      <c r="A123" s="93"/>
      <c r="B123" s="93"/>
      <c r="C123" s="93"/>
      <c r="D123" s="106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</row>
    <row r="124" ht="25.5" customHeight="1">
      <c r="A124" s="93"/>
      <c r="B124" s="93"/>
      <c r="C124" s="93"/>
      <c r="D124" s="106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</row>
    <row r="125" ht="25.5" customHeight="1">
      <c r="A125" s="93"/>
      <c r="B125" s="93"/>
      <c r="C125" s="93"/>
      <c r="D125" s="106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</row>
    <row r="126" ht="25.5" customHeight="1">
      <c r="A126" s="93"/>
      <c r="B126" s="93"/>
      <c r="C126" s="93"/>
      <c r="D126" s="106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</row>
    <row r="127" ht="25.5" customHeight="1">
      <c r="A127" s="93"/>
      <c r="B127" s="93"/>
      <c r="C127" s="93"/>
      <c r="D127" s="106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</row>
    <row r="128" ht="25.5" customHeight="1">
      <c r="A128" s="93"/>
      <c r="B128" s="93"/>
      <c r="C128" s="93"/>
      <c r="D128" s="106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</row>
    <row r="129" ht="25.5" customHeight="1">
      <c r="A129" s="93"/>
      <c r="B129" s="93"/>
      <c r="C129" s="93"/>
      <c r="D129" s="106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ht="25.5" customHeight="1">
      <c r="A130" s="93"/>
      <c r="B130" s="93"/>
      <c r="C130" s="93"/>
      <c r="D130" s="106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</row>
    <row r="131" ht="25.5" customHeight="1">
      <c r="A131" s="93"/>
      <c r="B131" s="93"/>
      <c r="C131" s="93"/>
      <c r="D131" s="106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</row>
    <row r="132" ht="25.5" customHeight="1">
      <c r="A132" s="93"/>
      <c r="B132" s="93"/>
      <c r="C132" s="93"/>
      <c r="D132" s="106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</row>
    <row r="133" ht="25.5" customHeight="1">
      <c r="A133" s="93"/>
      <c r="B133" s="93"/>
      <c r="C133" s="93"/>
      <c r="D133" s="106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</row>
    <row r="134" ht="25.5" customHeight="1">
      <c r="A134" s="93"/>
      <c r="B134" s="93"/>
      <c r="C134" s="93"/>
      <c r="D134" s="106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</row>
    <row r="135" ht="25.5" customHeight="1">
      <c r="A135" s="93"/>
      <c r="B135" s="93"/>
      <c r="C135" s="93"/>
      <c r="D135" s="106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</row>
    <row r="136" ht="25.5" customHeight="1">
      <c r="A136" s="93"/>
      <c r="B136" s="93"/>
      <c r="C136" s="93"/>
      <c r="D136" s="106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</row>
    <row r="137" ht="25.5" customHeight="1">
      <c r="A137" s="93"/>
      <c r="B137" s="93"/>
      <c r="C137" s="93"/>
      <c r="D137" s="106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</row>
    <row r="138" ht="25.5" customHeight="1">
      <c r="A138" s="93"/>
      <c r="B138" s="93"/>
      <c r="C138" s="93"/>
      <c r="D138" s="106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</row>
    <row r="139" ht="25.5" customHeight="1">
      <c r="A139" s="93"/>
      <c r="B139" s="93"/>
      <c r="C139" s="93"/>
      <c r="D139" s="106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</row>
    <row r="140" ht="25.5" customHeight="1">
      <c r="A140" s="93"/>
      <c r="B140" s="93"/>
      <c r="C140" s="93"/>
      <c r="D140" s="106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</row>
    <row r="141" ht="25.5" customHeight="1">
      <c r="A141" s="93"/>
      <c r="B141" s="93"/>
      <c r="C141" s="93"/>
      <c r="D141" s="106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</row>
    <row r="142" ht="25.5" customHeight="1">
      <c r="A142" s="93"/>
      <c r="B142" s="93"/>
      <c r="C142" s="93"/>
      <c r="D142" s="106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</row>
    <row r="143" ht="25.5" customHeight="1">
      <c r="A143" s="93"/>
      <c r="B143" s="93"/>
      <c r="C143" s="93"/>
      <c r="D143" s="106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</row>
    <row r="144" ht="25.5" customHeight="1">
      <c r="A144" s="93"/>
      <c r="B144" s="93"/>
      <c r="C144" s="93"/>
      <c r="D144" s="106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</row>
    <row r="145" ht="25.5" customHeight="1">
      <c r="A145" s="93"/>
      <c r="B145" s="93"/>
      <c r="C145" s="93"/>
      <c r="D145" s="106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</row>
    <row r="146" ht="25.5" customHeight="1">
      <c r="A146" s="93"/>
      <c r="B146" s="93"/>
      <c r="C146" s="93"/>
      <c r="D146" s="106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</row>
    <row r="147" ht="25.5" customHeight="1">
      <c r="A147" s="93"/>
      <c r="B147" s="93"/>
      <c r="C147" s="93"/>
      <c r="D147" s="106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</row>
    <row r="148" ht="25.5" customHeight="1">
      <c r="A148" s="93"/>
      <c r="B148" s="93"/>
      <c r="C148" s="93"/>
      <c r="D148" s="106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</row>
    <row r="149" ht="25.5" customHeight="1">
      <c r="A149" s="93"/>
      <c r="B149" s="93"/>
      <c r="C149" s="93"/>
      <c r="D149" s="106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</row>
    <row r="150" ht="25.5" customHeight="1">
      <c r="A150" s="93"/>
      <c r="B150" s="93"/>
      <c r="C150" s="93"/>
      <c r="D150" s="106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</row>
    <row r="151" ht="25.5" customHeight="1">
      <c r="A151" s="93"/>
      <c r="B151" s="93"/>
      <c r="C151" s="93"/>
      <c r="D151" s="106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</row>
    <row r="152" ht="25.5" customHeight="1">
      <c r="A152" s="93"/>
      <c r="B152" s="93"/>
      <c r="C152" s="93"/>
      <c r="D152" s="106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</row>
    <row r="153" ht="25.5" customHeight="1">
      <c r="A153" s="93"/>
      <c r="B153" s="93"/>
      <c r="C153" s="93"/>
      <c r="D153" s="106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</row>
    <row r="154" ht="25.5" customHeight="1">
      <c r="A154" s="93"/>
      <c r="B154" s="93"/>
      <c r="C154" s="93"/>
      <c r="D154" s="106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</row>
    <row r="155" ht="25.5" customHeight="1">
      <c r="A155" s="93"/>
      <c r="B155" s="93"/>
      <c r="C155" s="93"/>
      <c r="D155" s="106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</row>
    <row r="156" ht="25.5" customHeight="1">
      <c r="A156" s="93"/>
      <c r="B156" s="93"/>
      <c r="C156" s="93"/>
      <c r="D156" s="106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ht="25.5" customHeight="1">
      <c r="A157" s="93"/>
      <c r="B157" s="93"/>
      <c r="C157" s="93"/>
      <c r="D157" s="106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</row>
    <row r="158" ht="25.5" customHeight="1">
      <c r="A158" s="93"/>
      <c r="B158" s="93"/>
      <c r="C158" s="93"/>
      <c r="D158" s="106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</row>
    <row r="159" ht="25.5" customHeight="1">
      <c r="A159" s="93"/>
      <c r="B159" s="93"/>
      <c r="C159" s="93"/>
      <c r="D159" s="106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</row>
    <row r="160" ht="25.5" customHeight="1">
      <c r="A160" s="93"/>
      <c r="B160" s="93"/>
      <c r="C160" s="93"/>
      <c r="D160" s="106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</row>
    <row r="161" ht="25.5" customHeight="1">
      <c r="A161" s="93"/>
      <c r="B161" s="93"/>
      <c r="C161" s="93"/>
      <c r="D161" s="106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</row>
    <row r="162" ht="25.5" customHeight="1">
      <c r="A162" s="93"/>
      <c r="B162" s="93"/>
      <c r="C162" s="93"/>
      <c r="D162" s="106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</row>
    <row r="163" ht="25.5" customHeight="1">
      <c r="A163" s="93"/>
      <c r="B163" s="93"/>
      <c r="C163" s="93"/>
      <c r="D163" s="106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</row>
    <row r="164" ht="25.5" customHeight="1">
      <c r="A164" s="93"/>
      <c r="B164" s="93"/>
      <c r="C164" s="93"/>
      <c r="D164" s="106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</row>
    <row r="165" ht="25.5" customHeight="1">
      <c r="A165" s="93"/>
      <c r="B165" s="93"/>
      <c r="C165" s="93"/>
      <c r="D165" s="106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</row>
    <row r="166" ht="25.5" customHeight="1">
      <c r="A166" s="93"/>
      <c r="B166" s="93"/>
      <c r="C166" s="93"/>
      <c r="D166" s="106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</row>
    <row r="167" ht="25.5" customHeight="1">
      <c r="A167" s="93"/>
      <c r="B167" s="93"/>
      <c r="C167" s="93"/>
      <c r="D167" s="106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</row>
    <row r="168" ht="25.5" customHeight="1">
      <c r="A168" s="93"/>
      <c r="B168" s="93"/>
      <c r="C168" s="93"/>
      <c r="D168" s="106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</row>
    <row r="169" ht="25.5" customHeight="1">
      <c r="A169" s="93"/>
      <c r="B169" s="93"/>
      <c r="C169" s="93"/>
      <c r="D169" s="106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</row>
    <row r="170" ht="25.5" customHeight="1">
      <c r="A170" s="93"/>
      <c r="B170" s="93"/>
      <c r="C170" s="93"/>
      <c r="D170" s="106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</row>
    <row r="171" ht="25.5" customHeight="1">
      <c r="A171" s="93"/>
      <c r="B171" s="93"/>
      <c r="C171" s="93"/>
      <c r="D171" s="106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</row>
    <row r="172" ht="25.5" customHeight="1">
      <c r="A172" s="93"/>
      <c r="B172" s="93"/>
      <c r="C172" s="93"/>
      <c r="D172" s="106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</row>
    <row r="173" ht="25.5" customHeight="1">
      <c r="A173" s="93"/>
      <c r="B173" s="93"/>
      <c r="C173" s="93"/>
      <c r="D173" s="106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</row>
    <row r="174" ht="25.5" customHeight="1">
      <c r="A174" s="93"/>
      <c r="B174" s="93"/>
      <c r="C174" s="93"/>
      <c r="D174" s="106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</row>
    <row r="175" ht="25.5" customHeight="1">
      <c r="A175" s="93"/>
      <c r="B175" s="93"/>
      <c r="C175" s="93"/>
      <c r="D175" s="106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</row>
    <row r="176" ht="25.5" customHeight="1">
      <c r="A176" s="93"/>
      <c r="B176" s="93"/>
      <c r="C176" s="93"/>
      <c r="D176" s="106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</row>
    <row r="177" ht="25.5" customHeight="1">
      <c r="A177" s="93"/>
      <c r="B177" s="93"/>
      <c r="C177" s="93"/>
      <c r="D177" s="106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</row>
    <row r="178" ht="25.5" customHeight="1">
      <c r="A178" s="93"/>
      <c r="B178" s="93"/>
      <c r="C178" s="93"/>
      <c r="D178" s="106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</row>
    <row r="179" ht="25.5" customHeight="1">
      <c r="A179" s="93"/>
      <c r="B179" s="93"/>
      <c r="C179" s="93"/>
      <c r="D179" s="106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</row>
    <row r="180" ht="25.5" customHeight="1">
      <c r="A180" s="93"/>
      <c r="B180" s="93"/>
      <c r="C180" s="93"/>
      <c r="D180" s="106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</row>
    <row r="181" ht="25.5" customHeight="1">
      <c r="A181" s="93"/>
      <c r="B181" s="93"/>
      <c r="C181" s="93"/>
      <c r="D181" s="106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</row>
    <row r="182" ht="25.5" customHeight="1">
      <c r="A182" s="93"/>
      <c r="B182" s="93"/>
      <c r="C182" s="93"/>
      <c r="D182" s="106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</row>
    <row r="183" ht="25.5" customHeight="1">
      <c r="A183" s="93"/>
      <c r="B183" s="93"/>
      <c r="C183" s="93"/>
      <c r="D183" s="106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</row>
    <row r="184" ht="25.5" customHeight="1">
      <c r="A184" s="93"/>
      <c r="B184" s="93"/>
      <c r="C184" s="93"/>
      <c r="D184" s="106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</row>
    <row r="185" ht="25.5" customHeight="1">
      <c r="A185" s="93"/>
      <c r="B185" s="93"/>
      <c r="C185" s="93"/>
      <c r="D185" s="106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</row>
    <row r="186" ht="25.5" customHeight="1">
      <c r="A186" s="93"/>
      <c r="B186" s="93"/>
      <c r="C186" s="93"/>
      <c r="D186" s="106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</row>
    <row r="187" ht="25.5" customHeight="1">
      <c r="A187" s="93"/>
      <c r="B187" s="93"/>
      <c r="C187" s="93"/>
      <c r="D187" s="106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</row>
    <row r="188" ht="25.5" customHeight="1">
      <c r="A188" s="93"/>
      <c r="B188" s="93"/>
      <c r="C188" s="93"/>
      <c r="D188" s="106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</row>
    <row r="189" ht="25.5" customHeight="1">
      <c r="A189" s="93"/>
      <c r="B189" s="93"/>
      <c r="C189" s="93"/>
      <c r="D189" s="106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</row>
    <row r="190" ht="25.5" customHeight="1">
      <c r="A190" s="93"/>
      <c r="B190" s="93"/>
      <c r="C190" s="93"/>
      <c r="D190" s="106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</row>
    <row r="191" ht="25.5" customHeight="1">
      <c r="A191" s="93"/>
      <c r="B191" s="93"/>
      <c r="C191" s="93"/>
      <c r="D191" s="106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</row>
    <row r="192" ht="25.5" customHeight="1">
      <c r="A192" s="93"/>
      <c r="B192" s="93"/>
      <c r="C192" s="93"/>
      <c r="D192" s="106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</row>
    <row r="193" ht="25.5" customHeight="1">
      <c r="A193" s="93"/>
      <c r="B193" s="93"/>
      <c r="C193" s="93"/>
      <c r="D193" s="106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</row>
    <row r="194" ht="25.5" customHeight="1">
      <c r="A194" s="93"/>
      <c r="B194" s="93"/>
      <c r="C194" s="93"/>
      <c r="D194" s="106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</row>
    <row r="195" ht="25.5" customHeight="1">
      <c r="A195" s="93"/>
      <c r="B195" s="93"/>
      <c r="C195" s="93"/>
      <c r="D195" s="106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</row>
    <row r="196" ht="25.5" customHeight="1">
      <c r="A196" s="93"/>
      <c r="B196" s="93"/>
      <c r="C196" s="93"/>
      <c r="D196" s="106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</row>
    <row r="197" ht="25.5" customHeight="1">
      <c r="A197" s="93"/>
      <c r="B197" s="93"/>
      <c r="C197" s="93"/>
      <c r="D197" s="106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</row>
    <row r="198" ht="25.5" customHeight="1">
      <c r="A198" s="93"/>
      <c r="B198" s="93"/>
      <c r="C198" s="93"/>
      <c r="D198" s="106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</row>
    <row r="199" ht="25.5" customHeight="1">
      <c r="A199" s="93"/>
      <c r="B199" s="93"/>
      <c r="C199" s="93"/>
      <c r="D199" s="106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</row>
    <row r="200" ht="25.5" customHeight="1">
      <c r="A200" s="93"/>
      <c r="B200" s="93"/>
      <c r="C200" s="93"/>
      <c r="D200" s="106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ht="25.5" customHeight="1">
      <c r="A201" s="93"/>
      <c r="B201" s="93"/>
      <c r="C201" s="93"/>
      <c r="D201" s="106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</row>
    <row r="202" ht="25.5" customHeight="1">
      <c r="A202" s="93"/>
      <c r="B202" s="93"/>
      <c r="C202" s="93"/>
      <c r="D202" s="106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</row>
    <row r="203" ht="25.5" customHeight="1">
      <c r="A203" s="93"/>
      <c r="B203" s="93"/>
      <c r="C203" s="93"/>
      <c r="D203" s="106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</row>
    <row r="204" ht="25.5" customHeight="1">
      <c r="A204" s="93"/>
      <c r="B204" s="93"/>
      <c r="C204" s="93"/>
      <c r="D204" s="106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</row>
    <row r="205" ht="25.5" customHeight="1">
      <c r="A205" s="93"/>
      <c r="B205" s="93"/>
      <c r="C205" s="93"/>
      <c r="D205" s="106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</row>
    <row r="206" ht="25.5" customHeight="1">
      <c r="A206" s="93"/>
      <c r="B206" s="93"/>
      <c r="C206" s="93"/>
      <c r="D206" s="106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</row>
    <row r="207" ht="25.5" customHeight="1">
      <c r="A207" s="93"/>
      <c r="B207" s="93"/>
      <c r="C207" s="93"/>
      <c r="D207" s="106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</row>
    <row r="208" ht="25.5" customHeight="1">
      <c r="A208" s="93"/>
      <c r="B208" s="93"/>
      <c r="C208" s="93"/>
      <c r="D208" s="106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</row>
    <row r="209" ht="25.5" customHeight="1">
      <c r="A209" s="93"/>
      <c r="B209" s="93"/>
      <c r="C209" s="93"/>
      <c r="D209" s="106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</row>
    <row r="210" ht="25.5" customHeight="1">
      <c r="A210" s="93"/>
      <c r="B210" s="93"/>
      <c r="C210" s="93"/>
      <c r="D210" s="106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</row>
    <row r="211" ht="25.5" customHeight="1">
      <c r="A211" s="93"/>
      <c r="B211" s="93"/>
      <c r="C211" s="93"/>
      <c r="D211" s="106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</row>
    <row r="212" ht="25.5" customHeight="1">
      <c r="A212" s="93"/>
      <c r="B212" s="93"/>
      <c r="C212" s="93"/>
      <c r="D212" s="106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</row>
    <row r="213" ht="25.5" customHeight="1">
      <c r="A213" s="93"/>
      <c r="B213" s="93"/>
      <c r="C213" s="93"/>
      <c r="D213" s="106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</row>
    <row r="214" ht="25.5" customHeight="1">
      <c r="A214" s="93"/>
      <c r="B214" s="93"/>
      <c r="C214" s="93"/>
      <c r="D214" s="106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</row>
    <row r="215" ht="25.5" customHeight="1">
      <c r="A215" s="93"/>
      <c r="B215" s="93"/>
      <c r="C215" s="93"/>
      <c r="D215" s="106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</row>
    <row r="216" ht="25.5" customHeight="1">
      <c r="A216" s="93"/>
      <c r="B216" s="93"/>
      <c r="C216" s="93"/>
      <c r="D216" s="106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</row>
    <row r="217" ht="25.5" customHeight="1">
      <c r="A217" s="93"/>
      <c r="B217" s="93"/>
      <c r="C217" s="93"/>
      <c r="D217" s="106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</row>
    <row r="218" ht="25.5" customHeight="1">
      <c r="A218" s="93"/>
      <c r="B218" s="93"/>
      <c r="C218" s="93"/>
      <c r="D218" s="106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</row>
    <row r="219" ht="25.5" customHeight="1">
      <c r="A219" s="93"/>
      <c r="B219" s="93"/>
      <c r="C219" s="93"/>
      <c r="D219" s="106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</row>
    <row r="220" ht="25.5" customHeight="1">
      <c r="A220" s="93"/>
      <c r="B220" s="93"/>
      <c r="C220" s="93"/>
      <c r="D220" s="106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</row>
    <row r="221" ht="25.5" customHeight="1">
      <c r="A221" s="93"/>
      <c r="B221" s="93"/>
      <c r="C221" s="93"/>
      <c r="D221" s="106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</row>
    <row r="222" ht="25.5" customHeight="1">
      <c r="A222" s="93"/>
      <c r="B222" s="93"/>
      <c r="C222" s="93"/>
      <c r="D222" s="106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</row>
    <row r="223" ht="25.5" customHeight="1">
      <c r="A223" s="93"/>
      <c r="B223" s="93"/>
      <c r="C223" s="93"/>
      <c r="D223" s="106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</row>
    <row r="224" ht="25.5" customHeight="1">
      <c r="A224" s="93"/>
      <c r="B224" s="93"/>
      <c r="C224" s="93"/>
      <c r="D224" s="106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</row>
    <row r="225" ht="25.5" customHeight="1">
      <c r="A225" s="93"/>
      <c r="B225" s="93"/>
      <c r="C225" s="93"/>
      <c r="D225" s="106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</row>
    <row r="226" ht="25.5" customHeight="1">
      <c r="A226" s="93"/>
      <c r="B226" s="93"/>
      <c r="C226" s="93"/>
      <c r="D226" s="106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</row>
    <row r="227" ht="25.5" customHeight="1">
      <c r="A227" s="93"/>
      <c r="B227" s="93"/>
      <c r="C227" s="93"/>
      <c r="D227" s="106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</row>
    <row r="228" ht="25.5" customHeight="1">
      <c r="A228" s="93"/>
      <c r="B228" s="93"/>
      <c r="C228" s="93"/>
      <c r="D228" s="106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</row>
    <row r="229" ht="25.5" customHeight="1">
      <c r="A229" s="93"/>
      <c r="B229" s="93"/>
      <c r="C229" s="93"/>
      <c r="D229" s="106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</row>
    <row r="230" ht="25.5" customHeight="1">
      <c r="A230" s="93"/>
      <c r="B230" s="93"/>
      <c r="C230" s="93"/>
      <c r="D230" s="106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</row>
    <row r="231" ht="25.5" customHeight="1">
      <c r="A231" s="93"/>
      <c r="B231" s="93"/>
      <c r="C231" s="93"/>
      <c r="D231" s="106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</row>
    <row r="232" ht="25.5" customHeight="1">
      <c r="A232" s="93"/>
      <c r="B232" s="93"/>
      <c r="C232" s="93"/>
      <c r="D232" s="106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</row>
    <row r="233" ht="25.5" customHeight="1">
      <c r="A233" s="93"/>
      <c r="B233" s="93"/>
      <c r="C233" s="93"/>
      <c r="D233" s="106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</row>
    <row r="234" ht="25.5" customHeight="1">
      <c r="A234" s="93"/>
      <c r="B234" s="93"/>
      <c r="C234" s="93"/>
      <c r="D234" s="106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</row>
    <row r="235" ht="25.5" customHeight="1">
      <c r="A235" s="93"/>
      <c r="B235" s="93"/>
      <c r="C235" s="93"/>
      <c r="D235" s="106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</row>
    <row r="236" ht="25.5" customHeight="1">
      <c r="A236" s="93"/>
      <c r="B236" s="93"/>
      <c r="C236" s="93"/>
      <c r="D236" s="106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</row>
    <row r="237" ht="25.5" customHeight="1">
      <c r="A237" s="93"/>
      <c r="B237" s="93"/>
      <c r="C237" s="93"/>
      <c r="D237" s="106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</row>
    <row r="238" ht="25.5" customHeight="1">
      <c r="A238" s="93"/>
      <c r="B238" s="93"/>
      <c r="C238" s="93"/>
      <c r="D238" s="106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</row>
    <row r="239" ht="25.5" customHeight="1">
      <c r="A239" s="93"/>
      <c r="B239" s="93"/>
      <c r="C239" s="93"/>
      <c r="D239" s="106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</row>
    <row r="240" ht="25.5" customHeight="1">
      <c r="A240" s="93"/>
      <c r="B240" s="93"/>
      <c r="C240" s="93"/>
      <c r="D240" s="106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</row>
    <row r="241" ht="25.5" customHeight="1">
      <c r="A241" s="93"/>
      <c r="B241" s="93"/>
      <c r="C241" s="93"/>
      <c r="D241" s="106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</row>
    <row r="242" ht="25.5" customHeight="1">
      <c r="A242" s="93"/>
      <c r="B242" s="93"/>
      <c r="C242" s="93"/>
      <c r="D242" s="106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</row>
    <row r="243" ht="25.5" customHeight="1">
      <c r="A243" s="93"/>
      <c r="B243" s="93"/>
      <c r="C243" s="93"/>
      <c r="D243" s="106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</row>
    <row r="244" ht="25.5" customHeight="1">
      <c r="A244" s="93"/>
      <c r="B244" s="93"/>
      <c r="C244" s="93"/>
      <c r="D244" s="106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</row>
    <row r="245" ht="25.5" customHeight="1">
      <c r="A245" s="93"/>
      <c r="B245" s="93"/>
      <c r="C245" s="93"/>
      <c r="D245" s="106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</row>
    <row r="246" ht="25.5" customHeight="1">
      <c r="A246" s="93"/>
      <c r="B246" s="93"/>
      <c r="C246" s="93"/>
      <c r="D246" s="106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</row>
    <row r="247" ht="25.5" customHeight="1">
      <c r="A247" s="93"/>
      <c r="B247" s="93"/>
      <c r="C247" s="93"/>
      <c r="D247" s="106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</row>
    <row r="248" ht="25.5" customHeight="1">
      <c r="A248" s="93"/>
      <c r="B248" s="93"/>
      <c r="C248" s="93"/>
      <c r="D248" s="106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</row>
    <row r="249" ht="25.5" customHeight="1">
      <c r="A249" s="93"/>
      <c r="B249" s="93"/>
      <c r="C249" s="93"/>
      <c r="D249" s="106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</row>
    <row r="250" ht="25.5" customHeight="1">
      <c r="A250" s="93"/>
      <c r="B250" s="93"/>
      <c r="C250" s="93"/>
      <c r="D250" s="106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</row>
    <row r="251" ht="25.5" customHeight="1">
      <c r="A251" s="93"/>
      <c r="B251" s="93"/>
      <c r="C251" s="93"/>
      <c r="D251" s="106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</row>
    <row r="252" ht="25.5" customHeight="1">
      <c r="A252" s="93"/>
      <c r="B252" s="93"/>
      <c r="C252" s="93"/>
      <c r="D252" s="106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</row>
    <row r="253" ht="25.5" customHeight="1">
      <c r="A253" s="93"/>
      <c r="B253" s="93"/>
      <c r="C253" s="93"/>
      <c r="D253" s="106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</row>
    <row r="254" ht="25.5" customHeight="1">
      <c r="A254" s="93"/>
      <c r="B254" s="93"/>
      <c r="C254" s="93"/>
      <c r="D254" s="106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</row>
    <row r="255" ht="25.5" customHeight="1">
      <c r="A255" s="93"/>
      <c r="B255" s="93"/>
      <c r="C255" s="93"/>
      <c r="D255" s="106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</row>
    <row r="256" ht="25.5" customHeight="1">
      <c r="A256" s="93"/>
      <c r="B256" s="93"/>
      <c r="C256" s="93"/>
      <c r="D256" s="106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</row>
    <row r="257" ht="25.5" customHeight="1">
      <c r="A257" s="93"/>
      <c r="B257" s="93"/>
      <c r="C257" s="93"/>
      <c r="D257" s="106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</row>
    <row r="258" ht="25.5" customHeight="1">
      <c r="A258" s="93"/>
      <c r="B258" s="93"/>
      <c r="C258" s="93"/>
      <c r="D258" s="106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</row>
    <row r="259" ht="25.5" customHeight="1">
      <c r="A259" s="93"/>
      <c r="B259" s="93"/>
      <c r="C259" s="93"/>
      <c r="D259" s="106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</row>
    <row r="260" ht="25.5" customHeight="1">
      <c r="A260" s="93"/>
      <c r="B260" s="93"/>
      <c r="C260" s="93"/>
      <c r="D260" s="106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</row>
    <row r="261" ht="25.5" customHeight="1">
      <c r="A261" s="93"/>
      <c r="B261" s="93"/>
      <c r="C261" s="93"/>
      <c r="D261" s="106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</row>
    <row r="262" ht="25.5" customHeight="1">
      <c r="A262" s="93"/>
      <c r="B262" s="93"/>
      <c r="C262" s="93"/>
      <c r="D262" s="106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</row>
    <row r="263" ht="25.5" customHeight="1">
      <c r="A263" s="93"/>
      <c r="B263" s="93"/>
      <c r="C263" s="93"/>
      <c r="D263" s="106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</row>
    <row r="264" ht="25.5" customHeight="1">
      <c r="A264" s="93"/>
      <c r="B264" s="93"/>
      <c r="C264" s="93"/>
      <c r="D264" s="106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</row>
    <row r="265" ht="25.5" customHeight="1">
      <c r="A265" s="93"/>
      <c r="B265" s="93"/>
      <c r="C265" s="93"/>
      <c r="D265" s="106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</row>
    <row r="266" ht="25.5" customHeight="1">
      <c r="A266" s="93"/>
      <c r="B266" s="93"/>
      <c r="C266" s="93"/>
      <c r="D266" s="106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</row>
    <row r="267" ht="25.5" customHeight="1">
      <c r="A267" s="93"/>
      <c r="B267" s="93"/>
      <c r="C267" s="93"/>
      <c r="D267" s="106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</row>
    <row r="268" ht="25.5" customHeight="1">
      <c r="A268" s="93"/>
      <c r="B268" s="93"/>
      <c r="C268" s="93"/>
      <c r="D268" s="106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ht="25.5" customHeight="1">
      <c r="A269" s="93"/>
      <c r="B269" s="93"/>
      <c r="C269" s="93"/>
      <c r="D269" s="106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</row>
    <row r="270" ht="25.5" customHeight="1">
      <c r="A270" s="93"/>
      <c r="B270" s="93"/>
      <c r="C270" s="93"/>
      <c r="D270" s="106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</row>
    <row r="271" ht="25.5" customHeight="1">
      <c r="A271" s="93"/>
      <c r="B271" s="93"/>
      <c r="C271" s="93"/>
      <c r="D271" s="106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</row>
    <row r="272" ht="25.5" customHeight="1">
      <c r="A272" s="93"/>
      <c r="B272" s="93"/>
      <c r="C272" s="93"/>
      <c r="D272" s="106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</row>
    <row r="273" ht="25.5" customHeight="1">
      <c r="A273" s="93"/>
      <c r="B273" s="93"/>
      <c r="C273" s="93"/>
      <c r="D273" s="106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</row>
    <row r="274" ht="25.5" customHeight="1">
      <c r="A274" s="93"/>
      <c r="B274" s="93"/>
      <c r="C274" s="93"/>
      <c r="D274" s="106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</row>
    <row r="275" ht="25.5" customHeight="1">
      <c r="A275" s="93"/>
      <c r="B275" s="93"/>
      <c r="C275" s="93"/>
      <c r="D275" s="106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</row>
    <row r="276" ht="25.5" customHeight="1">
      <c r="A276" s="93"/>
      <c r="B276" s="93"/>
      <c r="C276" s="93"/>
      <c r="D276" s="106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</row>
    <row r="277" ht="25.5" customHeight="1">
      <c r="A277" s="93"/>
      <c r="B277" s="93"/>
      <c r="C277" s="93"/>
      <c r="D277" s="106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</row>
    <row r="278" ht="25.5" customHeight="1">
      <c r="A278" s="93"/>
      <c r="B278" s="93"/>
      <c r="C278" s="93"/>
      <c r="D278" s="106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</row>
    <row r="279" ht="25.5" customHeight="1">
      <c r="A279" s="93"/>
      <c r="B279" s="93"/>
      <c r="C279" s="93"/>
      <c r="D279" s="106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</row>
    <row r="280" ht="25.5" customHeight="1">
      <c r="A280" s="93"/>
      <c r="B280" s="93"/>
      <c r="C280" s="93"/>
      <c r="D280" s="106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</row>
    <row r="281" ht="25.5" customHeight="1">
      <c r="A281" s="93"/>
      <c r="B281" s="93"/>
      <c r="C281" s="93"/>
      <c r="D281" s="106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</row>
    <row r="282" ht="25.5" customHeight="1">
      <c r="A282" s="93"/>
      <c r="B282" s="93"/>
      <c r="C282" s="93"/>
      <c r="D282" s="106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</row>
    <row r="283" ht="25.5" customHeight="1">
      <c r="A283" s="93"/>
      <c r="B283" s="93"/>
      <c r="C283" s="93"/>
      <c r="D283" s="106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</row>
    <row r="284" ht="25.5" customHeight="1">
      <c r="A284" s="93"/>
      <c r="B284" s="93"/>
      <c r="C284" s="93"/>
      <c r="D284" s="106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</row>
    <row r="285" ht="25.5" customHeight="1">
      <c r="A285" s="93"/>
      <c r="B285" s="93"/>
      <c r="C285" s="93"/>
      <c r="D285" s="106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</row>
    <row r="286" ht="25.5" customHeight="1">
      <c r="A286" s="93"/>
      <c r="B286" s="93"/>
      <c r="C286" s="93"/>
      <c r="D286" s="106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</row>
    <row r="287" ht="25.5" customHeight="1">
      <c r="A287" s="93"/>
      <c r="B287" s="93"/>
      <c r="C287" s="93"/>
      <c r="D287" s="106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</row>
    <row r="288" ht="25.5" customHeight="1">
      <c r="A288" s="93"/>
      <c r="B288" s="93"/>
      <c r="C288" s="93"/>
      <c r="D288" s="106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</row>
    <row r="289" ht="25.5" customHeight="1">
      <c r="A289" s="93"/>
      <c r="B289" s="93"/>
      <c r="C289" s="93"/>
      <c r="D289" s="106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</row>
    <row r="290" ht="25.5" customHeight="1">
      <c r="A290" s="93"/>
      <c r="B290" s="93"/>
      <c r="C290" s="93"/>
      <c r="D290" s="106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</row>
    <row r="291" ht="25.5" customHeight="1">
      <c r="A291" s="93"/>
      <c r="B291" s="93"/>
      <c r="C291" s="93"/>
      <c r="D291" s="106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</row>
    <row r="292" ht="25.5" customHeight="1">
      <c r="A292" s="93"/>
      <c r="B292" s="93"/>
      <c r="C292" s="93"/>
      <c r="D292" s="106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</row>
    <row r="293" ht="25.5" customHeight="1">
      <c r="A293" s="93"/>
      <c r="B293" s="93"/>
      <c r="C293" s="93"/>
      <c r="D293" s="106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</row>
    <row r="294" ht="25.5" customHeight="1">
      <c r="A294" s="93"/>
      <c r="B294" s="93"/>
      <c r="C294" s="93"/>
      <c r="D294" s="106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</row>
    <row r="295" ht="25.5" customHeight="1">
      <c r="A295" s="93"/>
      <c r="B295" s="93"/>
      <c r="C295" s="93"/>
      <c r="D295" s="106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</row>
    <row r="296" ht="25.5" customHeight="1">
      <c r="A296" s="93"/>
      <c r="B296" s="93"/>
      <c r="C296" s="93"/>
      <c r="D296" s="106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</row>
    <row r="297" ht="25.5" customHeight="1">
      <c r="A297" s="93"/>
      <c r="B297" s="93"/>
      <c r="C297" s="93"/>
      <c r="D297" s="106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</row>
    <row r="298" ht="25.5" customHeight="1">
      <c r="A298" s="93"/>
      <c r="B298" s="93"/>
      <c r="C298" s="93"/>
      <c r="D298" s="106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</row>
    <row r="299" ht="25.5" customHeight="1">
      <c r="A299" s="93"/>
      <c r="B299" s="93"/>
      <c r="C299" s="93"/>
      <c r="D299" s="106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</row>
    <row r="300" ht="25.5" customHeight="1">
      <c r="A300" s="93"/>
      <c r="B300" s="93"/>
      <c r="C300" s="93"/>
      <c r="D300" s="106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</row>
    <row r="301" ht="25.5" customHeight="1">
      <c r="A301" s="93"/>
      <c r="B301" s="93"/>
      <c r="C301" s="93"/>
      <c r="D301" s="106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</row>
    <row r="302" ht="25.5" customHeight="1">
      <c r="A302" s="93"/>
      <c r="B302" s="93"/>
      <c r="C302" s="93"/>
      <c r="D302" s="106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</row>
    <row r="303" ht="25.5" customHeight="1">
      <c r="A303" s="93"/>
      <c r="B303" s="93"/>
      <c r="C303" s="93"/>
      <c r="D303" s="106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</row>
    <row r="304" ht="25.5" customHeight="1">
      <c r="A304" s="93"/>
      <c r="B304" s="93"/>
      <c r="C304" s="93"/>
      <c r="D304" s="106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</row>
    <row r="305" ht="25.5" customHeight="1">
      <c r="A305" s="93"/>
      <c r="B305" s="93"/>
      <c r="C305" s="93"/>
      <c r="D305" s="106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</row>
    <row r="306" ht="25.5" customHeight="1">
      <c r="A306" s="93"/>
      <c r="B306" s="93"/>
      <c r="C306" s="93"/>
      <c r="D306" s="106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</row>
    <row r="307" ht="25.5" customHeight="1">
      <c r="A307" s="93"/>
      <c r="B307" s="93"/>
      <c r="C307" s="93"/>
      <c r="D307" s="106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</row>
    <row r="308" ht="25.5" customHeight="1">
      <c r="A308" s="93"/>
      <c r="B308" s="93"/>
      <c r="C308" s="93"/>
      <c r="D308" s="106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</row>
    <row r="309" ht="25.5" customHeight="1">
      <c r="A309" s="93"/>
      <c r="B309" s="93"/>
      <c r="C309" s="93"/>
      <c r="D309" s="106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</row>
    <row r="310" ht="25.5" customHeight="1">
      <c r="A310" s="93"/>
      <c r="B310" s="93"/>
      <c r="C310" s="93"/>
      <c r="D310" s="106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</row>
    <row r="311" ht="25.5" customHeight="1">
      <c r="A311" s="93"/>
      <c r="B311" s="93"/>
      <c r="C311" s="93"/>
      <c r="D311" s="106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</row>
    <row r="312" ht="25.5" customHeight="1">
      <c r="A312" s="93"/>
      <c r="B312" s="93"/>
      <c r="C312" s="93"/>
      <c r="D312" s="106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</row>
    <row r="313" ht="25.5" customHeight="1">
      <c r="A313" s="93"/>
      <c r="B313" s="93"/>
      <c r="C313" s="93"/>
      <c r="D313" s="106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</row>
    <row r="314" ht="25.5" customHeight="1">
      <c r="A314" s="93"/>
      <c r="B314" s="93"/>
      <c r="C314" s="93"/>
      <c r="D314" s="106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</row>
    <row r="315" ht="25.5" customHeight="1">
      <c r="A315" s="93"/>
      <c r="B315" s="93"/>
      <c r="C315" s="93"/>
      <c r="D315" s="106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</row>
    <row r="316" ht="25.5" customHeight="1">
      <c r="A316" s="93"/>
      <c r="B316" s="93"/>
      <c r="C316" s="93"/>
      <c r="D316" s="106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</row>
    <row r="317" ht="25.5" customHeight="1">
      <c r="A317" s="93"/>
      <c r="B317" s="93"/>
      <c r="C317" s="93"/>
      <c r="D317" s="106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</row>
    <row r="318" ht="25.5" customHeight="1">
      <c r="A318" s="93"/>
      <c r="B318" s="93"/>
      <c r="C318" s="93"/>
      <c r="D318" s="106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</row>
    <row r="319" ht="25.5" customHeight="1">
      <c r="A319" s="93"/>
      <c r="B319" s="93"/>
      <c r="C319" s="93"/>
      <c r="D319" s="106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</row>
    <row r="320" ht="25.5" customHeight="1">
      <c r="A320" s="93"/>
      <c r="B320" s="93"/>
      <c r="C320" s="93"/>
      <c r="D320" s="106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</row>
    <row r="321" ht="25.5" customHeight="1">
      <c r="A321" s="93"/>
      <c r="B321" s="93"/>
      <c r="C321" s="93"/>
      <c r="D321" s="106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</row>
    <row r="322" ht="25.5" customHeight="1">
      <c r="A322" s="93"/>
      <c r="B322" s="93"/>
      <c r="C322" s="93"/>
      <c r="D322" s="106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</row>
    <row r="323" ht="25.5" customHeight="1">
      <c r="A323" s="93"/>
      <c r="B323" s="93"/>
      <c r="C323" s="93"/>
      <c r="D323" s="106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</row>
    <row r="324" ht="25.5" customHeight="1">
      <c r="A324" s="93"/>
      <c r="B324" s="93"/>
      <c r="C324" s="93"/>
      <c r="D324" s="106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</row>
    <row r="325" ht="25.5" customHeight="1">
      <c r="A325" s="93"/>
      <c r="B325" s="93"/>
      <c r="C325" s="93"/>
      <c r="D325" s="106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</row>
    <row r="326" ht="25.5" customHeight="1">
      <c r="A326" s="93"/>
      <c r="B326" s="93"/>
      <c r="C326" s="93"/>
      <c r="D326" s="106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ht="25.5" customHeight="1">
      <c r="A327" s="93"/>
      <c r="B327" s="93"/>
      <c r="C327" s="93"/>
      <c r="D327" s="106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</row>
    <row r="328" ht="25.5" customHeight="1">
      <c r="A328" s="93"/>
      <c r="B328" s="93"/>
      <c r="C328" s="93"/>
      <c r="D328" s="106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</row>
    <row r="329" ht="25.5" customHeight="1">
      <c r="A329" s="93"/>
      <c r="B329" s="93"/>
      <c r="C329" s="93"/>
      <c r="D329" s="106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</row>
    <row r="330" ht="25.5" customHeight="1">
      <c r="A330" s="93"/>
      <c r="B330" s="93"/>
      <c r="C330" s="93"/>
      <c r="D330" s="106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</row>
    <row r="331" ht="25.5" customHeight="1">
      <c r="A331" s="93"/>
      <c r="B331" s="93"/>
      <c r="C331" s="93"/>
      <c r="D331" s="106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</row>
    <row r="332" ht="25.5" customHeight="1">
      <c r="A332" s="93"/>
      <c r="B332" s="93"/>
      <c r="C332" s="93"/>
      <c r="D332" s="106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</row>
    <row r="333" ht="25.5" customHeight="1">
      <c r="A333" s="93"/>
      <c r="B333" s="93"/>
      <c r="C333" s="93"/>
      <c r="D333" s="106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</row>
    <row r="334" ht="25.5" customHeight="1">
      <c r="A334" s="93"/>
      <c r="B334" s="93"/>
      <c r="C334" s="93"/>
      <c r="D334" s="106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</row>
    <row r="335" ht="25.5" customHeight="1">
      <c r="A335" s="93"/>
      <c r="B335" s="93"/>
      <c r="C335" s="93"/>
      <c r="D335" s="106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</row>
    <row r="336" ht="25.5" customHeight="1">
      <c r="A336" s="93"/>
      <c r="B336" s="93"/>
      <c r="C336" s="93"/>
      <c r="D336" s="106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</row>
    <row r="337" ht="25.5" customHeight="1">
      <c r="A337" s="93"/>
      <c r="B337" s="93"/>
      <c r="C337" s="93"/>
      <c r="D337" s="106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</row>
    <row r="338" ht="25.5" customHeight="1">
      <c r="A338" s="93"/>
      <c r="B338" s="93"/>
      <c r="C338" s="93"/>
      <c r="D338" s="106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</row>
    <row r="339" ht="25.5" customHeight="1">
      <c r="A339" s="93"/>
      <c r="B339" s="93"/>
      <c r="C339" s="93"/>
      <c r="D339" s="106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</row>
    <row r="340" ht="25.5" customHeight="1">
      <c r="A340" s="93"/>
      <c r="B340" s="93"/>
      <c r="C340" s="93"/>
      <c r="D340" s="106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</row>
    <row r="341" ht="25.5" customHeight="1">
      <c r="A341" s="93"/>
      <c r="B341" s="93"/>
      <c r="C341" s="93"/>
      <c r="D341" s="106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</row>
    <row r="342" ht="25.5" customHeight="1">
      <c r="A342" s="93"/>
      <c r="B342" s="93"/>
      <c r="C342" s="93"/>
      <c r="D342" s="106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</row>
    <row r="343" ht="25.5" customHeight="1">
      <c r="A343" s="93"/>
      <c r="B343" s="93"/>
      <c r="C343" s="93"/>
      <c r="D343" s="106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</row>
    <row r="344" ht="25.5" customHeight="1">
      <c r="A344" s="93"/>
      <c r="B344" s="93"/>
      <c r="C344" s="93"/>
      <c r="D344" s="106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</row>
    <row r="345" ht="25.5" customHeight="1">
      <c r="A345" s="93"/>
      <c r="B345" s="93"/>
      <c r="C345" s="93"/>
      <c r="D345" s="106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</row>
    <row r="346" ht="25.5" customHeight="1">
      <c r="A346" s="93"/>
      <c r="B346" s="93"/>
      <c r="C346" s="93"/>
      <c r="D346" s="106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</row>
    <row r="347" ht="25.5" customHeight="1">
      <c r="A347" s="93"/>
      <c r="B347" s="93"/>
      <c r="C347" s="93"/>
      <c r="D347" s="106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</row>
    <row r="348" ht="25.5" customHeight="1">
      <c r="A348" s="93"/>
      <c r="B348" s="93"/>
      <c r="C348" s="93"/>
      <c r="D348" s="106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</row>
    <row r="349" ht="25.5" customHeight="1">
      <c r="A349" s="93"/>
      <c r="B349" s="93"/>
      <c r="C349" s="93"/>
      <c r="D349" s="106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</row>
    <row r="350" ht="25.5" customHeight="1">
      <c r="A350" s="93"/>
      <c r="B350" s="93"/>
      <c r="C350" s="93"/>
      <c r="D350" s="106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</row>
    <row r="351" ht="25.5" customHeight="1">
      <c r="A351" s="93"/>
      <c r="B351" s="93"/>
      <c r="C351" s="93"/>
      <c r="D351" s="106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</row>
    <row r="352" ht="25.5" customHeight="1">
      <c r="A352" s="93"/>
      <c r="B352" s="93"/>
      <c r="C352" s="93"/>
      <c r="D352" s="106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</row>
    <row r="353" ht="25.5" customHeight="1">
      <c r="A353" s="93"/>
      <c r="B353" s="93"/>
      <c r="C353" s="93"/>
      <c r="D353" s="106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</row>
    <row r="354" ht="25.5" customHeight="1">
      <c r="A354" s="93"/>
      <c r="B354" s="93"/>
      <c r="C354" s="93"/>
      <c r="D354" s="106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ht="25.5" customHeight="1">
      <c r="A355" s="93"/>
      <c r="B355" s="93"/>
      <c r="C355" s="93"/>
      <c r="D355" s="106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</row>
    <row r="356" ht="25.5" customHeight="1">
      <c r="A356" s="93"/>
      <c r="B356" s="93"/>
      <c r="C356" s="93"/>
      <c r="D356" s="106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</row>
    <row r="357" ht="25.5" customHeight="1">
      <c r="A357" s="93"/>
      <c r="B357" s="93"/>
      <c r="C357" s="93"/>
      <c r="D357" s="106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</row>
    <row r="358" ht="25.5" customHeight="1">
      <c r="A358" s="93"/>
      <c r="B358" s="93"/>
      <c r="C358" s="93"/>
      <c r="D358" s="106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</row>
    <row r="359" ht="25.5" customHeight="1">
      <c r="A359" s="93"/>
      <c r="B359" s="93"/>
      <c r="C359" s="93"/>
      <c r="D359" s="106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</row>
    <row r="360" ht="25.5" customHeight="1">
      <c r="A360" s="93"/>
      <c r="B360" s="93"/>
      <c r="C360" s="93"/>
      <c r="D360" s="106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</row>
    <row r="361" ht="25.5" customHeight="1">
      <c r="A361" s="93"/>
      <c r="B361" s="93"/>
      <c r="C361" s="93"/>
      <c r="D361" s="106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</row>
    <row r="362" ht="25.5" customHeight="1">
      <c r="A362" s="93"/>
      <c r="B362" s="93"/>
      <c r="C362" s="93"/>
      <c r="D362" s="106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</row>
    <row r="363" ht="25.5" customHeight="1">
      <c r="A363" s="93"/>
      <c r="B363" s="93"/>
      <c r="C363" s="93"/>
      <c r="D363" s="106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</row>
    <row r="364" ht="25.5" customHeight="1">
      <c r="A364" s="93"/>
      <c r="B364" s="93"/>
      <c r="C364" s="93"/>
      <c r="D364" s="106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</row>
    <row r="365" ht="25.5" customHeight="1">
      <c r="A365" s="93"/>
      <c r="B365" s="93"/>
      <c r="C365" s="93"/>
      <c r="D365" s="106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</row>
    <row r="366" ht="25.5" customHeight="1">
      <c r="A366" s="93"/>
      <c r="B366" s="93"/>
      <c r="C366" s="93"/>
      <c r="D366" s="106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</row>
    <row r="367" ht="25.5" customHeight="1">
      <c r="A367" s="93"/>
      <c r="B367" s="93"/>
      <c r="C367" s="93"/>
      <c r="D367" s="106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</row>
    <row r="368" ht="25.5" customHeight="1">
      <c r="A368" s="93"/>
      <c r="B368" s="93"/>
      <c r="C368" s="93"/>
      <c r="D368" s="106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</row>
    <row r="369" ht="25.5" customHeight="1">
      <c r="A369" s="93"/>
      <c r="B369" s="93"/>
      <c r="C369" s="93"/>
      <c r="D369" s="106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</row>
    <row r="370" ht="25.5" customHeight="1">
      <c r="A370" s="93"/>
      <c r="B370" s="93"/>
      <c r="C370" s="93"/>
      <c r="D370" s="106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</row>
    <row r="371" ht="25.5" customHeight="1">
      <c r="A371" s="93"/>
      <c r="B371" s="93"/>
      <c r="C371" s="93"/>
      <c r="D371" s="106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</row>
    <row r="372" ht="25.5" customHeight="1">
      <c r="A372" s="93"/>
      <c r="B372" s="93"/>
      <c r="C372" s="93"/>
      <c r="D372" s="106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</row>
    <row r="373" ht="25.5" customHeight="1">
      <c r="A373" s="93"/>
      <c r="B373" s="93"/>
      <c r="C373" s="93"/>
      <c r="D373" s="106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</row>
    <row r="374" ht="25.5" customHeight="1">
      <c r="A374" s="93"/>
      <c r="B374" s="93"/>
      <c r="C374" s="93"/>
      <c r="D374" s="106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</row>
    <row r="375" ht="25.5" customHeight="1">
      <c r="A375" s="93"/>
      <c r="B375" s="93"/>
      <c r="C375" s="93"/>
      <c r="D375" s="106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</row>
    <row r="376" ht="25.5" customHeight="1">
      <c r="A376" s="93"/>
      <c r="B376" s="93"/>
      <c r="C376" s="93"/>
      <c r="D376" s="106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</row>
    <row r="377" ht="25.5" customHeight="1">
      <c r="A377" s="93"/>
      <c r="B377" s="93"/>
      <c r="C377" s="93"/>
      <c r="D377" s="106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</row>
    <row r="378" ht="25.5" customHeight="1">
      <c r="A378" s="93"/>
      <c r="B378" s="93"/>
      <c r="C378" s="93"/>
      <c r="D378" s="106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</row>
    <row r="379" ht="25.5" customHeight="1">
      <c r="A379" s="93"/>
      <c r="B379" s="93"/>
      <c r="C379" s="93"/>
      <c r="D379" s="106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</row>
    <row r="380" ht="25.5" customHeight="1">
      <c r="A380" s="93"/>
      <c r="B380" s="93"/>
      <c r="C380" s="93"/>
      <c r="D380" s="106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</row>
    <row r="381" ht="25.5" customHeight="1">
      <c r="A381" s="93"/>
      <c r="B381" s="93"/>
      <c r="C381" s="93"/>
      <c r="D381" s="106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</row>
    <row r="382" ht="25.5" customHeight="1">
      <c r="A382" s="93"/>
      <c r="B382" s="93"/>
      <c r="C382" s="93"/>
      <c r="D382" s="106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</row>
    <row r="383" ht="25.5" customHeight="1">
      <c r="A383" s="93"/>
      <c r="B383" s="93"/>
      <c r="C383" s="93"/>
      <c r="D383" s="106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</row>
    <row r="384" ht="25.5" customHeight="1">
      <c r="A384" s="93"/>
      <c r="B384" s="93"/>
      <c r="C384" s="93"/>
      <c r="D384" s="106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</row>
    <row r="385" ht="25.5" customHeight="1">
      <c r="A385" s="93"/>
      <c r="B385" s="93"/>
      <c r="C385" s="93"/>
      <c r="D385" s="106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</row>
    <row r="386" ht="25.5" customHeight="1">
      <c r="A386" s="93"/>
      <c r="B386" s="93"/>
      <c r="C386" s="93"/>
      <c r="D386" s="106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</row>
    <row r="387" ht="25.5" customHeight="1">
      <c r="A387" s="93"/>
      <c r="B387" s="93"/>
      <c r="C387" s="93"/>
      <c r="D387" s="106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</row>
    <row r="388" ht="25.5" customHeight="1">
      <c r="A388" s="93"/>
      <c r="B388" s="93"/>
      <c r="C388" s="93"/>
      <c r="D388" s="106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</row>
    <row r="389" ht="25.5" customHeight="1">
      <c r="A389" s="93"/>
      <c r="B389" s="93"/>
      <c r="C389" s="93"/>
      <c r="D389" s="106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</row>
    <row r="390" ht="25.5" customHeight="1">
      <c r="A390" s="93"/>
      <c r="B390" s="93"/>
      <c r="C390" s="93"/>
      <c r="D390" s="106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</row>
    <row r="391" ht="25.5" customHeight="1">
      <c r="A391" s="93"/>
      <c r="B391" s="93"/>
      <c r="C391" s="93"/>
      <c r="D391" s="106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</row>
    <row r="392" ht="25.5" customHeight="1">
      <c r="A392" s="93"/>
      <c r="B392" s="93"/>
      <c r="C392" s="93"/>
      <c r="D392" s="106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</row>
    <row r="393" ht="25.5" customHeight="1">
      <c r="A393" s="93"/>
      <c r="B393" s="93"/>
      <c r="C393" s="93"/>
      <c r="D393" s="106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</row>
    <row r="394" ht="25.5" customHeight="1">
      <c r="A394" s="93"/>
      <c r="B394" s="93"/>
      <c r="C394" s="93"/>
      <c r="D394" s="106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</row>
    <row r="395" ht="25.5" customHeight="1">
      <c r="A395" s="93"/>
      <c r="B395" s="93"/>
      <c r="C395" s="93"/>
      <c r="D395" s="106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</row>
    <row r="396" ht="25.5" customHeight="1">
      <c r="A396" s="93"/>
      <c r="B396" s="93"/>
      <c r="C396" s="93"/>
      <c r="D396" s="106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</row>
    <row r="397" ht="25.5" customHeight="1">
      <c r="A397" s="93"/>
      <c r="B397" s="93"/>
      <c r="C397" s="93"/>
      <c r="D397" s="106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</row>
    <row r="398" ht="25.5" customHeight="1">
      <c r="A398" s="93"/>
      <c r="B398" s="93"/>
      <c r="C398" s="93"/>
      <c r="D398" s="106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</row>
    <row r="399" ht="25.5" customHeight="1">
      <c r="A399" s="93"/>
      <c r="B399" s="93"/>
      <c r="C399" s="93"/>
      <c r="D399" s="106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</row>
    <row r="400" ht="25.5" customHeight="1">
      <c r="A400" s="93"/>
      <c r="B400" s="93"/>
      <c r="C400" s="93"/>
      <c r="D400" s="106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</row>
    <row r="401" ht="25.5" customHeight="1">
      <c r="A401" s="93"/>
      <c r="B401" s="93"/>
      <c r="C401" s="93"/>
      <c r="D401" s="106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</row>
    <row r="402" ht="25.5" customHeight="1">
      <c r="A402" s="93"/>
      <c r="B402" s="93"/>
      <c r="C402" s="93"/>
      <c r="D402" s="106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</row>
    <row r="403" ht="25.5" customHeight="1">
      <c r="A403" s="93"/>
      <c r="B403" s="93"/>
      <c r="C403" s="93"/>
      <c r="D403" s="106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</row>
    <row r="404" ht="25.5" customHeight="1">
      <c r="A404" s="93"/>
      <c r="B404" s="93"/>
      <c r="C404" s="93"/>
      <c r="D404" s="106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</row>
    <row r="405" ht="25.5" customHeight="1">
      <c r="A405" s="93"/>
      <c r="B405" s="93"/>
      <c r="C405" s="93"/>
      <c r="D405" s="106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</row>
    <row r="406" ht="25.5" customHeight="1">
      <c r="A406" s="93"/>
      <c r="B406" s="93"/>
      <c r="C406" s="93"/>
      <c r="D406" s="106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</row>
    <row r="407" ht="25.5" customHeight="1">
      <c r="A407" s="93"/>
      <c r="B407" s="93"/>
      <c r="C407" s="93"/>
      <c r="D407" s="106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</row>
    <row r="408" ht="25.5" customHeight="1">
      <c r="A408" s="93"/>
      <c r="B408" s="93"/>
      <c r="C408" s="93"/>
      <c r="D408" s="106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</row>
    <row r="409" ht="25.5" customHeight="1">
      <c r="A409" s="93"/>
      <c r="B409" s="93"/>
      <c r="C409" s="93"/>
      <c r="D409" s="106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</row>
    <row r="410" ht="25.5" customHeight="1">
      <c r="A410" s="93"/>
      <c r="B410" s="93"/>
      <c r="C410" s="93"/>
      <c r="D410" s="106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</row>
    <row r="411" ht="25.5" customHeight="1">
      <c r="A411" s="93"/>
      <c r="B411" s="93"/>
      <c r="C411" s="93"/>
      <c r="D411" s="106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</row>
    <row r="412" ht="25.5" customHeight="1">
      <c r="A412" s="93"/>
      <c r="B412" s="93"/>
      <c r="C412" s="93"/>
      <c r="D412" s="106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</row>
    <row r="413" ht="25.5" customHeight="1">
      <c r="A413" s="93"/>
      <c r="B413" s="93"/>
      <c r="C413" s="93"/>
      <c r="D413" s="106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</row>
    <row r="414" ht="25.5" customHeight="1">
      <c r="A414" s="93"/>
      <c r="B414" s="93"/>
      <c r="C414" s="93"/>
      <c r="D414" s="106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</row>
    <row r="415" ht="25.5" customHeight="1">
      <c r="A415" s="93"/>
      <c r="B415" s="93"/>
      <c r="C415" s="93"/>
      <c r="D415" s="106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</row>
    <row r="416" ht="25.5" customHeight="1">
      <c r="A416" s="93"/>
      <c r="B416" s="93"/>
      <c r="C416" s="93"/>
      <c r="D416" s="106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</row>
    <row r="417" ht="25.5" customHeight="1">
      <c r="A417" s="93"/>
      <c r="B417" s="93"/>
      <c r="C417" s="93"/>
      <c r="D417" s="106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</row>
    <row r="418" ht="25.5" customHeight="1">
      <c r="A418" s="93"/>
      <c r="B418" s="93"/>
      <c r="C418" s="93"/>
      <c r="D418" s="106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</row>
    <row r="419" ht="25.5" customHeight="1">
      <c r="A419" s="93"/>
      <c r="B419" s="93"/>
      <c r="C419" s="93"/>
      <c r="D419" s="106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</row>
    <row r="420" ht="25.5" customHeight="1">
      <c r="A420" s="93"/>
      <c r="B420" s="93"/>
      <c r="C420" s="93"/>
      <c r="D420" s="106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</row>
    <row r="421" ht="25.5" customHeight="1">
      <c r="A421" s="93"/>
      <c r="B421" s="93"/>
      <c r="C421" s="93"/>
      <c r="D421" s="106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</row>
    <row r="422" ht="25.5" customHeight="1">
      <c r="A422" s="93"/>
      <c r="B422" s="93"/>
      <c r="C422" s="93"/>
      <c r="D422" s="106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</row>
    <row r="423" ht="25.5" customHeight="1">
      <c r="A423" s="93"/>
      <c r="B423" s="93"/>
      <c r="C423" s="93"/>
      <c r="D423" s="106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</row>
    <row r="424" ht="25.5" customHeight="1">
      <c r="A424" s="93"/>
      <c r="B424" s="93"/>
      <c r="C424" s="93"/>
      <c r="D424" s="106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</row>
    <row r="425" ht="25.5" customHeight="1">
      <c r="A425" s="93"/>
      <c r="B425" s="93"/>
      <c r="C425" s="93"/>
      <c r="D425" s="106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</row>
    <row r="426" ht="25.5" customHeight="1">
      <c r="A426" s="93"/>
      <c r="B426" s="93"/>
      <c r="C426" s="93"/>
      <c r="D426" s="106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</row>
    <row r="427" ht="25.5" customHeight="1">
      <c r="A427" s="93"/>
      <c r="B427" s="93"/>
      <c r="C427" s="93"/>
      <c r="D427" s="106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</row>
    <row r="428" ht="25.5" customHeight="1">
      <c r="A428" s="93"/>
      <c r="B428" s="93"/>
      <c r="C428" s="93"/>
      <c r="D428" s="106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</row>
    <row r="429" ht="25.5" customHeight="1">
      <c r="A429" s="93"/>
      <c r="B429" s="93"/>
      <c r="C429" s="93"/>
      <c r="D429" s="106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</row>
    <row r="430" ht="25.5" customHeight="1">
      <c r="A430" s="93"/>
      <c r="B430" s="93"/>
      <c r="C430" s="93"/>
      <c r="D430" s="106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</row>
    <row r="431" ht="25.5" customHeight="1">
      <c r="A431" s="93"/>
      <c r="B431" s="93"/>
      <c r="C431" s="93"/>
      <c r="D431" s="106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</row>
    <row r="432" ht="25.5" customHeight="1">
      <c r="A432" s="93"/>
      <c r="B432" s="93"/>
      <c r="C432" s="93"/>
      <c r="D432" s="106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</row>
    <row r="433" ht="25.5" customHeight="1">
      <c r="A433" s="93"/>
      <c r="B433" s="93"/>
      <c r="C433" s="93"/>
      <c r="D433" s="106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</row>
    <row r="434" ht="25.5" customHeight="1">
      <c r="A434" s="93"/>
      <c r="B434" s="93"/>
      <c r="C434" s="93"/>
      <c r="D434" s="106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</row>
    <row r="435" ht="25.5" customHeight="1">
      <c r="A435" s="93"/>
      <c r="B435" s="93"/>
      <c r="C435" s="93"/>
      <c r="D435" s="106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</row>
    <row r="436" ht="25.5" customHeight="1">
      <c r="A436" s="93"/>
      <c r="B436" s="93"/>
      <c r="C436" s="93"/>
      <c r="D436" s="106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</row>
    <row r="437" ht="25.5" customHeight="1">
      <c r="A437" s="93"/>
      <c r="B437" s="93"/>
      <c r="C437" s="93"/>
      <c r="D437" s="106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</row>
    <row r="438" ht="25.5" customHeight="1">
      <c r="A438" s="93"/>
      <c r="B438" s="93"/>
      <c r="C438" s="93"/>
      <c r="D438" s="106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</row>
    <row r="439" ht="25.5" customHeight="1">
      <c r="A439" s="93"/>
      <c r="B439" s="93"/>
      <c r="C439" s="93"/>
      <c r="D439" s="106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</row>
    <row r="440" ht="25.5" customHeight="1">
      <c r="A440" s="93"/>
      <c r="B440" s="93"/>
      <c r="C440" s="93"/>
      <c r="D440" s="106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</row>
    <row r="441" ht="25.5" customHeight="1">
      <c r="A441" s="93"/>
      <c r="B441" s="93"/>
      <c r="C441" s="93"/>
      <c r="D441" s="106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</row>
    <row r="442" ht="25.5" customHeight="1">
      <c r="A442" s="93"/>
      <c r="B442" s="93"/>
      <c r="C442" s="93"/>
      <c r="D442" s="106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</row>
    <row r="443" ht="25.5" customHeight="1">
      <c r="A443" s="93"/>
      <c r="B443" s="93"/>
      <c r="C443" s="93"/>
      <c r="D443" s="106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</row>
    <row r="444" ht="25.5" customHeight="1">
      <c r="A444" s="93"/>
      <c r="B444" s="93"/>
      <c r="C444" s="93"/>
      <c r="D444" s="106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</row>
    <row r="445" ht="25.5" customHeight="1">
      <c r="A445" s="93"/>
      <c r="B445" s="93"/>
      <c r="C445" s="93"/>
      <c r="D445" s="106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</row>
    <row r="446" ht="25.5" customHeight="1">
      <c r="A446" s="93"/>
      <c r="B446" s="93"/>
      <c r="C446" s="93"/>
      <c r="D446" s="106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</row>
    <row r="447" ht="25.5" customHeight="1">
      <c r="A447" s="93"/>
      <c r="B447" s="93"/>
      <c r="C447" s="93"/>
      <c r="D447" s="106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</row>
    <row r="448" ht="25.5" customHeight="1">
      <c r="A448" s="93"/>
      <c r="B448" s="93"/>
      <c r="C448" s="93"/>
      <c r="D448" s="106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</row>
    <row r="449" ht="25.5" customHeight="1">
      <c r="A449" s="93"/>
      <c r="B449" s="93"/>
      <c r="C449" s="93"/>
      <c r="D449" s="106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</row>
    <row r="450" ht="25.5" customHeight="1">
      <c r="A450" s="93"/>
      <c r="B450" s="93"/>
      <c r="C450" s="93"/>
      <c r="D450" s="106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</row>
    <row r="451" ht="25.5" customHeight="1">
      <c r="A451" s="93"/>
      <c r="B451" s="93"/>
      <c r="C451" s="93"/>
      <c r="D451" s="106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</row>
    <row r="452" ht="25.5" customHeight="1">
      <c r="A452" s="93"/>
      <c r="B452" s="93"/>
      <c r="C452" s="93"/>
      <c r="D452" s="106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</row>
    <row r="453" ht="25.5" customHeight="1">
      <c r="A453" s="93"/>
      <c r="B453" s="93"/>
      <c r="C453" s="93"/>
      <c r="D453" s="106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</row>
    <row r="454" ht="25.5" customHeight="1">
      <c r="A454" s="93"/>
      <c r="B454" s="93"/>
      <c r="C454" s="93"/>
      <c r="D454" s="106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</row>
    <row r="455" ht="25.5" customHeight="1">
      <c r="A455" s="93"/>
      <c r="B455" s="93"/>
      <c r="C455" s="93"/>
      <c r="D455" s="106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</row>
    <row r="456" ht="25.5" customHeight="1">
      <c r="A456" s="93"/>
      <c r="B456" s="93"/>
      <c r="C456" s="93"/>
      <c r="D456" s="106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</row>
    <row r="457" ht="25.5" customHeight="1">
      <c r="A457" s="93"/>
      <c r="B457" s="93"/>
      <c r="C457" s="93"/>
      <c r="D457" s="106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</row>
    <row r="458" ht="25.5" customHeight="1">
      <c r="A458" s="93"/>
      <c r="B458" s="93"/>
      <c r="C458" s="93"/>
      <c r="D458" s="106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</row>
    <row r="459" ht="25.5" customHeight="1">
      <c r="A459" s="93"/>
      <c r="B459" s="93"/>
      <c r="C459" s="93"/>
      <c r="D459" s="106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</row>
    <row r="460" ht="25.5" customHeight="1">
      <c r="A460" s="93"/>
      <c r="B460" s="93"/>
      <c r="C460" s="93"/>
      <c r="D460" s="106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</row>
    <row r="461" ht="25.5" customHeight="1">
      <c r="A461" s="93"/>
      <c r="B461" s="93"/>
      <c r="C461" s="93"/>
      <c r="D461" s="106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</row>
    <row r="462" ht="25.5" customHeight="1">
      <c r="A462" s="93"/>
      <c r="B462" s="93"/>
      <c r="C462" s="93"/>
      <c r="D462" s="106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</row>
    <row r="463" ht="25.5" customHeight="1">
      <c r="A463" s="93"/>
      <c r="B463" s="93"/>
      <c r="C463" s="93"/>
      <c r="D463" s="106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</row>
    <row r="464" ht="25.5" customHeight="1">
      <c r="A464" s="93"/>
      <c r="B464" s="93"/>
      <c r="C464" s="93"/>
      <c r="D464" s="106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</row>
    <row r="465" ht="25.5" customHeight="1">
      <c r="A465" s="93"/>
      <c r="B465" s="93"/>
      <c r="C465" s="93"/>
      <c r="D465" s="106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</row>
    <row r="466" ht="25.5" customHeight="1">
      <c r="A466" s="93"/>
      <c r="B466" s="93"/>
      <c r="C466" s="93"/>
      <c r="D466" s="106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</row>
    <row r="467" ht="25.5" customHeight="1">
      <c r="A467" s="93"/>
      <c r="B467" s="93"/>
      <c r="C467" s="93"/>
      <c r="D467" s="106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</row>
    <row r="468" ht="25.5" customHeight="1">
      <c r="A468" s="93"/>
      <c r="B468" s="93"/>
      <c r="C468" s="93"/>
      <c r="D468" s="106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</row>
    <row r="469" ht="25.5" customHeight="1">
      <c r="A469" s="93"/>
      <c r="B469" s="93"/>
      <c r="C469" s="93"/>
      <c r="D469" s="106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</row>
    <row r="470" ht="25.5" customHeight="1">
      <c r="A470" s="93"/>
      <c r="B470" s="93"/>
      <c r="C470" s="93"/>
      <c r="D470" s="106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</row>
    <row r="471" ht="25.5" customHeight="1">
      <c r="A471" s="93"/>
      <c r="B471" s="93"/>
      <c r="C471" s="93"/>
      <c r="D471" s="106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</row>
    <row r="472" ht="25.5" customHeight="1">
      <c r="A472" s="93"/>
      <c r="B472" s="93"/>
      <c r="C472" s="93"/>
      <c r="D472" s="106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</row>
    <row r="473" ht="25.5" customHeight="1">
      <c r="A473" s="93"/>
      <c r="B473" s="93"/>
      <c r="C473" s="93"/>
      <c r="D473" s="106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</row>
    <row r="474" ht="25.5" customHeight="1">
      <c r="A474" s="93"/>
      <c r="B474" s="93"/>
      <c r="C474" s="93"/>
      <c r="D474" s="106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</row>
    <row r="475" ht="25.5" customHeight="1">
      <c r="A475" s="93"/>
      <c r="B475" s="93"/>
      <c r="C475" s="93"/>
      <c r="D475" s="106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</row>
    <row r="476" ht="25.5" customHeight="1">
      <c r="A476" s="93"/>
      <c r="B476" s="93"/>
      <c r="C476" s="93"/>
      <c r="D476" s="106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</row>
    <row r="477" ht="25.5" customHeight="1">
      <c r="A477" s="93"/>
      <c r="B477" s="93"/>
      <c r="C477" s="93"/>
      <c r="D477" s="106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</row>
    <row r="478" ht="25.5" customHeight="1">
      <c r="A478" s="93"/>
      <c r="B478" s="93"/>
      <c r="C478" s="93"/>
      <c r="D478" s="106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</row>
    <row r="479" ht="25.5" customHeight="1">
      <c r="A479" s="93"/>
      <c r="B479" s="93"/>
      <c r="C479" s="93"/>
      <c r="D479" s="106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</row>
    <row r="480" ht="25.5" customHeight="1">
      <c r="A480" s="93"/>
      <c r="B480" s="93"/>
      <c r="C480" s="93"/>
      <c r="D480" s="106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</row>
    <row r="481" ht="25.5" customHeight="1">
      <c r="A481" s="93"/>
      <c r="B481" s="93"/>
      <c r="C481" s="93"/>
      <c r="D481" s="106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</row>
    <row r="482" ht="25.5" customHeight="1">
      <c r="A482" s="93"/>
      <c r="B482" s="93"/>
      <c r="C482" s="93"/>
      <c r="D482" s="106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</row>
    <row r="483" ht="25.5" customHeight="1">
      <c r="A483" s="93"/>
      <c r="B483" s="93"/>
      <c r="C483" s="93"/>
      <c r="D483" s="106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</row>
    <row r="484" ht="25.5" customHeight="1">
      <c r="A484" s="93"/>
      <c r="B484" s="93"/>
      <c r="C484" s="93"/>
      <c r="D484" s="106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</row>
    <row r="485" ht="25.5" customHeight="1">
      <c r="A485" s="93"/>
      <c r="B485" s="93"/>
      <c r="C485" s="93"/>
      <c r="D485" s="106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</row>
    <row r="486" ht="25.5" customHeight="1">
      <c r="A486" s="93"/>
      <c r="B486" s="93"/>
      <c r="C486" s="93"/>
      <c r="D486" s="106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</row>
    <row r="487" ht="25.5" customHeight="1">
      <c r="A487" s="93"/>
      <c r="B487" s="93"/>
      <c r="C487" s="93"/>
      <c r="D487" s="106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</row>
    <row r="488" ht="25.5" customHeight="1">
      <c r="A488" s="93"/>
      <c r="B488" s="93"/>
      <c r="C488" s="93"/>
      <c r="D488" s="106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</row>
    <row r="489" ht="25.5" customHeight="1">
      <c r="A489" s="93"/>
      <c r="B489" s="93"/>
      <c r="C489" s="93"/>
      <c r="D489" s="106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</row>
    <row r="490" ht="25.5" customHeight="1">
      <c r="A490" s="93"/>
      <c r="B490" s="93"/>
      <c r="C490" s="93"/>
      <c r="D490" s="106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</row>
    <row r="491" ht="25.5" customHeight="1">
      <c r="A491" s="93"/>
      <c r="B491" s="93"/>
      <c r="C491" s="93"/>
      <c r="D491" s="106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</row>
    <row r="492" ht="25.5" customHeight="1">
      <c r="A492" s="93"/>
      <c r="B492" s="93"/>
      <c r="C492" s="93"/>
      <c r="D492" s="106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</row>
    <row r="493" ht="25.5" customHeight="1">
      <c r="A493" s="93"/>
      <c r="B493" s="93"/>
      <c r="C493" s="93"/>
      <c r="D493" s="106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</row>
    <row r="494" ht="25.5" customHeight="1">
      <c r="A494" s="93"/>
      <c r="B494" s="93"/>
      <c r="C494" s="93"/>
      <c r="D494" s="106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</row>
    <row r="495" ht="25.5" customHeight="1">
      <c r="A495" s="93"/>
      <c r="B495" s="93"/>
      <c r="C495" s="93"/>
      <c r="D495" s="106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</row>
    <row r="496" ht="25.5" customHeight="1">
      <c r="A496" s="93"/>
      <c r="B496" s="93"/>
      <c r="C496" s="93"/>
      <c r="D496" s="106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</row>
    <row r="497" ht="25.5" customHeight="1">
      <c r="A497" s="93"/>
      <c r="B497" s="93"/>
      <c r="C497" s="93"/>
      <c r="D497" s="106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</row>
    <row r="498" ht="25.5" customHeight="1">
      <c r="A498" s="93"/>
      <c r="B498" s="93"/>
      <c r="C498" s="93"/>
      <c r="D498" s="106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</row>
    <row r="499" ht="25.5" customHeight="1">
      <c r="A499" s="93"/>
      <c r="B499" s="93"/>
      <c r="C499" s="93"/>
      <c r="D499" s="106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</row>
    <row r="500" ht="25.5" customHeight="1">
      <c r="A500" s="93"/>
      <c r="B500" s="93"/>
      <c r="C500" s="93"/>
      <c r="D500" s="106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</row>
    <row r="501" ht="25.5" customHeight="1">
      <c r="A501" s="93"/>
      <c r="B501" s="93"/>
      <c r="C501" s="93"/>
      <c r="D501" s="106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</row>
    <row r="502" ht="25.5" customHeight="1">
      <c r="A502" s="93"/>
      <c r="B502" s="93"/>
      <c r="C502" s="93"/>
      <c r="D502" s="106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</row>
    <row r="503" ht="25.5" customHeight="1">
      <c r="A503" s="93"/>
      <c r="B503" s="93"/>
      <c r="C503" s="93"/>
      <c r="D503" s="106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</row>
    <row r="504" ht="25.5" customHeight="1">
      <c r="A504" s="93"/>
      <c r="B504" s="93"/>
      <c r="C504" s="93"/>
      <c r="D504" s="106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</row>
    <row r="505" ht="25.5" customHeight="1">
      <c r="A505" s="93"/>
      <c r="B505" s="93"/>
      <c r="C505" s="93"/>
      <c r="D505" s="106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</row>
    <row r="506" ht="25.5" customHeight="1">
      <c r="A506" s="93"/>
      <c r="B506" s="93"/>
      <c r="C506" s="93"/>
      <c r="D506" s="106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</row>
    <row r="507" ht="25.5" customHeight="1">
      <c r="A507" s="93"/>
      <c r="B507" s="93"/>
      <c r="C507" s="93"/>
      <c r="D507" s="106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</row>
    <row r="508" ht="25.5" customHeight="1">
      <c r="A508" s="93"/>
      <c r="B508" s="93"/>
      <c r="C508" s="93"/>
      <c r="D508" s="106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</row>
    <row r="509" ht="25.5" customHeight="1">
      <c r="A509" s="93"/>
      <c r="B509" s="93"/>
      <c r="C509" s="93"/>
      <c r="D509" s="106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</row>
    <row r="510" ht="25.5" customHeight="1">
      <c r="A510" s="93"/>
      <c r="B510" s="93"/>
      <c r="C510" s="93"/>
      <c r="D510" s="106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</row>
    <row r="511" ht="25.5" customHeight="1">
      <c r="A511" s="93"/>
      <c r="B511" s="93"/>
      <c r="C511" s="93"/>
      <c r="D511" s="106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</row>
    <row r="512" ht="25.5" customHeight="1">
      <c r="A512" s="93"/>
      <c r="B512" s="93"/>
      <c r="C512" s="93"/>
      <c r="D512" s="106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ht="25.5" customHeight="1">
      <c r="A513" s="93"/>
      <c r="B513" s="93"/>
      <c r="C513" s="93"/>
      <c r="D513" s="106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</row>
    <row r="514" ht="25.5" customHeight="1">
      <c r="A514" s="93"/>
      <c r="B514" s="93"/>
      <c r="C514" s="93"/>
      <c r="D514" s="106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</row>
    <row r="515" ht="25.5" customHeight="1">
      <c r="A515" s="93"/>
      <c r="B515" s="93"/>
      <c r="C515" s="93"/>
      <c r="D515" s="106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</row>
    <row r="516" ht="25.5" customHeight="1">
      <c r="A516" s="93"/>
      <c r="B516" s="93"/>
      <c r="C516" s="93"/>
      <c r="D516" s="106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</row>
    <row r="517" ht="25.5" customHeight="1">
      <c r="A517" s="93"/>
      <c r="B517" s="93"/>
      <c r="C517" s="93"/>
      <c r="D517" s="106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</row>
    <row r="518" ht="25.5" customHeight="1">
      <c r="A518" s="93"/>
      <c r="B518" s="93"/>
      <c r="C518" s="93"/>
      <c r="D518" s="106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</row>
    <row r="519" ht="25.5" customHeight="1">
      <c r="A519" s="93"/>
      <c r="B519" s="93"/>
      <c r="C519" s="93"/>
      <c r="D519" s="106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</row>
    <row r="520" ht="25.5" customHeight="1">
      <c r="A520" s="93"/>
      <c r="B520" s="93"/>
      <c r="C520" s="93"/>
      <c r="D520" s="106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</row>
    <row r="521" ht="25.5" customHeight="1">
      <c r="A521" s="93"/>
      <c r="B521" s="93"/>
      <c r="C521" s="93"/>
      <c r="D521" s="106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</row>
    <row r="522" ht="25.5" customHeight="1">
      <c r="A522" s="93"/>
      <c r="B522" s="93"/>
      <c r="C522" s="93"/>
      <c r="D522" s="106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</row>
    <row r="523" ht="25.5" customHeight="1">
      <c r="A523" s="93"/>
      <c r="B523" s="93"/>
      <c r="C523" s="93"/>
      <c r="D523" s="106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</row>
    <row r="524" ht="25.5" customHeight="1">
      <c r="A524" s="93"/>
      <c r="B524" s="93"/>
      <c r="C524" s="93"/>
      <c r="D524" s="106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</row>
    <row r="525" ht="25.5" customHeight="1">
      <c r="A525" s="93"/>
      <c r="B525" s="93"/>
      <c r="C525" s="93"/>
      <c r="D525" s="106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</row>
    <row r="526" ht="25.5" customHeight="1">
      <c r="A526" s="93"/>
      <c r="B526" s="93"/>
      <c r="C526" s="93"/>
      <c r="D526" s="106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</row>
    <row r="527" ht="25.5" customHeight="1">
      <c r="A527" s="93"/>
      <c r="B527" s="93"/>
      <c r="C527" s="93"/>
      <c r="D527" s="106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</row>
    <row r="528" ht="25.5" customHeight="1">
      <c r="A528" s="93"/>
      <c r="B528" s="93"/>
      <c r="C528" s="93"/>
      <c r="D528" s="106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</row>
    <row r="529" ht="25.5" customHeight="1">
      <c r="A529" s="93"/>
      <c r="B529" s="93"/>
      <c r="C529" s="93"/>
      <c r="D529" s="106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</row>
    <row r="530" ht="25.5" customHeight="1">
      <c r="A530" s="93"/>
      <c r="B530" s="93"/>
      <c r="C530" s="93"/>
      <c r="D530" s="106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</row>
    <row r="531" ht="25.5" customHeight="1">
      <c r="A531" s="93"/>
      <c r="B531" s="93"/>
      <c r="C531" s="93"/>
      <c r="D531" s="106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</row>
    <row r="532" ht="25.5" customHeight="1">
      <c r="A532" s="93"/>
      <c r="B532" s="93"/>
      <c r="C532" s="93"/>
      <c r="D532" s="106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</row>
    <row r="533" ht="25.5" customHeight="1">
      <c r="A533" s="93"/>
      <c r="B533" s="93"/>
      <c r="C533" s="93"/>
      <c r="D533" s="106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</row>
    <row r="534" ht="25.5" customHeight="1">
      <c r="A534" s="93"/>
      <c r="B534" s="93"/>
      <c r="C534" s="93"/>
      <c r="D534" s="106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</row>
    <row r="535" ht="25.5" customHeight="1">
      <c r="A535" s="93"/>
      <c r="B535" s="93"/>
      <c r="C535" s="93"/>
      <c r="D535" s="106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</row>
    <row r="536" ht="25.5" customHeight="1">
      <c r="A536" s="93"/>
      <c r="B536" s="93"/>
      <c r="C536" s="93"/>
      <c r="D536" s="106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</row>
    <row r="537" ht="25.5" customHeight="1">
      <c r="A537" s="93"/>
      <c r="B537" s="93"/>
      <c r="C537" s="93"/>
      <c r="D537" s="106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</row>
    <row r="538" ht="25.5" customHeight="1">
      <c r="A538" s="93"/>
      <c r="B538" s="93"/>
      <c r="C538" s="93"/>
      <c r="D538" s="106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</row>
    <row r="539" ht="25.5" customHeight="1">
      <c r="A539" s="93"/>
      <c r="B539" s="93"/>
      <c r="C539" s="93"/>
      <c r="D539" s="106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</row>
    <row r="540" ht="25.5" customHeight="1">
      <c r="A540" s="93"/>
      <c r="B540" s="93"/>
      <c r="C540" s="93"/>
      <c r="D540" s="106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</row>
    <row r="541" ht="25.5" customHeight="1">
      <c r="A541" s="93"/>
      <c r="B541" s="93"/>
      <c r="C541" s="93"/>
      <c r="D541" s="106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</row>
    <row r="542" ht="25.5" customHeight="1">
      <c r="A542" s="93"/>
      <c r="B542" s="93"/>
      <c r="C542" s="93"/>
      <c r="D542" s="106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</row>
    <row r="543" ht="25.5" customHeight="1">
      <c r="A543" s="93"/>
      <c r="B543" s="93"/>
      <c r="C543" s="93"/>
      <c r="D543" s="106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</row>
    <row r="544" ht="25.5" customHeight="1">
      <c r="A544" s="93"/>
      <c r="B544" s="93"/>
      <c r="C544" s="93"/>
      <c r="D544" s="106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</row>
    <row r="545" ht="25.5" customHeight="1">
      <c r="A545" s="93"/>
      <c r="B545" s="93"/>
      <c r="C545" s="93"/>
      <c r="D545" s="106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</row>
    <row r="546" ht="25.5" customHeight="1">
      <c r="A546" s="93"/>
      <c r="B546" s="93"/>
      <c r="C546" s="93"/>
      <c r="D546" s="106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</row>
    <row r="547" ht="25.5" customHeight="1">
      <c r="A547" s="93"/>
      <c r="B547" s="93"/>
      <c r="C547" s="93"/>
      <c r="D547" s="106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</row>
    <row r="548" ht="25.5" customHeight="1">
      <c r="A548" s="93"/>
      <c r="B548" s="93"/>
      <c r="C548" s="93"/>
      <c r="D548" s="106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</row>
    <row r="549" ht="25.5" customHeight="1">
      <c r="A549" s="93"/>
      <c r="B549" s="93"/>
      <c r="C549" s="93"/>
      <c r="D549" s="106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</row>
    <row r="550" ht="25.5" customHeight="1">
      <c r="A550" s="93"/>
      <c r="B550" s="93"/>
      <c r="C550" s="93"/>
      <c r="D550" s="106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</row>
    <row r="551" ht="25.5" customHeight="1">
      <c r="A551" s="93"/>
      <c r="B551" s="93"/>
      <c r="C551" s="93"/>
      <c r="D551" s="106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</row>
    <row r="552" ht="25.5" customHeight="1">
      <c r="A552" s="93"/>
      <c r="B552" s="93"/>
      <c r="C552" s="93"/>
      <c r="D552" s="106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</row>
    <row r="553" ht="25.5" customHeight="1">
      <c r="A553" s="93"/>
      <c r="B553" s="93"/>
      <c r="C553" s="93"/>
      <c r="D553" s="106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</row>
    <row r="554" ht="25.5" customHeight="1">
      <c r="A554" s="93"/>
      <c r="B554" s="93"/>
      <c r="C554" s="93"/>
      <c r="D554" s="106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</row>
    <row r="555" ht="25.5" customHeight="1">
      <c r="A555" s="93"/>
      <c r="B555" s="93"/>
      <c r="C555" s="93"/>
      <c r="D555" s="106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</row>
    <row r="556" ht="25.5" customHeight="1">
      <c r="A556" s="93"/>
      <c r="B556" s="93"/>
      <c r="C556" s="93"/>
      <c r="D556" s="106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</row>
    <row r="557" ht="25.5" customHeight="1">
      <c r="A557" s="93"/>
      <c r="B557" s="93"/>
      <c r="C557" s="93"/>
      <c r="D557" s="106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</row>
    <row r="558" ht="25.5" customHeight="1">
      <c r="A558" s="93"/>
      <c r="B558" s="93"/>
      <c r="C558" s="93"/>
      <c r="D558" s="106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</row>
    <row r="559" ht="25.5" customHeight="1">
      <c r="A559" s="93"/>
      <c r="B559" s="93"/>
      <c r="C559" s="93"/>
      <c r="D559" s="106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</row>
    <row r="560" ht="25.5" customHeight="1">
      <c r="A560" s="93"/>
      <c r="B560" s="93"/>
      <c r="C560" s="93"/>
      <c r="D560" s="106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</row>
    <row r="561" ht="25.5" customHeight="1">
      <c r="A561" s="93"/>
      <c r="B561" s="93"/>
      <c r="C561" s="93"/>
      <c r="D561" s="106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</row>
    <row r="562" ht="25.5" customHeight="1">
      <c r="A562" s="93"/>
      <c r="B562" s="93"/>
      <c r="C562" s="93"/>
      <c r="D562" s="106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</row>
    <row r="563" ht="25.5" customHeight="1">
      <c r="A563" s="93"/>
      <c r="B563" s="93"/>
      <c r="C563" s="93"/>
      <c r="D563" s="106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</row>
    <row r="564" ht="25.5" customHeight="1">
      <c r="A564" s="93"/>
      <c r="B564" s="93"/>
      <c r="C564" s="93"/>
      <c r="D564" s="106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</row>
    <row r="565" ht="25.5" customHeight="1">
      <c r="A565" s="93"/>
      <c r="B565" s="93"/>
      <c r="C565" s="93"/>
      <c r="D565" s="106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</row>
    <row r="566" ht="25.5" customHeight="1">
      <c r="A566" s="93"/>
      <c r="B566" s="93"/>
      <c r="C566" s="93"/>
      <c r="D566" s="106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</row>
    <row r="567" ht="25.5" customHeight="1">
      <c r="A567" s="93"/>
      <c r="B567" s="93"/>
      <c r="C567" s="93"/>
      <c r="D567" s="106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</row>
    <row r="568" ht="25.5" customHeight="1">
      <c r="A568" s="93"/>
      <c r="B568" s="93"/>
      <c r="C568" s="93"/>
      <c r="D568" s="106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</row>
    <row r="569" ht="25.5" customHeight="1">
      <c r="A569" s="93"/>
      <c r="B569" s="93"/>
      <c r="C569" s="93"/>
      <c r="D569" s="106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</row>
    <row r="570" ht="25.5" customHeight="1">
      <c r="A570" s="93"/>
      <c r="B570" s="93"/>
      <c r="C570" s="93"/>
      <c r="D570" s="106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</row>
    <row r="571" ht="25.5" customHeight="1">
      <c r="A571" s="93"/>
      <c r="B571" s="93"/>
      <c r="C571" s="93"/>
      <c r="D571" s="106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</row>
    <row r="572" ht="25.5" customHeight="1">
      <c r="A572" s="93"/>
      <c r="B572" s="93"/>
      <c r="C572" s="93"/>
      <c r="D572" s="106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</row>
    <row r="573" ht="25.5" customHeight="1">
      <c r="A573" s="93"/>
      <c r="B573" s="93"/>
      <c r="C573" s="93"/>
      <c r="D573" s="106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</row>
    <row r="574" ht="25.5" customHeight="1">
      <c r="A574" s="93"/>
      <c r="B574" s="93"/>
      <c r="C574" s="93"/>
      <c r="D574" s="106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</row>
    <row r="575" ht="25.5" customHeight="1">
      <c r="A575" s="93"/>
      <c r="B575" s="93"/>
      <c r="C575" s="93"/>
      <c r="D575" s="106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</row>
    <row r="576" ht="25.5" customHeight="1">
      <c r="A576" s="93"/>
      <c r="B576" s="93"/>
      <c r="C576" s="93"/>
      <c r="D576" s="106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</row>
    <row r="577" ht="25.5" customHeight="1">
      <c r="A577" s="93"/>
      <c r="B577" s="93"/>
      <c r="C577" s="93"/>
      <c r="D577" s="106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</row>
    <row r="578" ht="25.5" customHeight="1">
      <c r="A578" s="93"/>
      <c r="B578" s="93"/>
      <c r="C578" s="93"/>
      <c r="D578" s="106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</row>
    <row r="579" ht="25.5" customHeight="1">
      <c r="A579" s="93"/>
      <c r="B579" s="93"/>
      <c r="C579" s="93"/>
      <c r="D579" s="106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</row>
    <row r="580" ht="25.5" customHeight="1">
      <c r="A580" s="93"/>
      <c r="B580" s="93"/>
      <c r="C580" s="93"/>
      <c r="D580" s="106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</row>
    <row r="581" ht="25.5" customHeight="1">
      <c r="A581" s="93"/>
      <c r="B581" s="93"/>
      <c r="C581" s="93"/>
      <c r="D581" s="106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</row>
    <row r="582" ht="25.5" customHeight="1">
      <c r="A582" s="93"/>
      <c r="B582" s="93"/>
      <c r="C582" s="93"/>
      <c r="D582" s="106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</row>
    <row r="583" ht="25.5" customHeight="1">
      <c r="A583" s="93"/>
      <c r="B583" s="93"/>
      <c r="C583" s="93"/>
      <c r="D583" s="106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</row>
    <row r="584" ht="25.5" customHeight="1">
      <c r="A584" s="93"/>
      <c r="B584" s="93"/>
      <c r="C584" s="93"/>
      <c r="D584" s="106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</row>
    <row r="585" ht="25.5" customHeight="1">
      <c r="A585" s="93"/>
      <c r="B585" s="93"/>
      <c r="C585" s="93"/>
      <c r="D585" s="106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</row>
    <row r="586" ht="25.5" customHeight="1">
      <c r="A586" s="93"/>
      <c r="B586" s="93"/>
      <c r="C586" s="93"/>
      <c r="D586" s="106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</row>
    <row r="587" ht="25.5" customHeight="1">
      <c r="A587" s="93"/>
      <c r="B587" s="93"/>
      <c r="C587" s="93"/>
      <c r="D587" s="106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</row>
    <row r="588" ht="25.5" customHeight="1">
      <c r="A588" s="93"/>
      <c r="B588" s="93"/>
      <c r="C588" s="93"/>
      <c r="D588" s="106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</row>
    <row r="589" ht="25.5" customHeight="1">
      <c r="A589" s="93"/>
      <c r="B589" s="93"/>
      <c r="C589" s="93"/>
      <c r="D589" s="106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</row>
    <row r="590" ht="25.5" customHeight="1">
      <c r="A590" s="93"/>
      <c r="B590" s="93"/>
      <c r="C590" s="93"/>
      <c r="D590" s="106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</row>
    <row r="591" ht="25.5" customHeight="1">
      <c r="A591" s="93"/>
      <c r="B591" s="93"/>
      <c r="C591" s="93"/>
      <c r="D591" s="106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</row>
    <row r="592" ht="25.5" customHeight="1">
      <c r="A592" s="93"/>
      <c r="B592" s="93"/>
      <c r="C592" s="93"/>
      <c r="D592" s="106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</row>
    <row r="593" ht="25.5" customHeight="1">
      <c r="A593" s="93"/>
      <c r="B593" s="93"/>
      <c r="C593" s="93"/>
      <c r="D593" s="106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</row>
    <row r="594" ht="25.5" customHeight="1">
      <c r="A594" s="93"/>
      <c r="B594" s="93"/>
      <c r="C594" s="93"/>
      <c r="D594" s="106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</row>
    <row r="595" ht="25.5" customHeight="1">
      <c r="A595" s="93"/>
      <c r="B595" s="93"/>
      <c r="C595" s="93"/>
      <c r="D595" s="106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</row>
    <row r="596" ht="25.5" customHeight="1">
      <c r="A596" s="93"/>
      <c r="B596" s="93"/>
      <c r="C596" s="93"/>
      <c r="D596" s="106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</row>
    <row r="597" ht="25.5" customHeight="1">
      <c r="A597" s="93"/>
      <c r="B597" s="93"/>
      <c r="C597" s="93"/>
      <c r="D597" s="106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</row>
    <row r="598" ht="25.5" customHeight="1">
      <c r="A598" s="93"/>
      <c r="B598" s="93"/>
      <c r="C598" s="93"/>
      <c r="D598" s="106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</row>
    <row r="599" ht="25.5" customHeight="1">
      <c r="A599" s="93"/>
      <c r="B599" s="93"/>
      <c r="C599" s="93"/>
      <c r="D599" s="106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</row>
    <row r="600" ht="25.5" customHeight="1">
      <c r="A600" s="93"/>
      <c r="B600" s="93"/>
      <c r="C600" s="93"/>
      <c r="D600" s="106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</row>
    <row r="601" ht="25.5" customHeight="1">
      <c r="A601" s="93"/>
      <c r="B601" s="93"/>
      <c r="C601" s="93"/>
      <c r="D601" s="106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</row>
    <row r="602" ht="25.5" customHeight="1">
      <c r="A602" s="93"/>
      <c r="B602" s="93"/>
      <c r="C602" s="93"/>
      <c r="D602" s="106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</row>
    <row r="603" ht="25.5" customHeight="1">
      <c r="A603" s="93"/>
      <c r="B603" s="93"/>
      <c r="C603" s="93"/>
      <c r="D603" s="106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</row>
    <row r="604" ht="25.5" customHeight="1">
      <c r="A604" s="93"/>
      <c r="B604" s="93"/>
      <c r="C604" s="93"/>
      <c r="D604" s="106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</row>
    <row r="605" ht="25.5" customHeight="1">
      <c r="A605" s="93"/>
      <c r="B605" s="93"/>
      <c r="C605" s="93"/>
      <c r="D605" s="106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</row>
    <row r="606" ht="25.5" customHeight="1">
      <c r="A606" s="93"/>
      <c r="B606" s="93"/>
      <c r="C606" s="93"/>
      <c r="D606" s="106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</row>
    <row r="607" ht="25.5" customHeight="1">
      <c r="A607" s="93"/>
      <c r="B607" s="93"/>
      <c r="C607" s="93"/>
      <c r="D607" s="106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</row>
    <row r="608" ht="25.5" customHeight="1">
      <c r="A608" s="93"/>
      <c r="B608" s="93"/>
      <c r="C608" s="93"/>
      <c r="D608" s="106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</row>
    <row r="609" ht="25.5" customHeight="1">
      <c r="A609" s="93"/>
      <c r="B609" s="93"/>
      <c r="C609" s="93"/>
      <c r="D609" s="106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</row>
    <row r="610" ht="25.5" customHeight="1">
      <c r="A610" s="93"/>
      <c r="B610" s="93"/>
      <c r="C610" s="93"/>
      <c r="D610" s="106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</row>
    <row r="611" ht="25.5" customHeight="1">
      <c r="A611" s="93"/>
      <c r="B611" s="93"/>
      <c r="C611" s="93"/>
      <c r="D611" s="106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</row>
    <row r="612" ht="25.5" customHeight="1">
      <c r="A612" s="93"/>
      <c r="B612" s="93"/>
      <c r="C612" s="93"/>
      <c r="D612" s="106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</row>
    <row r="613" ht="25.5" customHeight="1">
      <c r="A613" s="93"/>
      <c r="B613" s="93"/>
      <c r="C613" s="93"/>
      <c r="D613" s="106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</row>
    <row r="614" ht="25.5" customHeight="1">
      <c r="A614" s="93"/>
      <c r="B614" s="93"/>
      <c r="C614" s="93"/>
      <c r="D614" s="106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</row>
    <row r="615" ht="25.5" customHeight="1">
      <c r="A615" s="93"/>
      <c r="B615" s="93"/>
      <c r="C615" s="93"/>
      <c r="D615" s="106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</row>
    <row r="616" ht="25.5" customHeight="1">
      <c r="A616" s="93"/>
      <c r="B616" s="93"/>
      <c r="C616" s="93"/>
      <c r="D616" s="106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</row>
    <row r="617" ht="25.5" customHeight="1">
      <c r="A617" s="93"/>
      <c r="B617" s="93"/>
      <c r="C617" s="93"/>
      <c r="D617" s="106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</row>
    <row r="618" ht="25.5" customHeight="1">
      <c r="A618" s="93"/>
      <c r="B618" s="93"/>
      <c r="C618" s="93"/>
      <c r="D618" s="106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</row>
    <row r="619" ht="25.5" customHeight="1">
      <c r="A619" s="93"/>
      <c r="B619" s="93"/>
      <c r="C619" s="93"/>
      <c r="D619" s="106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</row>
    <row r="620" ht="25.5" customHeight="1">
      <c r="A620" s="93"/>
      <c r="B620" s="93"/>
      <c r="C620" s="93"/>
      <c r="D620" s="106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</row>
    <row r="621" ht="25.5" customHeight="1">
      <c r="A621" s="93"/>
      <c r="B621" s="93"/>
      <c r="C621" s="93"/>
      <c r="D621" s="106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</row>
    <row r="622" ht="25.5" customHeight="1">
      <c r="A622" s="93"/>
      <c r="B622" s="93"/>
      <c r="C622" s="93"/>
      <c r="D622" s="106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</row>
    <row r="623" ht="25.5" customHeight="1">
      <c r="A623" s="93"/>
      <c r="B623" s="93"/>
      <c r="C623" s="93"/>
      <c r="D623" s="106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</row>
    <row r="624" ht="25.5" customHeight="1">
      <c r="A624" s="93"/>
      <c r="B624" s="93"/>
      <c r="C624" s="93"/>
      <c r="D624" s="106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</row>
    <row r="625" ht="25.5" customHeight="1">
      <c r="A625" s="93"/>
      <c r="B625" s="93"/>
      <c r="C625" s="93"/>
      <c r="D625" s="106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</row>
    <row r="626" ht="25.5" customHeight="1">
      <c r="A626" s="93"/>
      <c r="B626" s="93"/>
      <c r="C626" s="93"/>
      <c r="D626" s="106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</row>
    <row r="627" ht="25.5" customHeight="1">
      <c r="A627" s="93"/>
      <c r="B627" s="93"/>
      <c r="C627" s="93"/>
      <c r="D627" s="106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</row>
    <row r="628" ht="25.5" customHeight="1">
      <c r="A628" s="93"/>
      <c r="B628" s="93"/>
      <c r="C628" s="93"/>
      <c r="D628" s="106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</row>
    <row r="629" ht="25.5" customHeight="1">
      <c r="A629" s="93"/>
      <c r="B629" s="93"/>
      <c r="C629" s="93"/>
      <c r="D629" s="106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</row>
    <row r="630" ht="25.5" customHeight="1">
      <c r="A630" s="93"/>
      <c r="B630" s="93"/>
      <c r="C630" s="93"/>
      <c r="D630" s="106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</row>
    <row r="631" ht="25.5" customHeight="1">
      <c r="A631" s="93"/>
      <c r="B631" s="93"/>
      <c r="C631" s="93"/>
      <c r="D631" s="106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</row>
    <row r="632" ht="25.5" customHeight="1">
      <c r="A632" s="93"/>
      <c r="B632" s="93"/>
      <c r="C632" s="93"/>
      <c r="D632" s="106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</row>
    <row r="633" ht="25.5" customHeight="1">
      <c r="A633" s="93"/>
      <c r="B633" s="93"/>
      <c r="C633" s="93"/>
      <c r="D633" s="106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</row>
    <row r="634" ht="25.5" customHeight="1">
      <c r="A634" s="93"/>
      <c r="B634" s="93"/>
      <c r="C634" s="93"/>
      <c r="D634" s="106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</row>
    <row r="635" ht="25.5" customHeight="1">
      <c r="A635" s="93"/>
      <c r="B635" s="93"/>
      <c r="C635" s="93"/>
      <c r="D635" s="106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</row>
    <row r="636" ht="25.5" customHeight="1">
      <c r="A636" s="93"/>
      <c r="B636" s="93"/>
      <c r="C636" s="93"/>
      <c r="D636" s="106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</row>
    <row r="637" ht="25.5" customHeight="1">
      <c r="A637" s="93"/>
      <c r="B637" s="93"/>
      <c r="C637" s="93"/>
      <c r="D637" s="106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</row>
    <row r="638" ht="25.5" customHeight="1">
      <c r="A638" s="93"/>
      <c r="B638" s="93"/>
      <c r="C638" s="93"/>
      <c r="D638" s="106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</row>
    <row r="639" ht="25.5" customHeight="1">
      <c r="A639" s="93"/>
      <c r="B639" s="93"/>
      <c r="C639" s="93"/>
      <c r="D639" s="106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</row>
    <row r="640" ht="25.5" customHeight="1">
      <c r="A640" s="93"/>
      <c r="B640" s="93"/>
      <c r="C640" s="93"/>
      <c r="D640" s="106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</row>
    <row r="641" ht="25.5" customHeight="1">
      <c r="A641" s="93"/>
      <c r="B641" s="93"/>
      <c r="C641" s="93"/>
      <c r="D641" s="106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</row>
    <row r="642" ht="25.5" customHeight="1">
      <c r="A642" s="93"/>
      <c r="B642" s="93"/>
      <c r="C642" s="93"/>
      <c r="D642" s="106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</row>
    <row r="643" ht="25.5" customHeight="1">
      <c r="A643" s="93"/>
      <c r="B643" s="93"/>
      <c r="C643" s="93"/>
      <c r="D643" s="106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</row>
    <row r="644" ht="25.5" customHeight="1">
      <c r="A644" s="93"/>
      <c r="B644" s="93"/>
      <c r="C644" s="93"/>
      <c r="D644" s="106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</row>
    <row r="645" ht="25.5" customHeight="1">
      <c r="A645" s="93"/>
      <c r="B645" s="93"/>
      <c r="C645" s="93"/>
      <c r="D645" s="106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</row>
    <row r="646" ht="25.5" customHeight="1">
      <c r="A646" s="93"/>
      <c r="B646" s="93"/>
      <c r="C646" s="93"/>
      <c r="D646" s="106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</row>
    <row r="647" ht="25.5" customHeight="1">
      <c r="A647" s="93"/>
      <c r="B647" s="93"/>
      <c r="C647" s="93"/>
      <c r="D647" s="106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</row>
    <row r="648" ht="25.5" customHeight="1">
      <c r="A648" s="93"/>
      <c r="B648" s="93"/>
      <c r="C648" s="93"/>
      <c r="D648" s="106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</row>
    <row r="649" ht="25.5" customHeight="1">
      <c r="A649" s="93"/>
      <c r="B649" s="93"/>
      <c r="C649" s="93"/>
      <c r="D649" s="106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</row>
    <row r="650" ht="25.5" customHeight="1">
      <c r="A650" s="93"/>
      <c r="B650" s="93"/>
      <c r="C650" s="93"/>
      <c r="D650" s="106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</row>
    <row r="651" ht="25.5" customHeight="1">
      <c r="A651" s="93"/>
      <c r="B651" s="93"/>
      <c r="C651" s="93"/>
      <c r="D651" s="106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</row>
    <row r="652" ht="25.5" customHeight="1">
      <c r="A652" s="93"/>
      <c r="B652" s="93"/>
      <c r="C652" s="93"/>
      <c r="D652" s="106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</row>
    <row r="653" ht="25.5" customHeight="1">
      <c r="A653" s="93"/>
      <c r="B653" s="93"/>
      <c r="C653" s="93"/>
      <c r="D653" s="106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</row>
    <row r="654" ht="25.5" customHeight="1">
      <c r="A654" s="93"/>
      <c r="B654" s="93"/>
      <c r="C654" s="93"/>
      <c r="D654" s="106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</row>
    <row r="655" ht="25.5" customHeight="1">
      <c r="A655" s="93"/>
      <c r="B655" s="93"/>
      <c r="C655" s="93"/>
      <c r="D655" s="106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</row>
    <row r="656" ht="25.5" customHeight="1">
      <c r="A656" s="93"/>
      <c r="B656" s="93"/>
      <c r="C656" s="93"/>
      <c r="D656" s="106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</row>
    <row r="657" ht="25.5" customHeight="1">
      <c r="A657" s="93"/>
      <c r="B657" s="93"/>
      <c r="C657" s="93"/>
      <c r="D657" s="106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</row>
    <row r="658" ht="25.5" customHeight="1">
      <c r="A658" s="93"/>
      <c r="B658" s="93"/>
      <c r="C658" s="93"/>
      <c r="D658" s="106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</row>
    <row r="659" ht="25.5" customHeight="1">
      <c r="A659" s="93"/>
      <c r="B659" s="93"/>
      <c r="C659" s="93"/>
      <c r="D659" s="106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</row>
    <row r="660" ht="25.5" customHeight="1">
      <c r="A660" s="93"/>
      <c r="B660" s="93"/>
      <c r="C660" s="93"/>
      <c r="D660" s="106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</row>
    <row r="661" ht="25.5" customHeight="1">
      <c r="A661" s="93"/>
      <c r="B661" s="93"/>
      <c r="C661" s="93"/>
      <c r="D661" s="106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</row>
    <row r="662" ht="25.5" customHeight="1">
      <c r="A662" s="93"/>
      <c r="B662" s="93"/>
      <c r="C662" s="93"/>
      <c r="D662" s="106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</row>
    <row r="663" ht="25.5" customHeight="1">
      <c r="A663" s="93"/>
      <c r="B663" s="93"/>
      <c r="C663" s="93"/>
      <c r="D663" s="106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</row>
    <row r="664" ht="25.5" customHeight="1">
      <c r="A664" s="93"/>
      <c r="B664" s="93"/>
      <c r="C664" s="93"/>
      <c r="D664" s="106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</row>
    <row r="665" ht="25.5" customHeight="1">
      <c r="A665" s="93"/>
      <c r="B665" s="93"/>
      <c r="C665" s="93"/>
      <c r="D665" s="106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</row>
    <row r="666" ht="25.5" customHeight="1">
      <c r="A666" s="93"/>
      <c r="B666" s="93"/>
      <c r="C666" s="93"/>
      <c r="D666" s="106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</row>
    <row r="667" ht="25.5" customHeight="1">
      <c r="A667" s="93"/>
      <c r="B667" s="93"/>
      <c r="C667" s="93"/>
      <c r="D667" s="106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</row>
    <row r="668" ht="25.5" customHeight="1">
      <c r="A668" s="93"/>
      <c r="B668" s="93"/>
      <c r="C668" s="93"/>
      <c r="D668" s="106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</row>
    <row r="669" ht="25.5" customHeight="1">
      <c r="A669" s="93"/>
      <c r="B669" s="93"/>
      <c r="C669" s="93"/>
      <c r="D669" s="106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</row>
    <row r="670" ht="25.5" customHeight="1">
      <c r="A670" s="93"/>
      <c r="B670" s="93"/>
      <c r="C670" s="93"/>
      <c r="D670" s="106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</row>
    <row r="671" ht="25.5" customHeight="1">
      <c r="A671" s="93"/>
      <c r="B671" s="93"/>
      <c r="C671" s="93"/>
      <c r="D671" s="106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</row>
    <row r="672" ht="25.5" customHeight="1">
      <c r="A672" s="93"/>
      <c r="B672" s="93"/>
      <c r="C672" s="93"/>
      <c r="D672" s="106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</row>
    <row r="673" ht="25.5" customHeight="1">
      <c r="A673" s="93"/>
      <c r="B673" s="93"/>
      <c r="C673" s="93"/>
      <c r="D673" s="106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</row>
    <row r="674" ht="25.5" customHeight="1">
      <c r="A674" s="93"/>
      <c r="B674" s="93"/>
      <c r="C674" s="93"/>
      <c r="D674" s="106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</row>
    <row r="675" ht="25.5" customHeight="1">
      <c r="A675" s="93"/>
      <c r="B675" s="93"/>
      <c r="C675" s="93"/>
      <c r="D675" s="106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</row>
    <row r="676" ht="25.5" customHeight="1">
      <c r="A676" s="93"/>
      <c r="B676" s="93"/>
      <c r="C676" s="93"/>
      <c r="D676" s="106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</row>
    <row r="677" ht="25.5" customHeight="1">
      <c r="A677" s="93"/>
      <c r="B677" s="93"/>
      <c r="C677" s="93"/>
      <c r="D677" s="106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</row>
    <row r="678" ht="25.5" customHeight="1">
      <c r="A678" s="93"/>
      <c r="B678" s="93"/>
      <c r="C678" s="93"/>
      <c r="D678" s="106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</row>
    <row r="679" ht="25.5" customHeight="1">
      <c r="A679" s="93"/>
      <c r="B679" s="93"/>
      <c r="C679" s="93"/>
      <c r="D679" s="106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</row>
    <row r="680" ht="25.5" customHeight="1">
      <c r="A680" s="93"/>
      <c r="B680" s="93"/>
      <c r="C680" s="93"/>
      <c r="D680" s="106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</row>
    <row r="681" ht="25.5" customHeight="1">
      <c r="A681" s="93"/>
      <c r="B681" s="93"/>
      <c r="C681" s="93"/>
      <c r="D681" s="106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</row>
    <row r="682" ht="25.5" customHeight="1">
      <c r="A682" s="93"/>
      <c r="B682" s="93"/>
      <c r="C682" s="93"/>
      <c r="D682" s="106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</row>
    <row r="683" ht="25.5" customHeight="1">
      <c r="A683" s="93"/>
      <c r="B683" s="93"/>
      <c r="C683" s="93"/>
      <c r="D683" s="106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</row>
    <row r="684" ht="25.5" customHeight="1">
      <c r="A684" s="93"/>
      <c r="B684" s="93"/>
      <c r="C684" s="93"/>
      <c r="D684" s="106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</row>
    <row r="685" ht="25.5" customHeight="1">
      <c r="A685" s="93"/>
      <c r="B685" s="93"/>
      <c r="C685" s="93"/>
      <c r="D685" s="106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</row>
    <row r="686" ht="25.5" customHeight="1">
      <c r="A686" s="93"/>
      <c r="B686" s="93"/>
      <c r="C686" s="93"/>
      <c r="D686" s="106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</row>
    <row r="687" ht="25.5" customHeight="1">
      <c r="A687" s="93"/>
      <c r="B687" s="93"/>
      <c r="C687" s="93"/>
      <c r="D687" s="106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</row>
    <row r="688" ht="25.5" customHeight="1">
      <c r="A688" s="93"/>
      <c r="B688" s="93"/>
      <c r="C688" s="93"/>
      <c r="D688" s="106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</row>
    <row r="689" ht="25.5" customHeight="1">
      <c r="A689" s="93"/>
      <c r="B689" s="93"/>
      <c r="C689" s="93"/>
      <c r="D689" s="106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</row>
    <row r="690" ht="25.5" customHeight="1">
      <c r="A690" s="93"/>
      <c r="B690" s="93"/>
      <c r="C690" s="93"/>
      <c r="D690" s="106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</row>
    <row r="691" ht="25.5" customHeight="1">
      <c r="A691" s="93"/>
      <c r="B691" s="93"/>
      <c r="C691" s="93"/>
      <c r="D691" s="106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</row>
    <row r="692" ht="25.5" customHeight="1">
      <c r="A692" s="93"/>
      <c r="B692" s="93"/>
      <c r="C692" s="93"/>
      <c r="D692" s="106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</row>
    <row r="693" ht="25.5" customHeight="1">
      <c r="A693" s="93"/>
      <c r="B693" s="93"/>
      <c r="C693" s="93"/>
      <c r="D693" s="106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</row>
    <row r="694" ht="25.5" customHeight="1">
      <c r="A694" s="93"/>
      <c r="B694" s="93"/>
      <c r="C694" s="93"/>
      <c r="D694" s="106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</row>
    <row r="695" ht="25.5" customHeight="1">
      <c r="A695" s="93"/>
      <c r="B695" s="93"/>
      <c r="C695" s="93"/>
      <c r="D695" s="106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</row>
    <row r="696" ht="25.5" customHeight="1">
      <c r="A696" s="93"/>
      <c r="B696" s="93"/>
      <c r="C696" s="93"/>
      <c r="D696" s="106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</row>
    <row r="697" ht="25.5" customHeight="1">
      <c r="A697" s="93"/>
      <c r="B697" s="93"/>
      <c r="C697" s="93"/>
      <c r="D697" s="106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</row>
    <row r="698" ht="25.5" customHeight="1">
      <c r="A698" s="93"/>
      <c r="B698" s="93"/>
      <c r="C698" s="93"/>
      <c r="D698" s="106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</row>
    <row r="699" ht="25.5" customHeight="1">
      <c r="A699" s="93"/>
      <c r="B699" s="93"/>
      <c r="C699" s="93"/>
      <c r="D699" s="106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</row>
    <row r="700" ht="25.5" customHeight="1">
      <c r="A700" s="93"/>
      <c r="B700" s="93"/>
      <c r="C700" s="93"/>
      <c r="D700" s="106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</row>
    <row r="701" ht="25.5" customHeight="1">
      <c r="A701" s="93"/>
      <c r="B701" s="93"/>
      <c r="C701" s="93"/>
      <c r="D701" s="106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</row>
    <row r="702" ht="25.5" customHeight="1">
      <c r="A702" s="93"/>
      <c r="B702" s="93"/>
      <c r="C702" s="93"/>
      <c r="D702" s="106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</row>
    <row r="703" ht="25.5" customHeight="1">
      <c r="A703" s="93"/>
      <c r="B703" s="93"/>
      <c r="C703" s="93"/>
      <c r="D703" s="106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</row>
    <row r="704" ht="25.5" customHeight="1">
      <c r="A704" s="93"/>
      <c r="B704" s="93"/>
      <c r="C704" s="93"/>
      <c r="D704" s="106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</row>
    <row r="705" ht="25.5" customHeight="1">
      <c r="A705" s="93"/>
      <c r="B705" s="93"/>
      <c r="C705" s="93"/>
      <c r="D705" s="106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</row>
    <row r="706" ht="25.5" customHeight="1">
      <c r="A706" s="93"/>
      <c r="B706" s="93"/>
      <c r="C706" s="93"/>
      <c r="D706" s="106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</row>
    <row r="707" ht="25.5" customHeight="1">
      <c r="A707" s="93"/>
      <c r="B707" s="93"/>
      <c r="C707" s="93"/>
      <c r="D707" s="106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</row>
    <row r="708" ht="25.5" customHeight="1">
      <c r="A708" s="93"/>
      <c r="B708" s="93"/>
      <c r="C708" s="93"/>
      <c r="D708" s="106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</row>
    <row r="709" ht="25.5" customHeight="1">
      <c r="A709" s="93"/>
      <c r="B709" s="93"/>
      <c r="C709" s="93"/>
      <c r="D709" s="106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</row>
    <row r="710" ht="25.5" customHeight="1">
      <c r="A710" s="93"/>
      <c r="B710" s="93"/>
      <c r="C710" s="93"/>
      <c r="D710" s="106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</row>
    <row r="711" ht="25.5" customHeight="1">
      <c r="A711" s="93"/>
      <c r="B711" s="93"/>
      <c r="C711" s="93"/>
      <c r="D711" s="106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</row>
    <row r="712" ht="25.5" customHeight="1">
      <c r="A712" s="93"/>
      <c r="B712" s="93"/>
      <c r="C712" s="93"/>
      <c r="D712" s="106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</row>
    <row r="713" ht="25.5" customHeight="1">
      <c r="A713" s="93"/>
      <c r="B713" s="93"/>
      <c r="C713" s="93"/>
      <c r="D713" s="106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</row>
    <row r="714" ht="25.5" customHeight="1">
      <c r="A714" s="93"/>
      <c r="B714" s="93"/>
      <c r="C714" s="93"/>
      <c r="D714" s="106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</row>
    <row r="715" ht="25.5" customHeight="1">
      <c r="A715" s="93"/>
      <c r="B715" s="93"/>
      <c r="C715" s="93"/>
      <c r="D715" s="106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</row>
    <row r="716" ht="25.5" customHeight="1">
      <c r="A716" s="93"/>
      <c r="B716" s="93"/>
      <c r="C716" s="93"/>
      <c r="D716" s="106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</row>
    <row r="717" ht="25.5" customHeight="1">
      <c r="A717" s="93"/>
      <c r="B717" s="93"/>
      <c r="C717" s="93"/>
      <c r="D717" s="106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</row>
    <row r="718" ht="25.5" customHeight="1">
      <c r="A718" s="93"/>
      <c r="B718" s="93"/>
      <c r="C718" s="93"/>
      <c r="D718" s="106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</row>
    <row r="719" ht="25.5" customHeight="1">
      <c r="A719" s="93"/>
      <c r="B719" s="93"/>
      <c r="C719" s="93"/>
      <c r="D719" s="106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</row>
    <row r="720" ht="25.5" customHeight="1">
      <c r="A720" s="93"/>
      <c r="B720" s="93"/>
      <c r="C720" s="93"/>
      <c r="D720" s="106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</row>
    <row r="721" ht="25.5" customHeight="1">
      <c r="A721" s="93"/>
      <c r="B721" s="93"/>
      <c r="C721" s="93"/>
      <c r="D721" s="106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</row>
    <row r="722" ht="25.5" customHeight="1">
      <c r="A722" s="93"/>
      <c r="B722" s="93"/>
      <c r="C722" s="93"/>
      <c r="D722" s="106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</row>
    <row r="723" ht="25.5" customHeight="1">
      <c r="A723" s="93"/>
      <c r="B723" s="93"/>
      <c r="C723" s="93"/>
      <c r="D723" s="106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</row>
    <row r="724" ht="25.5" customHeight="1">
      <c r="A724" s="93"/>
      <c r="B724" s="93"/>
      <c r="C724" s="93"/>
      <c r="D724" s="106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</row>
    <row r="725" ht="25.5" customHeight="1">
      <c r="A725" s="93"/>
      <c r="B725" s="93"/>
      <c r="C725" s="93"/>
      <c r="D725" s="106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</row>
    <row r="726" ht="25.5" customHeight="1">
      <c r="A726" s="93"/>
      <c r="B726" s="93"/>
      <c r="C726" s="93"/>
      <c r="D726" s="106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</row>
    <row r="727" ht="25.5" customHeight="1">
      <c r="A727" s="93"/>
      <c r="B727" s="93"/>
      <c r="C727" s="93"/>
      <c r="D727" s="106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</row>
    <row r="728" ht="25.5" customHeight="1">
      <c r="A728" s="93"/>
      <c r="B728" s="93"/>
      <c r="C728" s="93"/>
      <c r="D728" s="106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</row>
    <row r="729" ht="25.5" customHeight="1">
      <c r="A729" s="93"/>
      <c r="B729" s="93"/>
      <c r="C729" s="93"/>
      <c r="D729" s="106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</row>
    <row r="730" ht="25.5" customHeight="1">
      <c r="A730" s="93"/>
      <c r="B730" s="93"/>
      <c r="C730" s="93"/>
      <c r="D730" s="106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</row>
    <row r="731" ht="25.5" customHeight="1">
      <c r="A731" s="93"/>
      <c r="B731" s="93"/>
      <c r="C731" s="93"/>
      <c r="D731" s="106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</row>
    <row r="732" ht="25.5" customHeight="1">
      <c r="A732" s="93"/>
      <c r="B732" s="93"/>
      <c r="C732" s="93"/>
      <c r="D732" s="106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</row>
    <row r="733" ht="25.5" customHeight="1">
      <c r="A733" s="93"/>
      <c r="B733" s="93"/>
      <c r="C733" s="93"/>
      <c r="D733" s="106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</row>
    <row r="734" ht="25.5" customHeight="1">
      <c r="A734" s="93"/>
      <c r="B734" s="93"/>
      <c r="C734" s="93"/>
      <c r="D734" s="106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</row>
    <row r="735" ht="25.5" customHeight="1">
      <c r="A735" s="93"/>
      <c r="B735" s="93"/>
      <c r="C735" s="93"/>
      <c r="D735" s="106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</row>
    <row r="736" ht="25.5" customHeight="1">
      <c r="A736" s="93"/>
      <c r="B736" s="93"/>
      <c r="C736" s="93"/>
      <c r="D736" s="106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</row>
    <row r="737" ht="25.5" customHeight="1">
      <c r="A737" s="93"/>
      <c r="B737" s="93"/>
      <c r="C737" s="93"/>
      <c r="D737" s="106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</row>
    <row r="738" ht="25.5" customHeight="1">
      <c r="A738" s="93"/>
      <c r="B738" s="93"/>
      <c r="C738" s="93"/>
      <c r="D738" s="106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</row>
    <row r="739" ht="25.5" customHeight="1">
      <c r="A739" s="93"/>
      <c r="B739" s="93"/>
      <c r="C739" s="93"/>
      <c r="D739" s="106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</row>
    <row r="740" ht="25.5" customHeight="1">
      <c r="A740" s="93"/>
      <c r="B740" s="93"/>
      <c r="C740" s="93"/>
      <c r="D740" s="106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</row>
    <row r="741" ht="25.5" customHeight="1">
      <c r="A741" s="93"/>
      <c r="B741" s="93"/>
      <c r="C741" s="93"/>
      <c r="D741" s="106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</row>
    <row r="742" ht="25.5" customHeight="1">
      <c r="A742" s="93"/>
      <c r="B742" s="93"/>
      <c r="C742" s="93"/>
      <c r="D742" s="106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</row>
    <row r="743" ht="25.5" customHeight="1">
      <c r="A743" s="93"/>
      <c r="B743" s="93"/>
      <c r="C743" s="93"/>
      <c r="D743" s="106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</row>
    <row r="744" ht="25.5" customHeight="1">
      <c r="A744" s="93"/>
      <c r="B744" s="93"/>
      <c r="C744" s="93"/>
      <c r="D744" s="106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</row>
    <row r="745" ht="25.5" customHeight="1">
      <c r="A745" s="93"/>
      <c r="B745" s="93"/>
      <c r="C745" s="93"/>
      <c r="D745" s="106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</row>
    <row r="746" ht="25.5" customHeight="1">
      <c r="A746" s="93"/>
      <c r="B746" s="93"/>
      <c r="C746" s="93"/>
      <c r="D746" s="106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</row>
    <row r="747" ht="25.5" customHeight="1">
      <c r="A747" s="93"/>
      <c r="B747" s="93"/>
      <c r="C747" s="93"/>
      <c r="D747" s="106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</row>
    <row r="748" ht="25.5" customHeight="1">
      <c r="A748" s="93"/>
      <c r="B748" s="93"/>
      <c r="C748" s="93"/>
      <c r="D748" s="106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</row>
    <row r="749" ht="25.5" customHeight="1">
      <c r="A749" s="93"/>
      <c r="B749" s="93"/>
      <c r="C749" s="93"/>
      <c r="D749" s="106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</row>
    <row r="750" ht="25.5" customHeight="1">
      <c r="A750" s="93"/>
      <c r="B750" s="93"/>
      <c r="C750" s="93"/>
      <c r="D750" s="106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</row>
    <row r="751" ht="25.5" customHeight="1">
      <c r="A751" s="93"/>
      <c r="B751" s="93"/>
      <c r="C751" s="93"/>
      <c r="D751" s="106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</row>
    <row r="752" ht="25.5" customHeight="1">
      <c r="A752" s="93"/>
      <c r="B752" s="93"/>
      <c r="C752" s="93"/>
      <c r="D752" s="106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</row>
    <row r="753" ht="25.5" customHeight="1">
      <c r="A753" s="93"/>
      <c r="B753" s="93"/>
      <c r="C753" s="93"/>
      <c r="D753" s="106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</row>
    <row r="754" ht="25.5" customHeight="1">
      <c r="A754" s="93"/>
      <c r="B754" s="93"/>
      <c r="C754" s="93"/>
      <c r="D754" s="106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</row>
    <row r="755" ht="25.5" customHeight="1">
      <c r="A755" s="93"/>
      <c r="B755" s="93"/>
      <c r="C755" s="93"/>
      <c r="D755" s="106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</row>
    <row r="756" ht="25.5" customHeight="1">
      <c r="A756" s="93"/>
      <c r="B756" s="93"/>
      <c r="C756" s="93"/>
      <c r="D756" s="106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</row>
    <row r="757" ht="25.5" customHeight="1">
      <c r="A757" s="93"/>
      <c r="B757" s="93"/>
      <c r="C757" s="93"/>
      <c r="D757" s="106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</row>
    <row r="758" ht="25.5" customHeight="1">
      <c r="A758" s="93"/>
      <c r="B758" s="93"/>
      <c r="C758" s="93"/>
      <c r="D758" s="106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</row>
    <row r="759" ht="25.5" customHeight="1">
      <c r="A759" s="93"/>
      <c r="B759" s="93"/>
      <c r="C759" s="93"/>
      <c r="D759" s="106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</row>
    <row r="760" ht="25.5" customHeight="1">
      <c r="A760" s="93"/>
      <c r="B760" s="93"/>
      <c r="C760" s="93"/>
      <c r="D760" s="106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</row>
    <row r="761" ht="25.5" customHeight="1">
      <c r="A761" s="93"/>
      <c r="B761" s="93"/>
      <c r="C761" s="93"/>
      <c r="D761" s="106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</row>
    <row r="762" ht="25.5" customHeight="1">
      <c r="A762" s="93"/>
      <c r="B762" s="93"/>
      <c r="C762" s="93"/>
      <c r="D762" s="106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</row>
    <row r="763" ht="25.5" customHeight="1">
      <c r="A763" s="93"/>
      <c r="B763" s="93"/>
      <c r="C763" s="93"/>
      <c r="D763" s="106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</row>
    <row r="764" ht="25.5" customHeight="1">
      <c r="A764" s="93"/>
      <c r="B764" s="93"/>
      <c r="C764" s="93"/>
      <c r="D764" s="106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</row>
    <row r="765" ht="25.5" customHeight="1">
      <c r="A765" s="93"/>
      <c r="B765" s="93"/>
      <c r="C765" s="93"/>
      <c r="D765" s="106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</row>
    <row r="766" ht="25.5" customHeight="1">
      <c r="A766" s="93"/>
      <c r="B766" s="93"/>
      <c r="C766" s="93"/>
      <c r="D766" s="106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</row>
    <row r="767" ht="25.5" customHeight="1">
      <c r="A767" s="93"/>
      <c r="B767" s="93"/>
      <c r="C767" s="93"/>
      <c r="D767" s="106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</row>
    <row r="768" ht="25.5" customHeight="1">
      <c r="A768" s="93"/>
      <c r="B768" s="93"/>
      <c r="C768" s="93"/>
      <c r="D768" s="106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</row>
    <row r="769" ht="25.5" customHeight="1">
      <c r="A769" s="93"/>
      <c r="B769" s="93"/>
      <c r="C769" s="93"/>
      <c r="D769" s="106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</row>
    <row r="770" ht="25.5" customHeight="1">
      <c r="A770" s="93"/>
      <c r="B770" s="93"/>
      <c r="C770" s="93"/>
      <c r="D770" s="106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</row>
    <row r="771" ht="25.5" customHeight="1">
      <c r="A771" s="93"/>
      <c r="B771" s="93"/>
      <c r="C771" s="93"/>
      <c r="D771" s="106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</row>
    <row r="772" ht="25.5" customHeight="1">
      <c r="A772" s="93"/>
      <c r="B772" s="93"/>
      <c r="C772" s="93"/>
      <c r="D772" s="106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</row>
    <row r="773" ht="25.5" customHeight="1">
      <c r="A773" s="93"/>
      <c r="B773" s="93"/>
      <c r="C773" s="93"/>
      <c r="D773" s="106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</row>
    <row r="774" ht="25.5" customHeight="1">
      <c r="A774" s="93"/>
      <c r="B774" s="93"/>
      <c r="C774" s="93"/>
      <c r="D774" s="106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</row>
    <row r="775" ht="25.5" customHeight="1">
      <c r="A775" s="93"/>
      <c r="B775" s="93"/>
      <c r="C775" s="93"/>
      <c r="D775" s="106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</row>
    <row r="776" ht="25.5" customHeight="1">
      <c r="A776" s="93"/>
      <c r="B776" s="93"/>
      <c r="C776" s="93"/>
      <c r="D776" s="106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</row>
    <row r="777" ht="25.5" customHeight="1">
      <c r="A777" s="93"/>
      <c r="B777" s="93"/>
      <c r="C777" s="93"/>
      <c r="D777" s="106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</row>
    <row r="778" ht="25.5" customHeight="1">
      <c r="A778" s="93"/>
      <c r="B778" s="93"/>
      <c r="C778" s="93"/>
      <c r="D778" s="106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</row>
    <row r="779" ht="25.5" customHeight="1">
      <c r="A779" s="93"/>
      <c r="B779" s="93"/>
      <c r="C779" s="93"/>
      <c r="D779" s="106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</row>
    <row r="780" ht="25.5" customHeight="1">
      <c r="A780" s="93"/>
      <c r="B780" s="93"/>
      <c r="C780" s="93"/>
      <c r="D780" s="106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</row>
    <row r="781" ht="25.5" customHeight="1">
      <c r="A781" s="93"/>
      <c r="B781" s="93"/>
      <c r="C781" s="93"/>
      <c r="D781" s="106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</row>
    <row r="782" ht="25.5" customHeight="1">
      <c r="A782" s="93"/>
      <c r="B782" s="93"/>
      <c r="C782" s="93"/>
      <c r="D782" s="106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</row>
    <row r="783" ht="25.5" customHeight="1">
      <c r="A783" s="93"/>
      <c r="B783" s="93"/>
      <c r="C783" s="93"/>
      <c r="D783" s="106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</row>
    <row r="784" ht="25.5" customHeight="1">
      <c r="A784" s="93"/>
      <c r="B784" s="93"/>
      <c r="C784" s="93"/>
      <c r="D784" s="106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</row>
    <row r="785" ht="25.5" customHeight="1">
      <c r="A785" s="93"/>
      <c r="B785" s="93"/>
      <c r="C785" s="93"/>
      <c r="D785" s="106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</row>
    <row r="786" ht="25.5" customHeight="1">
      <c r="A786" s="93"/>
      <c r="B786" s="93"/>
      <c r="C786" s="93"/>
      <c r="D786" s="106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</row>
    <row r="787" ht="25.5" customHeight="1">
      <c r="A787" s="93"/>
      <c r="B787" s="93"/>
      <c r="C787" s="93"/>
      <c r="D787" s="106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</row>
    <row r="788" ht="25.5" customHeight="1">
      <c r="A788" s="93"/>
      <c r="B788" s="93"/>
      <c r="C788" s="93"/>
      <c r="D788" s="106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</row>
    <row r="789" ht="25.5" customHeight="1">
      <c r="A789" s="93"/>
      <c r="B789" s="93"/>
      <c r="C789" s="93"/>
      <c r="D789" s="106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</row>
    <row r="790" ht="25.5" customHeight="1">
      <c r="A790" s="93"/>
      <c r="B790" s="93"/>
      <c r="C790" s="93"/>
      <c r="D790" s="106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</row>
    <row r="791" ht="25.5" customHeight="1">
      <c r="A791" s="93"/>
      <c r="B791" s="93"/>
      <c r="C791" s="93"/>
      <c r="D791" s="106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</row>
    <row r="792" ht="25.5" customHeight="1">
      <c r="A792" s="93"/>
      <c r="B792" s="93"/>
      <c r="C792" s="93"/>
      <c r="D792" s="106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</row>
    <row r="793" ht="25.5" customHeight="1">
      <c r="A793" s="93"/>
      <c r="B793" s="93"/>
      <c r="C793" s="93"/>
      <c r="D793" s="106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</row>
    <row r="794" ht="25.5" customHeight="1">
      <c r="A794" s="93"/>
      <c r="B794" s="93"/>
      <c r="C794" s="93"/>
      <c r="D794" s="106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</row>
    <row r="795" ht="25.5" customHeight="1">
      <c r="A795" s="93"/>
      <c r="B795" s="93"/>
      <c r="C795" s="93"/>
      <c r="D795" s="106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</row>
    <row r="796" ht="25.5" customHeight="1">
      <c r="A796" s="93"/>
      <c r="B796" s="93"/>
      <c r="C796" s="93"/>
      <c r="D796" s="106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</row>
    <row r="797" ht="25.5" customHeight="1">
      <c r="A797" s="93"/>
      <c r="B797" s="93"/>
      <c r="C797" s="93"/>
      <c r="D797" s="106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</row>
    <row r="798" ht="25.5" customHeight="1">
      <c r="A798" s="93"/>
      <c r="B798" s="93"/>
      <c r="C798" s="93"/>
      <c r="D798" s="106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</row>
    <row r="799" ht="25.5" customHeight="1">
      <c r="A799" s="93"/>
      <c r="B799" s="93"/>
      <c r="C799" s="93"/>
      <c r="D799" s="106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</row>
    <row r="800" ht="25.5" customHeight="1">
      <c r="A800" s="93"/>
      <c r="B800" s="93"/>
      <c r="C800" s="93"/>
      <c r="D800" s="106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</row>
    <row r="801" ht="25.5" customHeight="1">
      <c r="A801" s="93"/>
      <c r="B801" s="93"/>
      <c r="C801" s="93"/>
      <c r="D801" s="106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</row>
    <row r="802" ht="25.5" customHeight="1">
      <c r="A802" s="93"/>
      <c r="B802" s="93"/>
      <c r="C802" s="93"/>
      <c r="D802" s="106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</row>
    <row r="803" ht="25.5" customHeight="1">
      <c r="A803" s="93"/>
      <c r="B803" s="93"/>
      <c r="C803" s="93"/>
      <c r="D803" s="106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</row>
    <row r="804" ht="25.5" customHeight="1">
      <c r="A804" s="93"/>
      <c r="B804" s="93"/>
      <c r="C804" s="93"/>
      <c r="D804" s="106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</row>
    <row r="805" ht="25.5" customHeight="1">
      <c r="A805" s="93"/>
      <c r="B805" s="93"/>
      <c r="C805" s="93"/>
      <c r="D805" s="106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</row>
    <row r="806" ht="25.5" customHeight="1">
      <c r="A806" s="93"/>
      <c r="B806" s="93"/>
      <c r="C806" s="93"/>
      <c r="D806" s="106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</row>
    <row r="807" ht="25.5" customHeight="1">
      <c r="A807" s="93"/>
      <c r="B807" s="93"/>
      <c r="C807" s="93"/>
      <c r="D807" s="106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</row>
    <row r="808" ht="25.5" customHeight="1">
      <c r="A808" s="93"/>
      <c r="B808" s="93"/>
      <c r="C808" s="93"/>
      <c r="D808" s="106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</row>
    <row r="809" ht="25.5" customHeight="1">
      <c r="A809" s="93"/>
      <c r="B809" s="93"/>
      <c r="C809" s="93"/>
      <c r="D809" s="106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</row>
    <row r="810" ht="25.5" customHeight="1">
      <c r="A810" s="93"/>
      <c r="B810" s="93"/>
      <c r="C810" s="93"/>
      <c r="D810" s="106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</row>
    <row r="811" ht="25.5" customHeight="1">
      <c r="A811" s="93"/>
      <c r="B811" s="93"/>
      <c r="C811" s="93"/>
      <c r="D811" s="106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</row>
    <row r="812" ht="25.5" customHeight="1">
      <c r="A812" s="93"/>
      <c r="B812" s="93"/>
      <c r="C812" s="93"/>
      <c r="D812" s="106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</row>
    <row r="813" ht="25.5" customHeight="1">
      <c r="A813" s="93"/>
      <c r="B813" s="93"/>
      <c r="C813" s="93"/>
      <c r="D813" s="106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</row>
    <row r="814" ht="25.5" customHeight="1">
      <c r="A814" s="93"/>
      <c r="B814" s="93"/>
      <c r="C814" s="93"/>
      <c r="D814" s="106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</row>
    <row r="815" ht="25.5" customHeight="1">
      <c r="A815" s="93"/>
      <c r="B815" s="93"/>
      <c r="C815" s="93"/>
      <c r="D815" s="106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</row>
    <row r="816" ht="25.5" customHeight="1">
      <c r="A816" s="93"/>
      <c r="B816" s="93"/>
      <c r="C816" s="93"/>
      <c r="D816" s="106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</row>
    <row r="817" ht="25.5" customHeight="1">
      <c r="A817" s="93"/>
      <c r="B817" s="93"/>
      <c r="C817" s="93"/>
      <c r="D817" s="106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</row>
    <row r="818" ht="25.5" customHeight="1">
      <c r="A818" s="93"/>
      <c r="B818" s="93"/>
      <c r="C818" s="93"/>
      <c r="D818" s="106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</row>
    <row r="819" ht="25.5" customHeight="1">
      <c r="A819" s="93"/>
      <c r="B819" s="93"/>
      <c r="C819" s="93"/>
      <c r="D819" s="106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</row>
    <row r="820" ht="25.5" customHeight="1">
      <c r="A820" s="93"/>
      <c r="B820" s="93"/>
      <c r="C820" s="93"/>
      <c r="D820" s="106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</row>
    <row r="821" ht="25.5" customHeight="1">
      <c r="A821" s="93"/>
      <c r="B821" s="93"/>
      <c r="C821" s="93"/>
      <c r="D821" s="106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</row>
    <row r="822" ht="25.5" customHeight="1">
      <c r="A822" s="93"/>
      <c r="B822" s="93"/>
      <c r="C822" s="93"/>
      <c r="D822" s="106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</row>
    <row r="823" ht="25.5" customHeight="1">
      <c r="A823" s="93"/>
      <c r="B823" s="93"/>
      <c r="C823" s="93"/>
      <c r="D823" s="106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</row>
    <row r="824" ht="25.5" customHeight="1">
      <c r="A824" s="93"/>
      <c r="B824" s="93"/>
      <c r="C824" s="93"/>
      <c r="D824" s="106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</row>
    <row r="825" ht="25.5" customHeight="1">
      <c r="A825" s="93"/>
      <c r="B825" s="93"/>
      <c r="C825" s="93"/>
      <c r="D825" s="106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</row>
    <row r="826" ht="25.5" customHeight="1">
      <c r="A826" s="93"/>
      <c r="B826" s="93"/>
      <c r="C826" s="93"/>
      <c r="D826" s="106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</row>
    <row r="827" ht="25.5" customHeight="1">
      <c r="A827" s="93"/>
      <c r="B827" s="93"/>
      <c r="C827" s="93"/>
      <c r="D827" s="106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</row>
    <row r="828" ht="25.5" customHeight="1">
      <c r="A828" s="93"/>
      <c r="B828" s="93"/>
      <c r="C828" s="93"/>
      <c r="D828" s="106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</row>
    <row r="829" ht="25.5" customHeight="1">
      <c r="A829" s="93"/>
      <c r="B829" s="93"/>
      <c r="C829" s="93"/>
      <c r="D829" s="106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</row>
    <row r="830" ht="25.5" customHeight="1">
      <c r="A830" s="93"/>
      <c r="B830" s="93"/>
      <c r="C830" s="93"/>
      <c r="D830" s="106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</row>
    <row r="831" ht="25.5" customHeight="1">
      <c r="A831" s="93"/>
      <c r="B831" s="93"/>
      <c r="C831" s="93"/>
      <c r="D831" s="106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</row>
    <row r="832" ht="25.5" customHeight="1">
      <c r="A832" s="93"/>
      <c r="B832" s="93"/>
      <c r="C832" s="93"/>
      <c r="D832" s="106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</row>
    <row r="833" ht="25.5" customHeight="1">
      <c r="A833" s="93"/>
      <c r="B833" s="93"/>
      <c r="C833" s="93"/>
      <c r="D833" s="106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</row>
    <row r="834" ht="25.5" customHeight="1">
      <c r="A834" s="93"/>
      <c r="B834" s="93"/>
      <c r="C834" s="93"/>
      <c r="D834" s="106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</row>
    <row r="835" ht="25.5" customHeight="1">
      <c r="A835" s="93"/>
      <c r="B835" s="93"/>
      <c r="C835" s="93"/>
      <c r="D835" s="106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</row>
    <row r="836" ht="25.5" customHeight="1">
      <c r="A836" s="93"/>
      <c r="B836" s="93"/>
      <c r="C836" s="93"/>
      <c r="D836" s="106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</row>
    <row r="837" ht="25.5" customHeight="1">
      <c r="A837" s="93"/>
      <c r="B837" s="93"/>
      <c r="C837" s="93"/>
      <c r="D837" s="106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</row>
    <row r="838" ht="25.5" customHeight="1">
      <c r="A838" s="93"/>
      <c r="B838" s="93"/>
      <c r="C838" s="93"/>
      <c r="D838" s="106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</row>
    <row r="839" ht="25.5" customHeight="1">
      <c r="A839" s="93"/>
      <c r="B839" s="93"/>
      <c r="C839" s="93"/>
      <c r="D839" s="106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</row>
    <row r="840" ht="25.5" customHeight="1">
      <c r="A840" s="93"/>
      <c r="B840" s="93"/>
      <c r="C840" s="93"/>
      <c r="D840" s="106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</row>
    <row r="841" ht="25.5" customHeight="1">
      <c r="A841" s="93"/>
      <c r="B841" s="93"/>
      <c r="C841" s="93"/>
      <c r="D841" s="106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</row>
    <row r="842" ht="25.5" customHeight="1">
      <c r="A842" s="93"/>
      <c r="B842" s="93"/>
      <c r="C842" s="93"/>
      <c r="D842" s="106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</row>
    <row r="843" ht="25.5" customHeight="1">
      <c r="A843" s="93"/>
      <c r="B843" s="93"/>
      <c r="C843" s="93"/>
      <c r="D843" s="106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</row>
    <row r="844" ht="25.5" customHeight="1">
      <c r="A844" s="93"/>
      <c r="B844" s="93"/>
      <c r="C844" s="93"/>
      <c r="D844" s="106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</row>
    <row r="845" ht="25.5" customHeight="1">
      <c r="A845" s="93"/>
      <c r="B845" s="93"/>
      <c r="C845" s="93"/>
      <c r="D845" s="106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</row>
    <row r="846" ht="25.5" customHeight="1">
      <c r="A846" s="93"/>
      <c r="B846" s="93"/>
      <c r="C846" s="93"/>
      <c r="D846" s="106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</row>
    <row r="847" ht="25.5" customHeight="1">
      <c r="A847" s="93"/>
      <c r="B847" s="93"/>
      <c r="C847" s="93"/>
      <c r="D847" s="106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</row>
    <row r="848" ht="25.5" customHeight="1">
      <c r="A848" s="93"/>
      <c r="B848" s="93"/>
      <c r="C848" s="93"/>
      <c r="D848" s="106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</row>
    <row r="849" ht="25.5" customHeight="1">
      <c r="A849" s="93"/>
      <c r="B849" s="93"/>
      <c r="C849" s="93"/>
      <c r="D849" s="106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</row>
    <row r="850" ht="25.5" customHeight="1">
      <c r="A850" s="93"/>
      <c r="B850" s="93"/>
      <c r="C850" s="93"/>
      <c r="D850" s="106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</row>
    <row r="851" ht="25.5" customHeight="1">
      <c r="A851" s="93"/>
      <c r="B851" s="93"/>
      <c r="C851" s="93"/>
      <c r="D851" s="106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</row>
    <row r="852" ht="25.5" customHeight="1">
      <c r="A852" s="93"/>
      <c r="B852" s="93"/>
      <c r="C852" s="93"/>
      <c r="D852" s="106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</row>
    <row r="853" ht="25.5" customHeight="1">
      <c r="A853" s="93"/>
      <c r="B853" s="93"/>
      <c r="C853" s="93"/>
      <c r="D853" s="106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</row>
    <row r="854" ht="25.5" customHeight="1">
      <c r="A854" s="93"/>
      <c r="B854" s="93"/>
      <c r="C854" s="93"/>
      <c r="D854" s="106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</row>
    <row r="855" ht="25.5" customHeight="1">
      <c r="A855" s="93"/>
      <c r="B855" s="93"/>
      <c r="C855" s="93"/>
      <c r="D855" s="106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</row>
    <row r="856" ht="25.5" customHeight="1">
      <c r="A856" s="93"/>
      <c r="B856" s="93"/>
      <c r="C856" s="93"/>
      <c r="D856" s="106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</row>
    <row r="857" ht="25.5" customHeight="1">
      <c r="A857" s="93"/>
      <c r="B857" s="93"/>
      <c r="C857" s="93"/>
      <c r="D857" s="106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</row>
    <row r="858" ht="25.5" customHeight="1">
      <c r="A858" s="93"/>
      <c r="B858" s="93"/>
      <c r="C858" s="93"/>
      <c r="D858" s="106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</row>
    <row r="859" ht="25.5" customHeight="1">
      <c r="A859" s="93"/>
      <c r="B859" s="93"/>
      <c r="C859" s="93"/>
      <c r="D859" s="106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</row>
    <row r="860" ht="25.5" customHeight="1">
      <c r="A860" s="93"/>
      <c r="B860" s="93"/>
      <c r="C860" s="93"/>
      <c r="D860" s="106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</row>
    <row r="861" ht="25.5" customHeight="1">
      <c r="A861" s="93"/>
      <c r="B861" s="93"/>
      <c r="C861" s="93"/>
      <c r="D861" s="106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</row>
    <row r="862" ht="25.5" customHeight="1">
      <c r="A862" s="93"/>
      <c r="B862" s="93"/>
      <c r="C862" s="93"/>
      <c r="D862" s="106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</row>
    <row r="863" ht="25.5" customHeight="1">
      <c r="A863" s="93"/>
      <c r="B863" s="93"/>
      <c r="C863" s="93"/>
      <c r="D863" s="106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</row>
    <row r="864" ht="25.5" customHeight="1">
      <c r="A864" s="93"/>
      <c r="B864" s="93"/>
      <c r="C864" s="93"/>
      <c r="D864" s="106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</row>
    <row r="865" ht="25.5" customHeight="1">
      <c r="A865" s="93"/>
      <c r="B865" s="93"/>
      <c r="C865" s="93"/>
      <c r="D865" s="106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</row>
    <row r="866" ht="25.5" customHeight="1">
      <c r="A866" s="93"/>
      <c r="B866" s="93"/>
      <c r="C866" s="93"/>
      <c r="D866" s="106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</row>
    <row r="867" ht="25.5" customHeight="1">
      <c r="A867" s="93"/>
      <c r="B867" s="93"/>
      <c r="C867" s="93"/>
      <c r="D867" s="106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</row>
    <row r="868" ht="25.5" customHeight="1">
      <c r="A868" s="93"/>
      <c r="B868" s="93"/>
      <c r="C868" s="93"/>
      <c r="D868" s="106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</row>
    <row r="869" ht="25.5" customHeight="1">
      <c r="A869" s="93"/>
      <c r="B869" s="93"/>
      <c r="C869" s="93"/>
      <c r="D869" s="106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</row>
    <row r="870" ht="25.5" customHeight="1">
      <c r="A870" s="93"/>
      <c r="B870" s="93"/>
      <c r="C870" s="93"/>
      <c r="D870" s="106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</row>
    <row r="871" ht="25.5" customHeight="1">
      <c r="A871" s="93"/>
      <c r="B871" s="93"/>
      <c r="C871" s="93"/>
      <c r="D871" s="106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</row>
    <row r="872" ht="25.5" customHeight="1">
      <c r="A872" s="93"/>
      <c r="B872" s="93"/>
      <c r="C872" s="93"/>
      <c r="D872" s="106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</row>
    <row r="873" ht="25.5" customHeight="1">
      <c r="A873" s="93"/>
      <c r="B873" s="93"/>
      <c r="C873" s="93"/>
      <c r="D873" s="106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</row>
    <row r="874" ht="25.5" customHeight="1">
      <c r="A874" s="93"/>
      <c r="B874" s="93"/>
      <c r="C874" s="93"/>
      <c r="D874" s="106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</row>
    <row r="875" ht="25.5" customHeight="1">
      <c r="A875" s="93"/>
      <c r="B875" s="93"/>
      <c r="C875" s="93"/>
      <c r="D875" s="106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</row>
    <row r="876" ht="25.5" customHeight="1">
      <c r="A876" s="93"/>
      <c r="B876" s="93"/>
      <c r="C876" s="93"/>
      <c r="D876" s="106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</row>
    <row r="877" ht="25.5" customHeight="1">
      <c r="A877" s="93"/>
      <c r="B877" s="93"/>
      <c r="C877" s="93"/>
      <c r="D877" s="106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</row>
    <row r="878" ht="25.5" customHeight="1">
      <c r="A878" s="93"/>
      <c r="B878" s="93"/>
      <c r="C878" s="93"/>
      <c r="D878" s="106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</row>
    <row r="879" ht="25.5" customHeight="1">
      <c r="A879" s="93"/>
      <c r="B879" s="93"/>
      <c r="C879" s="93"/>
      <c r="D879" s="106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</row>
    <row r="880" ht="25.5" customHeight="1">
      <c r="A880" s="93"/>
      <c r="B880" s="93"/>
      <c r="C880" s="93"/>
      <c r="D880" s="106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</row>
    <row r="881" ht="25.5" customHeight="1">
      <c r="A881" s="119"/>
      <c r="B881" s="119"/>
      <c r="C881" s="119"/>
      <c r="D881" s="167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</row>
    <row r="882" ht="25.5" customHeight="1">
      <c r="A882" s="119"/>
      <c r="B882" s="119"/>
      <c r="C882" s="119"/>
      <c r="D882" s="167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</row>
    <row r="883" ht="25.5" customHeight="1">
      <c r="A883" s="119"/>
      <c r="B883" s="119"/>
      <c r="C883" s="119"/>
      <c r="D883" s="167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</row>
    <row r="884" ht="25.5" customHeight="1">
      <c r="A884" s="119"/>
      <c r="B884" s="119"/>
      <c r="C884" s="119"/>
      <c r="D884" s="167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</row>
    <row r="885" ht="25.5" customHeight="1">
      <c r="A885" s="119"/>
      <c r="B885" s="119"/>
      <c r="C885" s="119"/>
      <c r="D885" s="167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</row>
    <row r="886" ht="25.5" customHeight="1">
      <c r="A886" s="119"/>
      <c r="B886" s="119"/>
      <c r="C886" s="119"/>
      <c r="D886" s="167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</row>
    <row r="887" ht="25.5" customHeight="1">
      <c r="A887" s="119"/>
      <c r="B887" s="119"/>
      <c r="C887" s="119"/>
      <c r="D887" s="167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</row>
    <row r="888" ht="25.5" customHeight="1">
      <c r="A888" s="119"/>
      <c r="B888" s="119"/>
      <c r="C888" s="119"/>
      <c r="D888" s="167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</row>
    <row r="889" ht="25.5" customHeight="1">
      <c r="A889" s="119"/>
      <c r="B889" s="119"/>
      <c r="C889" s="119"/>
      <c r="D889" s="167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</row>
    <row r="890" ht="25.5" customHeight="1">
      <c r="A890" s="119"/>
      <c r="B890" s="119"/>
      <c r="C890" s="119"/>
      <c r="D890" s="167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</row>
    <row r="891" ht="25.5" customHeight="1">
      <c r="A891" s="119"/>
      <c r="B891" s="119"/>
      <c r="C891" s="119"/>
      <c r="D891" s="167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</row>
    <row r="892" ht="25.5" customHeight="1">
      <c r="A892" s="119"/>
      <c r="B892" s="119"/>
      <c r="C892" s="119"/>
      <c r="D892" s="167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</row>
    <row r="893" ht="25.5" customHeight="1">
      <c r="A893" s="119"/>
      <c r="B893" s="119"/>
      <c r="C893" s="119"/>
      <c r="D893" s="167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</row>
    <row r="894" ht="25.5" customHeight="1">
      <c r="A894" s="119"/>
      <c r="B894" s="119"/>
      <c r="C894" s="119"/>
      <c r="D894" s="167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</row>
    <row r="895" ht="25.5" customHeight="1">
      <c r="A895" s="119"/>
      <c r="B895" s="119"/>
      <c r="C895" s="119"/>
      <c r="D895" s="167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</row>
    <row r="896" ht="25.5" customHeight="1">
      <c r="A896" s="119"/>
      <c r="B896" s="119"/>
      <c r="C896" s="119"/>
      <c r="D896" s="167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</row>
    <row r="897" ht="25.5" customHeight="1">
      <c r="A897" s="119"/>
      <c r="B897" s="119"/>
      <c r="C897" s="119"/>
      <c r="D897" s="167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</row>
    <row r="898" ht="25.5" customHeight="1">
      <c r="A898" s="119"/>
      <c r="B898" s="119"/>
      <c r="C898" s="119"/>
      <c r="D898" s="167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</row>
    <row r="899" ht="25.5" customHeight="1">
      <c r="A899" s="119"/>
      <c r="B899" s="119"/>
      <c r="C899" s="119"/>
      <c r="D899" s="167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</row>
    <row r="900" ht="25.5" customHeight="1">
      <c r="A900" s="119"/>
      <c r="B900" s="119"/>
      <c r="C900" s="119"/>
      <c r="D900" s="167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</row>
    <row r="901" ht="25.5" customHeight="1">
      <c r="A901" s="168"/>
      <c r="B901" s="168"/>
      <c r="C901" s="168"/>
      <c r="D901" s="169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</row>
    <row r="902" ht="25.5" customHeight="1">
      <c r="A902" s="168"/>
      <c r="B902" s="168"/>
      <c r="C902" s="168"/>
      <c r="D902" s="169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</row>
    <row r="903" ht="25.5" customHeight="1">
      <c r="A903" s="168"/>
      <c r="B903" s="168"/>
      <c r="C903" s="168"/>
      <c r="D903" s="169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</row>
    <row r="904" ht="25.5" customHeight="1">
      <c r="A904" s="168"/>
      <c r="B904" s="168"/>
      <c r="C904" s="168"/>
      <c r="D904" s="169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</row>
    <row r="905" ht="25.5" customHeight="1">
      <c r="A905" s="168"/>
      <c r="B905" s="168"/>
      <c r="C905" s="168"/>
      <c r="D905" s="169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</row>
    <row r="906" ht="25.5" customHeight="1">
      <c r="A906" s="168"/>
      <c r="B906" s="168"/>
      <c r="C906" s="168"/>
      <c r="D906" s="169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</row>
    <row r="907" ht="25.5" customHeight="1">
      <c r="A907" s="168"/>
      <c r="B907" s="168"/>
      <c r="C907" s="168"/>
      <c r="D907" s="169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</row>
    <row r="908" ht="25.5" customHeight="1">
      <c r="A908" s="168"/>
      <c r="B908" s="168"/>
      <c r="C908" s="168"/>
      <c r="D908" s="169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</row>
    <row r="909" ht="25.5" customHeight="1">
      <c r="A909" s="168"/>
      <c r="B909" s="168"/>
      <c r="C909" s="168"/>
      <c r="D909" s="169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</row>
    <row r="910" ht="25.5" customHeight="1">
      <c r="A910" s="168"/>
      <c r="B910" s="168"/>
      <c r="C910" s="168"/>
      <c r="D910" s="169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</row>
    <row r="911" ht="25.5" customHeight="1">
      <c r="A911" s="168"/>
      <c r="B911" s="168"/>
      <c r="C911" s="168"/>
      <c r="D911" s="169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</row>
    <row r="912" ht="25.5" customHeight="1">
      <c r="A912" s="168"/>
      <c r="B912" s="168"/>
      <c r="C912" s="168"/>
      <c r="D912" s="169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</row>
    <row r="913" ht="25.5" customHeight="1">
      <c r="A913" s="168"/>
      <c r="B913" s="168"/>
      <c r="C913" s="168"/>
      <c r="D913" s="169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</row>
    <row r="914" ht="25.5" customHeight="1">
      <c r="A914" s="168"/>
      <c r="B914" s="168"/>
      <c r="C914" s="168"/>
      <c r="D914" s="169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</row>
    <row r="915" ht="25.5" customHeight="1">
      <c r="A915" s="168"/>
      <c r="B915" s="168"/>
      <c r="C915" s="168"/>
      <c r="D915" s="169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</row>
    <row r="916" ht="25.5" customHeight="1">
      <c r="A916" s="168"/>
      <c r="B916" s="168"/>
      <c r="C916" s="168"/>
      <c r="D916" s="169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</row>
    <row r="917" ht="25.5" customHeight="1">
      <c r="A917" s="168"/>
      <c r="B917" s="168"/>
      <c r="C917" s="168"/>
      <c r="D917" s="169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</row>
    <row r="918" ht="25.5" customHeight="1">
      <c r="A918" s="168"/>
      <c r="B918" s="168"/>
      <c r="C918" s="168"/>
      <c r="D918" s="169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</row>
    <row r="919" ht="25.5" customHeight="1">
      <c r="A919" s="168"/>
      <c r="B919" s="168"/>
      <c r="C919" s="168"/>
      <c r="D919" s="169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</row>
  </sheetData>
  <autoFilter ref="$A$1:$V$8">
    <sortState ref="A1:V8">
      <sortCondition ref="B1:B8"/>
      <sortCondition ref="A1:A8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14"/>
    <col customWidth="1" min="2" max="2" width="9.71"/>
    <col customWidth="1" min="3" max="3" width="13.14"/>
    <col customWidth="1" min="4" max="4" width="15.14"/>
    <col customWidth="1" min="5" max="5" width="14.57"/>
    <col customWidth="1" min="6" max="6" width="12.29"/>
    <col customWidth="1" min="7" max="7" width="11.0"/>
    <col customWidth="1" min="8" max="8" width="37.57"/>
    <col customWidth="1" min="9" max="9" width="31.86"/>
    <col customWidth="1" min="10" max="10" width="12.29"/>
    <col customWidth="1" min="11" max="22" width="37.29"/>
  </cols>
  <sheetData>
    <row r="1" ht="24.75" customHeight="1">
      <c r="A1" s="1" t="s">
        <v>0</v>
      </c>
      <c r="B1" s="1" t="s">
        <v>1</v>
      </c>
      <c r="C1" s="1" t="s">
        <v>2</v>
      </c>
      <c r="D1" s="110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ht="24.75" customHeight="1">
      <c r="A2" s="27" t="s">
        <v>24</v>
      </c>
      <c r="B2" s="27">
        <v>1024.0</v>
      </c>
      <c r="C2" s="28" t="s">
        <v>264</v>
      </c>
      <c r="D2" s="27">
        <v>2.0</v>
      </c>
      <c r="E2" s="27"/>
      <c r="F2" s="116" t="s">
        <v>265</v>
      </c>
      <c r="G2" s="27">
        <v>6.0</v>
      </c>
      <c r="H2" s="122"/>
      <c r="I2" s="122"/>
      <c r="J2" s="13" t="b">
        <v>1</v>
      </c>
      <c r="K2" s="13" t="s">
        <v>266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4.75" customHeight="1">
      <c r="A3" s="27" t="s">
        <v>24</v>
      </c>
      <c r="B3" s="27">
        <v>1025.0</v>
      </c>
      <c r="C3" s="28" t="s">
        <v>267</v>
      </c>
      <c r="D3" s="27">
        <v>2.0</v>
      </c>
      <c r="E3" s="27"/>
      <c r="F3" s="116" t="s">
        <v>265</v>
      </c>
      <c r="G3" s="27">
        <v>4.0</v>
      </c>
      <c r="H3" s="122"/>
      <c r="I3" s="122"/>
      <c r="J3" s="13" t="b">
        <v>1</v>
      </c>
      <c r="K3" s="13" t="s">
        <v>266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4.75" customHeight="1">
      <c r="A4" s="27" t="s">
        <v>24</v>
      </c>
      <c r="B4" s="27">
        <v>1026.0</v>
      </c>
      <c r="C4" s="28" t="s">
        <v>268</v>
      </c>
      <c r="D4" s="27">
        <v>2.0</v>
      </c>
      <c r="E4" s="27"/>
      <c r="F4" s="116" t="s">
        <v>265</v>
      </c>
      <c r="G4" s="27">
        <v>2.0</v>
      </c>
      <c r="H4" s="28" t="s">
        <v>160</v>
      </c>
      <c r="I4" s="122"/>
      <c r="J4" s="13" t="b">
        <v>1</v>
      </c>
      <c r="K4" s="13" t="s">
        <v>266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4.75" customHeight="1">
      <c r="A5" s="113" t="s">
        <v>156</v>
      </c>
      <c r="B5" s="113">
        <v>2024.0</v>
      </c>
      <c r="C5" s="126" t="s">
        <v>264</v>
      </c>
      <c r="D5" s="113">
        <v>2.0</v>
      </c>
      <c r="E5" s="113"/>
      <c r="F5" s="114" t="s">
        <v>265</v>
      </c>
      <c r="G5" s="113">
        <v>6.0</v>
      </c>
      <c r="H5" s="128"/>
      <c r="I5" s="128"/>
      <c r="J5" s="13" t="b">
        <v>1</v>
      </c>
      <c r="K5" s="13" t="s">
        <v>266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4.75" customHeight="1">
      <c r="A6" s="113" t="s">
        <v>156</v>
      </c>
      <c r="B6" s="113">
        <v>2025.0</v>
      </c>
      <c r="C6" s="126" t="s">
        <v>267</v>
      </c>
      <c r="D6" s="113">
        <v>2.0</v>
      </c>
      <c r="E6" s="113"/>
      <c r="F6" s="114" t="s">
        <v>265</v>
      </c>
      <c r="G6" s="113">
        <v>4.0</v>
      </c>
      <c r="H6" s="128"/>
      <c r="I6" s="128"/>
      <c r="J6" s="13" t="b">
        <v>1</v>
      </c>
      <c r="K6" s="13" t="s">
        <v>266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4.75" customHeight="1">
      <c r="A7" s="113" t="s">
        <v>156</v>
      </c>
      <c r="B7" s="113">
        <v>2026.0</v>
      </c>
      <c r="C7" s="126" t="s">
        <v>268</v>
      </c>
      <c r="D7" s="113">
        <v>2.0</v>
      </c>
      <c r="E7" s="113"/>
      <c r="F7" s="114" t="s">
        <v>265</v>
      </c>
      <c r="G7" s="113">
        <v>2.0</v>
      </c>
      <c r="H7" s="128"/>
      <c r="I7" s="128"/>
      <c r="J7" s="13" t="b">
        <v>1</v>
      </c>
      <c r="K7" s="13" t="s">
        <v>266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4.75" customHeight="1">
      <c r="A8" s="129" t="s">
        <v>269</v>
      </c>
      <c r="B8" s="130" t="s">
        <v>270</v>
      </c>
      <c r="C8" s="129" t="s">
        <v>265</v>
      </c>
      <c r="D8" s="130">
        <v>4.0</v>
      </c>
      <c r="E8" s="130"/>
      <c r="F8" s="131" t="s">
        <v>265</v>
      </c>
      <c r="G8" s="130" t="s">
        <v>271</v>
      </c>
      <c r="H8" s="129" t="s">
        <v>272</v>
      </c>
      <c r="I8" s="132"/>
      <c r="J8" s="13" t="b">
        <v>1</v>
      </c>
      <c r="K8" s="13" t="s">
        <v>266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24.75" customHeight="1">
      <c r="A9" s="50"/>
      <c r="B9" s="93"/>
      <c r="C9" s="93"/>
      <c r="D9" s="93">
        <f>SUM(D2:D8)</f>
        <v>16</v>
      </c>
      <c r="E9" s="93"/>
      <c r="F9" s="93"/>
      <c r="G9" s="93"/>
      <c r="H9" s="118"/>
      <c r="I9" s="9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 ht="24.75" customHeight="1">
      <c r="A10" s="50"/>
      <c r="B10" s="93"/>
      <c r="C10" s="93"/>
      <c r="D10" s="93"/>
      <c r="E10" s="93"/>
      <c r="F10" s="93"/>
      <c r="G10" s="93"/>
      <c r="H10" s="118"/>
      <c r="I10" s="9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ht="24.75" customHeight="1">
      <c r="A11" s="50"/>
      <c r="B11" s="93"/>
      <c r="C11" s="93"/>
      <c r="D11" s="93"/>
      <c r="E11" s="93"/>
      <c r="F11" s="93"/>
      <c r="G11" s="93"/>
      <c r="H11" s="118"/>
      <c r="I11" s="93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 ht="24.75" customHeight="1">
      <c r="A12" s="50"/>
      <c r="B12" s="93"/>
      <c r="C12" s="93"/>
      <c r="D12" s="93"/>
      <c r="E12" s="93"/>
      <c r="F12" s="93"/>
      <c r="G12" s="93"/>
      <c r="H12" s="118"/>
      <c r="I12" s="9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ht="24.75" customHeight="1">
      <c r="A13" s="50"/>
      <c r="B13" s="93"/>
      <c r="C13" s="93"/>
      <c r="D13" s="93"/>
      <c r="E13" s="93"/>
      <c r="F13" s="93"/>
      <c r="G13" s="93"/>
      <c r="H13" s="118"/>
      <c r="I13" s="93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ht="24.75" customHeight="1">
      <c r="A14" s="50"/>
      <c r="B14" s="93"/>
      <c r="C14" s="93"/>
      <c r="D14" s="93"/>
      <c r="E14" s="93"/>
      <c r="F14" s="93"/>
      <c r="G14" s="93"/>
      <c r="H14" s="118"/>
      <c r="I14" s="9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 ht="24.75" customHeight="1">
      <c r="A15" s="50"/>
      <c r="B15" s="93"/>
      <c r="C15" s="93"/>
      <c r="D15" s="93"/>
      <c r="E15" s="93"/>
      <c r="F15" s="93"/>
      <c r="G15" s="93"/>
      <c r="H15" s="118"/>
      <c r="I15" s="93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</row>
    <row r="16" ht="24.75" customHeight="1">
      <c r="A16" s="50"/>
      <c r="B16" s="93"/>
      <c r="C16" s="93"/>
      <c r="D16" s="93"/>
      <c r="E16" s="93"/>
      <c r="F16" s="93"/>
      <c r="G16" s="93"/>
      <c r="H16" s="118"/>
      <c r="I16" s="9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</row>
    <row r="17" ht="24.75" customHeight="1">
      <c r="A17" s="50"/>
      <c r="B17" s="93"/>
      <c r="C17" s="93"/>
      <c r="D17" s="93"/>
      <c r="E17" s="93"/>
      <c r="F17" s="93"/>
      <c r="G17" s="93"/>
      <c r="H17" s="118"/>
      <c r="I17" s="9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 ht="24.75" customHeight="1">
      <c r="A18" s="50"/>
      <c r="B18" s="93"/>
      <c r="C18" s="93"/>
      <c r="D18" s="93"/>
      <c r="E18" s="93"/>
      <c r="F18" s="93"/>
      <c r="G18" s="93"/>
      <c r="H18" s="118"/>
      <c r="I18" s="9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 ht="24.75" customHeight="1">
      <c r="A19" s="50"/>
      <c r="B19" s="93"/>
      <c r="C19" s="93"/>
      <c r="D19" s="93"/>
      <c r="E19" s="93"/>
      <c r="F19" s="93"/>
      <c r="G19" s="93"/>
      <c r="H19" s="118"/>
      <c r="I19" s="9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</row>
    <row r="20" ht="24.75" customHeight="1">
      <c r="A20" s="50"/>
      <c r="B20" s="93"/>
      <c r="C20" s="93"/>
      <c r="D20" s="93"/>
      <c r="E20" s="93"/>
      <c r="F20" s="93"/>
      <c r="G20" s="93"/>
      <c r="H20" s="118"/>
      <c r="I20" s="9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ht="24.75" customHeight="1">
      <c r="A21" s="50"/>
      <c r="B21" s="93"/>
      <c r="C21" s="93"/>
      <c r="D21" s="93"/>
      <c r="E21" s="93"/>
      <c r="F21" s="93"/>
      <c r="G21" s="93"/>
      <c r="H21" s="118"/>
      <c r="I21" s="9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 ht="24.75" customHeight="1">
      <c r="A22" s="50"/>
      <c r="B22" s="93"/>
      <c r="C22" s="93"/>
      <c r="D22" s="93"/>
      <c r="E22" s="93"/>
      <c r="F22" s="93"/>
      <c r="G22" s="93"/>
      <c r="H22" s="118"/>
      <c r="I22" s="9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</row>
    <row r="23" ht="24.75" customHeight="1">
      <c r="A23" s="50"/>
      <c r="B23" s="93"/>
      <c r="C23" s="93"/>
      <c r="D23" s="93"/>
      <c r="E23" s="93"/>
      <c r="F23" s="93"/>
      <c r="G23" s="93"/>
      <c r="H23" s="118"/>
      <c r="I23" s="9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 ht="24.75" customHeight="1">
      <c r="A24" s="50"/>
      <c r="B24" s="93"/>
      <c r="C24" s="93"/>
      <c r="D24" s="93"/>
      <c r="E24" s="93"/>
      <c r="F24" s="93"/>
      <c r="G24" s="93"/>
      <c r="H24" s="118"/>
      <c r="I24" s="9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5" ht="24.75" customHeight="1">
      <c r="A25" s="50"/>
      <c r="B25" s="93"/>
      <c r="C25" s="93"/>
      <c r="D25" s="93"/>
      <c r="E25" s="93"/>
      <c r="F25" s="93"/>
      <c r="G25" s="93"/>
      <c r="H25" s="118"/>
      <c r="I25" s="9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ht="24.75" customHeight="1">
      <c r="A26" s="50"/>
      <c r="B26" s="93"/>
      <c r="C26" s="93"/>
      <c r="D26" s="93"/>
      <c r="E26" s="93"/>
      <c r="F26" s="93"/>
      <c r="G26" s="93"/>
      <c r="H26" s="118"/>
      <c r="I26" s="9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 ht="24.75" customHeight="1">
      <c r="A27" s="50"/>
      <c r="B27" s="93"/>
      <c r="C27" s="93"/>
      <c r="D27" s="93"/>
      <c r="E27" s="93"/>
      <c r="F27" s="93"/>
      <c r="G27" s="93"/>
      <c r="H27" s="118"/>
      <c r="I27" s="9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ht="24.75" customHeight="1">
      <c r="A28" s="50"/>
      <c r="B28" s="93"/>
      <c r="C28" s="93"/>
      <c r="D28" s="93"/>
      <c r="E28" s="93"/>
      <c r="F28" s="93"/>
      <c r="G28" s="93"/>
      <c r="H28" s="118"/>
      <c r="I28" s="9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ht="24.75" customHeight="1">
      <c r="A29" s="50"/>
      <c r="B29" s="93"/>
      <c r="C29" s="93"/>
      <c r="D29" s="93"/>
      <c r="E29" s="93"/>
      <c r="F29" s="93"/>
      <c r="G29" s="93"/>
      <c r="H29" s="118"/>
      <c r="I29" s="9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ht="24.75" customHeight="1">
      <c r="A30" s="50"/>
      <c r="B30" s="93"/>
      <c r="C30" s="93"/>
      <c r="D30" s="93"/>
      <c r="E30" s="93"/>
      <c r="F30" s="93"/>
      <c r="G30" s="93"/>
      <c r="H30" s="118"/>
      <c r="I30" s="9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 ht="24.75" customHeight="1">
      <c r="A31" s="50"/>
      <c r="B31" s="93"/>
      <c r="C31" s="93"/>
      <c r="D31" s="93"/>
      <c r="E31" s="93"/>
      <c r="F31" s="93"/>
      <c r="G31" s="93"/>
      <c r="H31" s="118"/>
      <c r="I31" s="9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ht="24.75" customHeight="1">
      <c r="A32" s="50"/>
      <c r="B32" s="93"/>
      <c r="C32" s="93"/>
      <c r="D32" s="93"/>
      <c r="E32" s="93"/>
      <c r="F32" s="93"/>
      <c r="G32" s="93"/>
      <c r="H32" s="118"/>
      <c r="I32" s="9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ht="24.75" customHeight="1">
      <c r="A33" s="50"/>
      <c r="B33" s="93"/>
      <c r="C33" s="93"/>
      <c r="D33" s="93"/>
      <c r="E33" s="93"/>
      <c r="F33" s="93"/>
      <c r="G33" s="93"/>
      <c r="H33" s="118"/>
      <c r="I33" s="9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ht="24.75" customHeight="1">
      <c r="A34" s="50"/>
      <c r="B34" s="93"/>
      <c r="C34" s="93"/>
      <c r="D34" s="93"/>
      <c r="E34" s="93"/>
      <c r="F34" s="93"/>
      <c r="G34" s="93"/>
      <c r="H34" s="118"/>
      <c r="I34" s="9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ht="24.75" customHeight="1">
      <c r="A35" s="50"/>
      <c r="B35" s="93"/>
      <c r="C35" s="93"/>
      <c r="D35" s="93"/>
      <c r="E35" s="93"/>
      <c r="F35" s="93"/>
      <c r="G35" s="93"/>
      <c r="H35" s="118"/>
      <c r="I35" s="9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ht="24.75" customHeight="1">
      <c r="A36" s="50"/>
      <c r="B36" s="93"/>
      <c r="C36" s="93"/>
      <c r="D36" s="93"/>
      <c r="E36" s="93"/>
      <c r="F36" s="93"/>
      <c r="G36" s="93"/>
      <c r="H36" s="118"/>
      <c r="I36" s="9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ht="24.75" customHeight="1">
      <c r="A37" s="50"/>
      <c r="B37" s="93"/>
      <c r="C37" s="93"/>
      <c r="D37" s="93"/>
      <c r="E37" s="93"/>
      <c r="F37" s="93"/>
      <c r="G37" s="93"/>
      <c r="H37" s="118"/>
      <c r="I37" s="9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 ht="24.75" customHeight="1">
      <c r="A38" s="50"/>
      <c r="B38" s="93"/>
      <c r="C38" s="93"/>
      <c r="D38" s="93"/>
      <c r="E38" s="93"/>
      <c r="F38" s="93"/>
      <c r="G38" s="93"/>
      <c r="H38" s="118"/>
      <c r="I38" s="9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 ht="24.75" customHeight="1">
      <c r="A39" s="50"/>
      <c r="B39" s="93"/>
      <c r="C39" s="93"/>
      <c r="D39" s="93"/>
      <c r="E39" s="93"/>
      <c r="F39" s="93"/>
      <c r="G39" s="93"/>
      <c r="H39" s="118"/>
      <c r="I39" s="9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</row>
    <row r="40" ht="24.75" customHeight="1">
      <c r="A40" s="50"/>
      <c r="B40" s="93"/>
      <c r="C40" s="93"/>
      <c r="D40" s="93"/>
      <c r="E40" s="93"/>
      <c r="F40" s="93"/>
      <c r="G40" s="93"/>
      <c r="H40" s="118"/>
      <c r="I40" s="9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</row>
    <row r="41" ht="24.75" customHeight="1">
      <c r="A41" s="50"/>
      <c r="B41" s="93"/>
      <c r="C41" s="93"/>
      <c r="D41" s="93"/>
      <c r="E41" s="93"/>
      <c r="F41" s="93"/>
      <c r="G41" s="93"/>
      <c r="H41" s="118"/>
      <c r="I41" s="9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</row>
    <row r="42" ht="24.75" customHeight="1">
      <c r="A42" s="50"/>
      <c r="B42" s="93"/>
      <c r="C42" s="93"/>
      <c r="D42" s="93"/>
      <c r="E42" s="93"/>
      <c r="F42" s="93"/>
      <c r="G42" s="93"/>
      <c r="H42" s="118"/>
      <c r="I42" s="9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</row>
    <row r="43" ht="24.75" customHeight="1">
      <c r="A43" s="50"/>
      <c r="B43" s="93"/>
      <c r="C43" s="93"/>
      <c r="D43" s="93"/>
      <c r="E43" s="93"/>
      <c r="F43" s="93"/>
      <c r="G43" s="93"/>
      <c r="H43" s="118"/>
      <c r="I43" s="9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 ht="24.75" customHeight="1">
      <c r="A44" s="50"/>
      <c r="B44" s="93"/>
      <c r="C44" s="93"/>
      <c r="D44" s="93"/>
      <c r="E44" s="93"/>
      <c r="F44" s="93"/>
      <c r="G44" s="93"/>
      <c r="H44" s="118"/>
      <c r="I44" s="9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</row>
    <row r="45" ht="24.75" customHeight="1">
      <c r="A45" s="50"/>
      <c r="B45" s="93"/>
      <c r="C45" s="93"/>
      <c r="D45" s="93"/>
      <c r="E45" s="93"/>
      <c r="F45" s="93"/>
      <c r="G45" s="93"/>
      <c r="H45" s="118"/>
      <c r="I45" s="9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 ht="24.75" customHeight="1">
      <c r="A46" s="50"/>
      <c r="B46" s="93"/>
      <c r="C46" s="93"/>
      <c r="D46" s="93"/>
      <c r="E46" s="93"/>
      <c r="F46" s="93"/>
      <c r="G46" s="93"/>
      <c r="H46" s="118"/>
      <c r="I46" s="9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</row>
    <row r="47" ht="24.75" customHeight="1">
      <c r="A47" s="50"/>
      <c r="B47" s="93"/>
      <c r="C47" s="93"/>
      <c r="D47" s="93"/>
      <c r="E47" s="93"/>
      <c r="F47" s="93"/>
      <c r="G47" s="93"/>
      <c r="H47" s="118"/>
      <c r="I47" s="9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ht="24.75" customHeight="1">
      <c r="A48" s="50"/>
      <c r="B48" s="93"/>
      <c r="C48" s="93"/>
      <c r="D48" s="93"/>
      <c r="E48" s="93"/>
      <c r="F48" s="93"/>
      <c r="G48" s="93"/>
      <c r="H48" s="118"/>
      <c r="I48" s="93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 ht="24.75" customHeight="1">
      <c r="A49" s="50"/>
      <c r="B49" s="93"/>
      <c r="C49" s="93"/>
      <c r="D49" s="93"/>
      <c r="E49" s="93"/>
      <c r="F49" s="93"/>
      <c r="G49" s="93"/>
      <c r="H49" s="118"/>
      <c r="I49" s="93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 ht="24.75" customHeight="1">
      <c r="A50" s="50"/>
      <c r="B50" s="93"/>
      <c r="C50" s="93"/>
      <c r="D50" s="93"/>
      <c r="E50" s="93"/>
      <c r="F50" s="93"/>
      <c r="G50" s="93"/>
      <c r="H50" s="118"/>
      <c r="I50" s="93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 ht="24.75" customHeight="1">
      <c r="A51" s="50"/>
      <c r="B51" s="93"/>
      <c r="C51" s="93"/>
      <c r="D51" s="93"/>
      <c r="E51" s="93"/>
      <c r="F51" s="93"/>
      <c r="G51" s="93"/>
      <c r="H51" s="118"/>
      <c r="I51" s="9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 ht="24.75" customHeight="1">
      <c r="A52" s="50"/>
      <c r="B52" s="93"/>
      <c r="C52" s="93"/>
      <c r="D52" s="93"/>
      <c r="E52" s="93"/>
      <c r="F52" s="93"/>
      <c r="G52" s="93"/>
      <c r="H52" s="118"/>
      <c r="I52" s="9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 ht="24.75" customHeight="1">
      <c r="A53" s="50"/>
      <c r="B53" s="93"/>
      <c r="C53" s="93"/>
      <c r="D53" s="93"/>
      <c r="E53" s="93"/>
      <c r="F53" s="93"/>
      <c r="G53" s="93"/>
      <c r="H53" s="118"/>
      <c r="I53" s="9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24.75" customHeight="1">
      <c r="A54" s="50"/>
      <c r="B54" s="93"/>
      <c r="C54" s="93"/>
      <c r="D54" s="93"/>
      <c r="E54" s="93"/>
      <c r="F54" s="93"/>
      <c r="G54" s="93"/>
      <c r="H54" s="118"/>
      <c r="I54" s="93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24.75" customHeight="1">
      <c r="A55" s="50"/>
      <c r="B55" s="93"/>
      <c r="C55" s="93"/>
      <c r="D55" s="93"/>
      <c r="E55" s="93"/>
      <c r="F55" s="93"/>
      <c r="G55" s="93"/>
      <c r="H55" s="118"/>
      <c r="I55" s="93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24.75" customHeight="1">
      <c r="A56" s="50"/>
      <c r="B56" s="93"/>
      <c r="C56" s="93"/>
      <c r="D56" s="93"/>
      <c r="E56" s="93"/>
      <c r="F56" s="93"/>
      <c r="G56" s="93"/>
      <c r="H56" s="118"/>
      <c r="I56" s="93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24.75" customHeight="1">
      <c r="A57" s="50"/>
      <c r="B57" s="93"/>
      <c r="C57" s="93"/>
      <c r="D57" s="93"/>
      <c r="E57" s="93"/>
      <c r="F57" s="93"/>
      <c r="G57" s="93"/>
      <c r="H57" s="118"/>
      <c r="I57" s="93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24.75" customHeight="1">
      <c r="A58" s="50"/>
      <c r="B58" s="93"/>
      <c r="C58" s="93"/>
      <c r="D58" s="93"/>
      <c r="E58" s="93"/>
      <c r="F58" s="93"/>
      <c r="G58" s="93"/>
      <c r="H58" s="118"/>
      <c r="I58" s="9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24.75" customHeight="1">
      <c r="A59" s="50"/>
      <c r="B59" s="93"/>
      <c r="C59" s="93"/>
      <c r="D59" s="93"/>
      <c r="E59" s="93"/>
      <c r="F59" s="93"/>
      <c r="G59" s="93"/>
      <c r="H59" s="118"/>
      <c r="I59" s="9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24.75" customHeight="1">
      <c r="A60" s="50"/>
      <c r="B60" s="93"/>
      <c r="C60" s="93"/>
      <c r="D60" s="93"/>
      <c r="E60" s="93"/>
      <c r="F60" s="93"/>
      <c r="G60" s="93"/>
      <c r="H60" s="118"/>
      <c r="I60" s="93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24.75" customHeight="1">
      <c r="A61" s="50"/>
      <c r="B61" s="93"/>
      <c r="C61" s="93"/>
      <c r="D61" s="93"/>
      <c r="E61" s="93"/>
      <c r="F61" s="93"/>
      <c r="G61" s="93"/>
      <c r="H61" s="118"/>
      <c r="I61" s="93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24.75" customHeight="1">
      <c r="A62" s="50"/>
      <c r="B62" s="93"/>
      <c r="C62" s="93"/>
      <c r="D62" s="93"/>
      <c r="E62" s="93"/>
      <c r="F62" s="93"/>
      <c r="G62" s="93"/>
      <c r="H62" s="118"/>
      <c r="I62" s="93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24.75" customHeight="1">
      <c r="A63" s="50"/>
      <c r="B63" s="93"/>
      <c r="C63" s="93"/>
      <c r="D63" s="93"/>
      <c r="E63" s="93"/>
      <c r="F63" s="93"/>
      <c r="G63" s="93"/>
      <c r="H63" s="118"/>
      <c r="I63" s="93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24.75" customHeight="1">
      <c r="A64" s="50"/>
      <c r="B64" s="93"/>
      <c r="C64" s="93"/>
      <c r="D64" s="93"/>
      <c r="E64" s="93"/>
      <c r="F64" s="93"/>
      <c r="G64" s="93"/>
      <c r="H64" s="118"/>
      <c r="I64" s="9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24.75" customHeight="1">
      <c r="A65" s="50"/>
      <c r="B65" s="93"/>
      <c r="C65" s="93"/>
      <c r="D65" s="93"/>
      <c r="E65" s="93"/>
      <c r="F65" s="93"/>
      <c r="G65" s="93"/>
      <c r="H65" s="118"/>
      <c r="I65" s="9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24.75" customHeight="1">
      <c r="A66" s="50"/>
      <c r="B66" s="93"/>
      <c r="C66" s="93"/>
      <c r="D66" s="93"/>
      <c r="E66" s="93"/>
      <c r="F66" s="93"/>
      <c r="G66" s="93"/>
      <c r="H66" s="118"/>
      <c r="I66" s="93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24.75" customHeight="1">
      <c r="A67" s="50"/>
      <c r="B67" s="93"/>
      <c r="C67" s="93"/>
      <c r="D67" s="93"/>
      <c r="E67" s="93"/>
      <c r="F67" s="93"/>
      <c r="G67" s="93"/>
      <c r="H67" s="118"/>
      <c r="I67" s="93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24.75" customHeight="1">
      <c r="A68" s="50"/>
      <c r="B68" s="93"/>
      <c r="C68" s="93"/>
      <c r="D68" s="93"/>
      <c r="E68" s="93"/>
      <c r="F68" s="93"/>
      <c r="G68" s="93"/>
      <c r="H68" s="118"/>
      <c r="I68" s="93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24.75" customHeight="1">
      <c r="A69" s="50"/>
      <c r="B69" s="93"/>
      <c r="C69" s="93"/>
      <c r="D69" s="93"/>
      <c r="E69" s="93"/>
      <c r="F69" s="93"/>
      <c r="G69" s="93"/>
      <c r="H69" s="118"/>
      <c r="I69" s="93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24.75" customHeight="1">
      <c r="A70" s="50"/>
      <c r="B70" s="93"/>
      <c r="C70" s="93"/>
      <c r="D70" s="93"/>
      <c r="E70" s="93"/>
      <c r="F70" s="93"/>
      <c r="G70" s="93"/>
      <c r="H70" s="118"/>
      <c r="I70" s="9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24.75" customHeight="1">
      <c r="A71" s="50"/>
      <c r="B71" s="93"/>
      <c r="C71" s="93"/>
      <c r="D71" s="93"/>
      <c r="E71" s="93"/>
      <c r="F71" s="93"/>
      <c r="G71" s="93"/>
      <c r="H71" s="118"/>
      <c r="I71" s="9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24.75" customHeight="1">
      <c r="A72" s="50"/>
      <c r="B72" s="93"/>
      <c r="C72" s="93"/>
      <c r="D72" s="93"/>
      <c r="E72" s="93"/>
      <c r="F72" s="93"/>
      <c r="G72" s="93"/>
      <c r="H72" s="118"/>
      <c r="I72" s="93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24.75" customHeight="1">
      <c r="A73" s="50"/>
      <c r="B73" s="93"/>
      <c r="C73" s="93"/>
      <c r="D73" s="93"/>
      <c r="E73" s="93"/>
      <c r="F73" s="93"/>
      <c r="G73" s="93"/>
      <c r="H73" s="118"/>
      <c r="I73" s="93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24.75" customHeight="1">
      <c r="A74" s="50"/>
      <c r="B74" s="93"/>
      <c r="C74" s="93"/>
      <c r="D74" s="93"/>
      <c r="E74" s="93"/>
      <c r="F74" s="93"/>
      <c r="G74" s="93"/>
      <c r="H74" s="118"/>
      <c r="I74" s="93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24.75" customHeight="1">
      <c r="A75" s="50"/>
      <c r="B75" s="93"/>
      <c r="C75" s="93"/>
      <c r="D75" s="93"/>
      <c r="E75" s="93"/>
      <c r="F75" s="93"/>
      <c r="G75" s="93"/>
      <c r="H75" s="118"/>
      <c r="I75" s="93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24.75" customHeight="1">
      <c r="A76" s="50"/>
      <c r="B76" s="93"/>
      <c r="C76" s="93"/>
      <c r="D76" s="93"/>
      <c r="E76" s="93"/>
      <c r="F76" s="93"/>
      <c r="G76" s="93"/>
      <c r="H76" s="118"/>
      <c r="I76" s="9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24.75" customHeight="1">
      <c r="A77" s="50"/>
      <c r="B77" s="93"/>
      <c r="C77" s="93"/>
      <c r="D77" s="93"/>
      <c r="E77" s="93"/>
      <c r="F77" s="93"/>
      <c r="G77" s="93"/>
      <c r="H77" s="118"/>
      <c r="I77" s="9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24.75" customHeight="1">
      <c r="A78" s="50"/>
      <c r="B78" s="93"/>
      <c r="C78" s="93"/>
      <c r="D78" s="93"/>
      <c r="E78" s="93"/>
      <c r="F78" s="93"/>
      <c r="G78" s="93"/>
      <c r="H78" s="118"/>
      <c r="I78" s="93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24.75" customHeight="1">
      <c r="A79" s="50"/>
      <c r="B79" s="93"/>
      <c r="C79" s="93"/>
      <c r="D79" s="93"/>
      <c r="E79" s="93"/>
      <c r="F79" s="93"/>
      <c r="G79" s="93"/>
      <c r="H79" s="118"/>
      <c r="I79" s="93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24.75" customHeight="1">
      <c r="A80" s="50"/>
      <c r="B80" s="93"/>
      <c r="C80" s="93"/>
      <c r="D80" s="93"/>
      <c r="E80" s="93"/>
      <c r="F80" s="93"/>
      <c r="G80" s="93"/>
      <c r="H80" s="118"/>
      <c r="I80" s="93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24.75" customHeight="1">
      <c r="A81" s="50"/>
      <c r="B81" s="93"/>
      <c r="C81" s="93"/>
      <c r="D81" s="93"/>
      <c r="E81" s="93"/>
      <c r="F81" s="93"/>
      <c r="G81" s="93"/>
      <c r="H81" s="118"/>
      <c r="I81" s="93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24.75" customHeight="1">
      <c r="A82" s="50"/>
      <c r="B82" s="93"/>
      <c r="C82" s="93"/>
      <c r="D82" s="93"/>
      <c r="E82" s="93"/>
      <c r="F82" s="93"/>
      <c r="G82" s="93"/>
      <c r="H82" s="118"/>
      <c r="I82" s="9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24.75" customHeight="1">
      <c r="A83" s="50"/>
      <c r="B83" s="93"/>
      <c r="C83" s="93"/>
      <c r="D83" s="93"/>
      <c r="E83" s="93"/>
      <c r="F83" s="93"/>
      <c r="G83" s="93"/>
      <c r="H83" s="118"/>
      <c r="I83" s="9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24.75" customHeight="1">
      <c r="A84" s="50"/>
      <c r="B84" s="93"/>
      <c r="C84" s="93"/>
      <c r="D84" s="93"/>
      <c r="E84" s="93"/>
      <c r="F84" s="93"/>
      <c r="G84" s="93"/>
      <c r="H84" s="118"/>
      <c r="I84" s="93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24.75" customHeight="1">
      <c r="A85" s="50"/>
      <c r="B85" s="93"/>
      <c r="C85" s="93"/>
      <c r="D85" s="93"/>
      <c r="E85" s="93"/>
      <c r="F85" s="93"/>
      <c r="G85" s="93"/>
      <c r="H85" s="118"/>
      <c r="I85" s="93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24.75" customHeight="1">
      <c r="A86" s="50"/>
      <c r="B86" s="93"/>
      <c r="C86" s="93"/>
      <c r="D86" s="93"/>
      <c r="E86" s="93"/>
      <c r="F86" s="93"/>
      <c r="G86" s="93"/>
      <c r="H86" s="118"/>
      <c r="I86" s="93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24.75" customHeight="1">
      <c r="A87" s="50"/>
      <c r="B87" s="93"/>
      <c r="C87" s="93"/>
      <c r="D87" s="93"/>
      <c r="E87" s="93"/>
      <c r="F87" s="93"/>
      <c r="G87" s="93"/>
      <c r="H87" s="118"/>
      <c r="I87" s="93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24.75" customHeight="1">
      <c r="A88" s="50"/>
      <c r="B88" s="93"/>
      <c r="C88" s="93"/>
      <c r="D88" s="93"/>
      <c r="E88" s="93"/>
      <c r="F88" s="93"/>
      <c r="G88" s="93"/>
      <c r="H88" s="118"/>
      <c r="I88" s="93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24.75" customHeight="1">
      <c r="A89" s="50"/>
      <c r="B89" s="93"/>
      <c r="C89" s="93"/>
      <c r="D89" s="93"/>
      <c r="E89" s="93"/>
      <c r="F89" s="93"/>
      <c r="G89" s="93"/>
      <c r="H89" s="118"/>
      <c r="I89" s="93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24.75" customHeight="1">
      <c r="A90" s="50"/>
      <c r="B90" s="93"/>
      <c r="C90" s="93"/>
      <c r="D90" s="93"/>
      <c r="E90" s="93"/>
      <c r="F90" s="93"/>
      <c r="G90" s="93"/>
      <c r="H90" s="118"/>
      <c r="I90" s="93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24.75" customHeight="1">
      <c r="A91" s="50"/>
      <c r="B91" s="93"/>
      <c r="C91" s="93"/>
      <c r="D91" s="93"/>
      <c r="E91" s="93"/>
      <c r="F91" s="93"/>
      <c r="G91" s="93"/>
      <c r="H91" s="118"/>
      <c r="I91" s="93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24.75" customHeight="1">
      <c r="A92" s="50"/>
      <c r="B92" s="93"/>
      <c r="C92" s="93"/>
      <c r="D92" s="93"/>
      <c r="E92" s="93"/>
      <c r="F92" s="93"/>
      <c r="G92" s="93"/>
      <c r="H92" s="118"/>
      <c r="I92" s="93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24.75" customHeight="1">
      <c r="A93" s="50"/>
      <c r="B93" s="93"/>
      <c r="C93" s="93"/>
      <c r="D93" s="93"/>
      <c r="E93" s="93"/>
      <c r="F93" s="93"/>
      <c r="G93" s="93"/>
      <c r="H93" s="118"/>
      <c r="I93" s="93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24.75" customHeight="1">
      <c r="A94" s="50"/>
      <c r="B94" s="93"/>
      <c r="C94" s="93"/>
      <c r="D94" s="93"/>
      <c r="E94" s="93"/>
      <c r="F94" s="93"/>
      <c r="G94" s="93"/>
      <c r="H94" s="118"/>
      <c r="I94" s="93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24.75" customHeight="1">
      <c r="A95" s="50"/>
      <c r="B95" s="93"/>
      <c r="C95" s="93"/>
      <c r="D95" s="93"/>
      <c r="E95" s="93"/>
      <c r="F95" s="93"/>
      <c r="G95" s="93"/>
      <c r="H95" s="118"/>
      <c r="I95" s="93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24.75" customHeight="1">
      <c r="A96" s="50"/>
      <c r="B96" s="93"/>
      <c r="C96" s="93"/>
      <c r="D96" s="93"/>
      <c r="E96" s="93"/>
      <c r="F96" s="93"/>
      <c r="G96" s="93"/>
      <c r="H96" s="118"/>
      <c r="I96" s="93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24.75" customHeight="1">
      <c r="A97" s="50"/>
      <c r="B97" s="93"/>
      <c r="C97" s="93"/>
      <c r="D97" s="93"/>
      <c r="E97" s="93"/>
      <c r="F97" s="93"/>
      <c r="G97" s="93"/>
      <c r="H97" s="118"/>
      <c r="I97" s="93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24.75" customHeight="1">
      <c r="A98" s="50"/>
      <c r="B98" s="93"/>
      <c r="C98" s="93"/>
      <c r="D98" s="93"/>
      <c r="E98" s="93"/>
      <c r="F98" s="93"/>
      <c r="G98" s="93"/>
      <c r="H98" s="118"/>
      <c r="I98" s="93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24.75" customHeight="1">
      <c r="A99" s="50"/>
      <c r="B99" s="93"/>
      <c r="C99" s="93"/>
      <c r="D99" s="93"/>
      <c r="E99" s="93"/>
      <c r="F99" s="93"/>
      <c r="G99" s="93"/>
      <c r="H99" s="118"/>
      <c r="I99" s="93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24.75" customHeight="1">
      <c r="A100" s="50"/>
      <c r="B100" s="93"/>
      <c r="C100" s="93"/>
      <c r="D100" s="93"/>
      <c r="E100" s="93"/>
      <c r="F100" s="93"/>
      <c r="G100" s="93"/>
      <c r="H100" s="118"/>
      <c r="I100" s="93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24.75" customHeight="1">
      <c r="A101" s="50"/>
      <c r="B101" s="93"/>
      <c r="C101" s="93"/>
      <c r="D101" s="93"/>
      <c r="E101" s="93"/>
      <c r="F101" s="93"/>
      <c r="G101" s="93"/>
      <c r="H101" s="118"/>
      <c r="I101" s="93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24.75" customHeight="1">
      <c r="A102" s="50"/>
      <c r="B102" s="93"/>
      <c r="C102" s="93"/>
      <c r="D102" s="93"/>
      <c r="E102" s="93"/>
      <c r="F102" s="93"/>
      <c r="G102" s="93"/>
      <c r="H102" s="118"/>
      <c r="I102" s="9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24.75" customHeight="1">
      <c r="A103" s="50"/>
      <c r="B103" s="93"/>
      <c r="C103" s="93"/>
      <c r="D103" s="93"/>
      <c r="E103" s="93"/>
      <c r="F103" s="93"/>
      <c r="G103" s="93"/>
      <c r="H103" s="118"/>
      <c r="I103" s="93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24.75" customHeight="1">
      <c r="A104" s="50"/>
      <c r="B104" s="93"/>
      <c r="C104" s="93"/>
      <c r="D104" s="93"/>
      <c r="E104" s="93"/>
      <c r="F104" s="93"/>
      <c r="G104" s="93"/>
      <c r="H104" s="118"/>
      <c r="I104" s="93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24.75" customHeight="1">
      <c r="A105" s="50"/>
      <c r="B105" s="93"/>
      <c r="C105" s="93"/>
      <c r="D105" s="93"/>
      <c r="E105" s="93"/>
      <c r="F105" s="93"/>
      <c r="G105" s="93"/>
      <c r="H105" s="118"/>
      <c r="I105" s="93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24.75" customHeight="1">
      <c r="A106" s="50"/>
      <c r="B106" s="93"/>
      <c r="C106" s="93"/>
      <c r="D106" s="93"/>
      <c r="E106" s="93"/>
      <c r="F106" s="93"/>
      <c r="G106" s="93"/>
      <c r="H106" s="118"/>
      <c r="I106" s="93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24.75" customHeight="1">
      <c r="A107" s="50"/>
      <c r="B107" s="93"/>
      <c r="C107" s="93"/>
      <c r="D107" s="93"/>
      <c r="E107" s="93"/>
      <c r="F107" s="93"/>
      <c r="G107" s="93"/>
      <c r="H107" s="118"/>
      <c r="I107" s="93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24.75" customHeight="1">
      <c r="A108" s="50"/>
      <c r="B108" s="93"/>
      <c r="C108" s="93"/>
      <c r="D108" s="93"/>
      <c r="E108" s="93"/>
      <c r="F108" s="93"/>
      <c r="G108" s="93"/>
      <c r="H108" s="118"/>
      <c r="I108" s="93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24.75" customHeight="1">
      <c r="A109" s="50"/>
      <c r="B109" s="93"/>
      <c r="C109" s="93"/>
      <c r="D109" s="93"/>
      <c r="E109" s="93"/>
      <c r="F109" s="93"/>
      <c r="G109" s="93"/>
      <c r="H109" s="118"/>
      <c r="I109" s="93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24.75" customHeight="1">
      <c r="A110" s="50"/>
      <c r="B110" s="93"/>
      <c r="C110" s="93"/>
      <c r="D110" s="93"/>
      <c r="E110" s="93"/>
      <c r="F110" s="93"/>
      <c r="G110" s="93"/>
      <c r="H110" s="118"/>
      <c r="I110" s="93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24.75" customHeight="1">
      <c r="A111" s="50"/>
      <c r="B111" s="93"/>
      <c r="C111" s="93"/>
      <c r="D111" s="93"/>
      <c r="E111" s="93"/>
      <c r="F111" s="93"/>
      <c r="G111" s="93"/>
      <c r="H111" s="118"/>
      <c r="I111" s="93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24.75" customHeight="1">
      <c r="A112" s="50"/>
      <c r="B112" s="93"/>
      <c r="C112" s="93"/>
      <c r="D112" s="93"/>
      <c r="E112" s="93"/>
      <c r="F112" s="93"/>
      <c r="G112" s="93"/>
      <c r="H112" s="118"/>
      <c r="I112" s="93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24.75" customHeight="1">
      <c r="A113" s="50"/>
      <c r="B113" s="93"/>
      <c r="C113" s="93"/>
      <c r="D113" s="93"/>
      <c r="E113" s="93"/>
      <c r="F113" s="93"/>
      <c r="G113" s="93"/>
      <c r="H113" s="118"/>
      <c r="I113" s="93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24.75" customHeight="1">
      <c r="A114" s="50"/>
      <c r="B114" s="93"/>
      <c r="C114" s="93"/>
      <c r="D114" s="93"/>
      <c r="E114" s="93"/>
      <c r="F114" s="93"/>
      <c r="G114" s="93"/>
      <c r="H114" s="118"/>
      <c r="I114" s="93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24.75" customHeight="1">
      <c r="A115" s="50"/>
      <c r="B115" s="93"/>
      <c r="C115" s="93"/>
      <c r="D115" s="93"/>
      <c r="E115" s="93"/>
      <c r="F115" s="93"/>
      <c r="G115" s="93"/>
      <c r="H115" s="118"/>
      <c r="I115" s="93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24.75" customHeight="1">
      <c r="A116" s="50"/>
      <c r="B116" s="93"/>
      <c r="C116" s="93"/>
      <c r="D116" s="93"/>
      <c r="E116" s="93"/>
      <c r="F116" s="93"/>
      <c r="G116" s="93"/>
      <c r="H116" s="118"/>
      <c r="I116" s="93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24.75" customHeight="1">
      <c r="A117" s="50"/>
      <c r="B117" s="93"/>
      <c r="C117" s="93"/>
      <c r="D117" s="93"/>
      <c r="E117" s="93"/>
      <c r="F117" s="93"/>
      <c r="G117" s="93"/>
      <c r="H117" s="118"/>
      <c r="I117" s="93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24.75" customHeight="1">
      <c r="A118" s="50"/>
      <c r="B118" s="93"/>
      <c r="C118" s="93"/>
      <c r="D118" s="93"/>
      <c r="E118" s="93"/>
      <c r="F118" s="93"/>
      <c r="G118" s="93"/>
      <c r="H118" s="118"/>
      <c r="I118" s="93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24.75" customHeight="1">
      <c r="A119" s="50"/>
      <c r="B119" s="93"/>
      <c r="C119" s="93"/>
      <c r="D119" s="93"/>
      <c r="E119" s="93"/>
      <c r="F119" s="93"/>
      <c r="G119" s="93"/>
      <c r="H119" s="118"/>
      <c r="I119" s="93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24.75" customHeight="1">
      <c r="A120" s="50"/>
      <c r="B120" s="93"/>
      <c r="C120" s="93"/>
      <c r="D120" s="93"/>
      <c r="E120" s="93"/>
      <c r="F120" s="93"/>
      <c r="G120" s="93"/>
      <c r="H120" s="118"/>
      <c r="I120" s="9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24.75" customHeight="1">
      <c r="A121" s="50"/>
      <c r="B121" s="93"/>
      <c r="C121" s="93"/>
      <c r="D121" s="93"/>
      <c r="E121" s="93"/>
      <c r="F121" s="93"/>
      <c r="G121" s="93"/>
      <c r="H121" s="118"/>
      <c r="I121" s="93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24.75" customHeight="1">
      <c r="A122" s="50"/>
      <c r="B122" s="93"/>
      <c r="C122" s="93"/>
      <c r="D122" s="93"/>
      <c r="E122" s="93"/>
      <c r="F122" s="93"/>
      <c r="G122" s="93"/>
      <c r="H122" s="118"/>
      <c r="I122" s="93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24.75" customHeight="1">
      <c r="A123" s="50"/>
      <c r="B123" s="93"/>
      <c r="C123" s="93"/>
      <c r="D123" s="93"/>
      <c r="E123" s="93"/>
      <c r="F123" s="93"/>
      <c r="G123" s="93"/>
      <c r="H123" s="118"/>
      <c r="I123" s="93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24.75" customHeight="1">
      <c r="A124" s="50"/>
      <c r="B124" s="93"/>
      <c r="C124" s="93"/>
      <c r="D124" s="93"/>
      <c r="E124" s="93"/>
      <c r="F124" s="93"/>
      <c r="G124" s="93"/>
      <c r="H124" s="118"/>
      <c r="I124" s="93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24.75" customHeight="1">
      <c r="A125" s="50"/>
      <c r="B125" s="93"/>
      <c r="C125" s="93"/>
      <c r="D125" s="93"/>
      <c r="E125" s="93"/>
      <c r="F125" s="93"/>
      <c r="G125" s="93"/>
      <c r="H125" s="118"/>
      <c r="I125" s="93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24.75" customHeight="1">
      <c r="A126" s="50"/>
      <c r="B126" s="93"/>
      <c r="C126" s="93"/>
      <c r="D126" s="93"/>
      <c r="E126" s="93"/>
      <c r="F126" s="93"/>
      <c r="G126" s="93"/>
      <c r="H126" s="118"/>
      <c r="I126" s="93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24.75" customHeight="1">
      <c r="A127" s="50"/>
      <c r="B127" s="93"/>
      <c r="C127" s="93"/>
      <c r="D127" s="93"/>
      <c r="E127" s="93"/>
      <c r="F127" s="93"/>
      <c r="G127" s="93"/>
      <c r="H127" s="118"/>
      <c r="I127" s="93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24.75" customHeight="1">
      <c r="A128" s="50"/>
      <c r="B128" s="93"/>
      <c r="C128" s="93"/>
      <c r="D128" s="93"/>
      <c r="E128" s="93"/>
      <c r="F128" s="93"/>
      <c r="G128" s="93"/>
      <c r="H128" s="118"/>
      <c r="I128" s="93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24.75" customHeight="1">
      <c r="A129" s="50"/>
      <c r="B129" s="93"/>
      <c r="C129" s="93"/>
      <c r="D129" s="93"/>
      <c r="E129" s="93"/>
      <c r="F129" s="93"/>
      <c r="G129" s="93"/>
      <c r="H129" s="118"/>
      <c r="I129" s="9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24.75" customHeight="1">
      <c r="A130" s="50"/>
      <c r="B130" s="93"/>
      <c r="C130" s="93"/>
      <c r="D130" s="93"/>
      <c r="E130" s="93"/>
      <c r="F130" s="93"/>
      <c r="G130" s="93"/>
      <c r="H130" s="118"/>
      <c r="I130" s="93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24.75" customHeight="1">
      <c r="A131" s="50"/>
      <c r="B131" s="93"/>
      <c r="C131" s="93"/>
      <c r="D131" s="93"/>
      <c r="E131" s="93"/>
      <c r="F131" s="93"/>
      <c r="G131" s="93"/>
      <c r="H131" s="118"/>
      <c r="I131" s="93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24.75" customHeight="1">
      <c r="A132" s="50"/>
      <c r="B132" s="93"/>
      <c r="C132" s="93"/>
      <c r="D132" s="93"/>
      <c r="E132" s="93"/>
      <c r="F132" s="93"/>
      <c r="G132" s="93"/>
      <c r="H132" s="118"/>
      <c r="I132" s="93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24.75" customHeight="1">
      <c r="A133" s="50"/>
      <c r="B133" s="93"/>
      <c r="C133" s="93"/>
      <c r="D133" s="93"/>
      <c r="E133" s="93"/>
      <c r="F133" s="93"/>
      <c r="G133" s="93"/>
      <c r="H133" s="118"/>
      <c r="I133" s="93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24.75" customHeight="1">
      <c r="A134" s="50"/>
      <c r="B134" s="93"/>
      <c r="C134" s="93"/>
      <c r="D134" s="93"/>
      <c r="E134" s="93"/>
      <c r="F134" s="93"/>
      <c r="G134" s="93"/>
      <c r="H134" s="118"/>
      <c r="I134" s="93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24.75" customHeight="1">
      <c r="A135" s="50"/>
      <c r="B135" s="93"/>
      <c r="C135" s="93"/>
      <c r="D135" s="93"/>
      <c r="E135" s="93"/>
      <c r="F135" s="93"/>
      <c r="G135" s="93"/>
      <c r="H135" s="118"/>
      <c r="I135" s="9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24.75" customHeight="1">
      <c r="A136" s="50"/>
      <c r="B136" s="93"/>
      <c r="C136" s="93"/>
      <c r="D136" s="93"/>
      <c r="E136" s="93"/>
      <c r="F136" s="93"/>
      <c r="G136" s="93"/>
      <c r="H136" s="118"/>
      <c r="I136" s="93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24.75" customHeight="1">
      <c r="A137" s="50"/>
      <c r="B137" s="93"/>
      <c r="C137" s="93"/>
      <c r="D137" s="93"/>
      <c r="E137" s="93"/>
      <c r="F137" s="93"/>
      <c r="G137" s="93"/>
      <c r="H137" s="118"/>
      <c r="I137" s="9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24.75" customHeight="1">
      <c r="A138" s="50"/>
      <c r="B138" s="93"/>
      <c r="C138" s="93"/>
      <c r="D138" s="93"/>
      <c r="E138" s="93"/>
      <c r="F138" s="93"/>
      <c r="G138" s="93"/>
      <c r="H138" s="118"/>
      <c r="I138" s="93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24.75" customHeight="1">
      <c r="A139" s="50"/>
      <c r="B139" s="93"/>
      <c r="C139" s="93"/>
      <c r="D139" s="93"/>
      <c r="E139" s="93"/>
      <c r="F139" s="93"/>
      <c r="G139" s="93"/>
      <c r="H139" s="118"/>
      <c r="I139" s="93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24.75" customHeight="1">
      <c r="A140" s="50"/>
      <c r="B140" s="93"/>
      <c r="C140" s="93"/>
      <c r="D140" s="93"/>
      <c r="E140" s="93"/>
      <c r="F140" s="93"/>
      <c r="G140" s="93"/>
      <c r="H140" s="118"/>
      <c r="I140" s="93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24.75" customHeight="1">
      <c r="A141" s="50"/>
      <c r="B141" s="93"/>
      <c r="C141" s="93"/>
      <c r="D141" s="93"/>
      <c r="E141" s="93"/>
      <c r="F141" s="93"/>
      <c r="G141" s="93"/>
      <c r="H141" s="118"/>
      <c r="I141" s="93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24.75" customHeight="1">
      <c r="A142" s="50"/>
      <c r="B142" s="93"/>
      <c r="C142" s="93"/>
      <c r="D142" s="93"/>
      <c r="E142" s="93"/>
      <c r="F142" s="93"/>
      <c r="G142" s="93"/>
      <c r="H142" s="118"/>
      <c r="I142" s="93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24.75" customHeight="1">
      <c r="A143" s="50"/>
      <c r="B143" s="93"/>
      <c r="C143" s="93"/>
      <c r="D143" s="93"/>
      <c r="E143" s="93"/>
      <c r="F143" s="93"/>
      <c r="G143" s="93"/>
      <c r="H143" s="118"/>
      <c r="I143" s="93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24.75" customHeight="1">
      <c r="A144" s="50"/>
      <c r="B144" s="93"/>
      <c r="C144" s="93"/>
      <c r="D144" s="93"/>
      <c r="E144" s="93"/>
      <c r="F144" s="93"/>
      <c r="G144" s="93"/>
      <c r="H144" s="118"/>
      <c r="I144" s="93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24.75" customHeight="1">
      <c r="A145" s="50"/>
      <c r="B145" s="93"/>
      <c r="C145" s="93"/>
      <c r="D145" s="93"/>
      <c r="E145" s="93"/>
      <c r="F145" s="93"/>
      <c r="G145" s="93"/>
      <c r="H145" s="118"/>
      <c r="I145" s="93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24.75" customHeight="1">
      <c r="A146" s="50"/>
      <c r="B146" s="93"/>
      <c r="C146" s="93"/>
      <c r="D146" s="93"/>
      <c r="E146" s="93"/>
      <c r="F146" s="93"/>
      <c r="G146" s="93"/>
      <c r="H146" s="118"/>
      <c r="I146" s="93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24.75" customHeight="1">
      <c r="A147" s="50"/>
      <c r="B147" s="93"/>
      <c r="C147" s="93"/>
      <c r="D147" s="93"/>
      <c r="E147" s="93"/>
      <c r="F147" s="93"/>
      <c r="G147" s="93"/>
      <c r="H147" s="118"/>
      <c r="I147" s="93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24.75" customHeight="1">
      <c r="A148" s="50"/>
      <c r="B148" s="93"/>
      <c r="C148" s="93"/>
      <c r="D148" s="93"/>
      <c r="E148" s="93"/>
      <c r="F148" s="93"/>
      <c r="G148" s="93"/>
      <c r="H148" s="118"/>
      <c r="I148" s="93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24.75" customHeight="1">
      <c r="A149" s="50"/>
      <c r="B149" s="93"/>
      <c r="C149" s="93"/>
      <c r="D149" s="93"/>
      <c r="E149" s="93"/>
      <c r="F149" s="93"/>
      <c r="G149" s="93"/>
      <c r="H149" s="118"/>
      <c r="I149" s="93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24.75" customHeight="1">
      <c r="A150" s="50"/>
      <c r="B150" s="93"/>
      <c r="C150" s="93"/>
      <c r="D150" s="93"/>
      <c r="E150" s="93"/>
      <c r="F150" s="93"/>
      <c r="G150" s="93"/>
      <c r="H150" s="118"/>
      <c r="I150" s="93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24.75" customHeight="1">
      <c r="A151" s="50"/>
      <c r="B151" s="93"/>
      <c r="C151" s="93"/>
      <c r="D151" s="93"/>
      <c r="E151" s="93"/>
      <c r="F151" s="93"/>
      <c r="G151" s="93"/>
      <c r="H151" s="118"/>
      <c r="I151" s="93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24.75" customHeight="1">
      <c r="A152" s="50"/>
      <c r="B152" s="93"/>
      <c r="C152" s="93"/>
      <c r="D152" s="93"/>
      <c r="E152" s="93"/>
      <c r="F152" s="93"/>
      <c r="G152" s="93"/>
      <c r="H152" s="118"/>
      <c r="I152" s="93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24.75" customHeight="1">
      <c r="A153" s="50"/>
      <c r="B153" s="93"/>
      <c r="C153" s="93"/>
      <c r="D153" s="93"/>
      <c r="E153" s="93"/>
      <c r="F153" s="93"/>
      <c r="G153" s="93"/>
      <c r="H153" s="118"/>
      <c r="I153" s="93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24.75" customHeight="1">
      <c r="A154" s="50"/>
      <c r="B154" s="93"/>
      <c r="C154" s="93"/>
      <c r="D154" s="93"/>
      <c r="E154" s="93"/>
      <c r="F154" s="93"/>
      <c r="G154" s="93"/>
      <c r="H154" s="118"/>
      <c r="I154" s="93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24.75" customHeight="1">
      <c r="A155" s="50"/>
      <c r="B155" s="93"/>
      <c r="C155" s="93"/>
      <c r="D155" s="93"/>
      <c r="E155" s="93"/>
      <c r="F155" s="93"/>
      <c r="G155" s="93"/>
      <c r="H155" s="118"/>
      <c r="I155" s="93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24.75" customHeight="1">
      <c r="A156" s="50"/>
      <c r="B156" s="93"/>
      <c r="C156" s="93"/>
      <c r="D156" s="93"/>
      <c r="E156" s="93"/>
      <c r="F156" s="93"/>
      <c r="G156" s="93"/>
      <c r="H156" s="118"/>
      <c r="I156" s="93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24.75" customHeight="1">
      <c r="A157" s="50"/>
      <c r="B157" s="93"/>
      <c r="C157" s="93"/>
      <c r="D157" s="93"/>
      <c r="E157" s="93"/>
      <c r="F157" s="93"/>
      <c r="G157" s="93"/>
      <c r="H157" s="118"/>
      <c r="I157" s="93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24.75" customHeight="1">
      <c r="A158" s="50"/>
      <c r="B158" s="93"/>
      <c r="C158" s="93"/>
      <c r="D158" s="93"/>
      <c r="E158" s="93"/>
      <c r="F158" s="93"/>
      <c r="G158" s="93"/>
      <c r="H158" s="118"/>
      <c r="I158" s="93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24.75" customHeight="1">
      <c r="A159" s="50"/>
      <c r="B159" s="93"/>
      <c r="C159" s="93"/>
      <c r="D159" s="93"/>
      <c r="E159" s="93"/>
      <c r="F159" s="93"/>
      <c r="G159" s="93"/>
      <c r="H159" s="118"/>
      <c r="I159" s="93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24.75" customHeight="1">
      <c r="A160" s="50"/>
      <c r="B160" s="93"/>
      <c r="C160" s="93"/>
      <c r="D160" s="93"/>
      <c r="E160" s="93"/>
      <c r="F160" s="93"/>
      <c r="G160" s="93"/>
      <c r="H160" s="118"/>
      <c r="I160" s="93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24.75" customHeight="1">
      <c r="A161" s="50"/>
      <c r="B161" s="93"/>
      <c r="C161" s="93"/>
      <c r="D161" s="93"/>
      <c r="E161" s="93"/>
      <c r="F161" s="93"/>
      <c r="G161" s="93"/>
      <c r="H161" s="118"/>
      <c r="I161" s="93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24.75" customHeight="1">
      <c r="A162" s="50"/>
      <c r="B162" s="93"/>
      <c r="C162" s="93"/>
      <c r="D162" s="93"/>
      <c r="E162" s="93"/>
      <c r="F162" s="93"/>
      <c r="G162" s="93"/>
      <c r="H162" s="118"/>
      <c r="I162" s="93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24.75" customHeight="1">
      <c r="A163" s="50"/>
      <c r="B163" s="93"/>
      <c r="C163" s="93"/>
      <c r="D163" s="93"/>
      <c r="E163" s="93"/>
      <c r="F163" s="93"/>
      <c r="G163" s="93"/>
      <c r="H163" s="118"/>
      <c r="I163" s="93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24.75" customHeight="1">
      <c r="A164" s="50"/>
      <c r="B164" s="93"/>
      <c r="C164" s="93"/>
      <c r="D164" s="93"/>
      <c r="E164" s="93"/>
      <c r="F164" s="93"/>
      <c r="G164" s="93"/>
      <c r="H164" s="118"/>
      <c r="I164" s="93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24.75" customHeight="1">
      <c r="A165" s="50"/>
      <c r="B165" s="93"/>
      <c r="C165" s="93"/>
      <c r="D165" s="93"/>
      <c r="E165" s="93"/>
      <c r="F165" s="93"/>
      <c r="G165" s="93"/>
      <c r="H165" s="118"/>
      <c r="I165" s="93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24.75" customHeight="1">
      <c r="A166" s="50"/>
      <c r="B166" s="93"/>
      <c r="C166" s="93"/>
      <c r="D166" s="93"/>
      <c r="E166" s="93"/>
      <c r="F166" s="93"/>
      <c r="G166" s="93"/>
      <c r="H166" s="118"/>
      <c r="I166" s="93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24.75" customHeight="1">
      <c r="A167" s="50"/>
      <c r="B167" s="93"/>
      <c r="C167" s="93"/>
      <c r="D167" s="93"/>
      <c r="E167" s="93"/>
      <c r="F167" s="93"/>
      <c r="G167" s="93"/>
      <c r="H167" s="118"/>
      <c r="I167" s="93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24.75" customHeight="1">
      <c r="A168" s="50"/>
      <c r="B168" s="93"/>
      <c r="C168" s="93"/>
      <c r="D168" s="93"/>
      <c r="E168" s="93"/>
      <c r="F168" s="93"/>
      <c r="G168" s="93"/>
      <c r="H168" s="118"/>
      <c r="I168" s="93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24.75" customHeight="1">
      <c r="A169" s="50"/>
      <c r="B169" s="93"/>
      <c r="C169" s="93"/>
      <c r="D169" s="93"/>
      <c r="E169" s="93"/>
      <c r="F169" s="93"/>
      <c r="G169" s="93"/>
      <c r="H169" s="118"/>
      <c r="I169" s="93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24.75" customHeight="1">
      <c r="A170" s="50"/>
      <c r="B170" s="93"/>
      <c r="C170" s="93"/>
      <c r="D170" s="93"/>
      <c r="E170" s="93"/>
      <c r="F170" s="93"/>
      <c r="G170" s="93"/>
      <c r="H170" s="118"/>
      <c r="I170" s="93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24.75" customHeight="1">
      <c r="A171" s="50"/>
      <c r="B171" s="93"/>
      <c r="C171" s="93"/>
      <c r="D171" s="93"/>
      <c r="E171" s="93"/>
      <c r="F171" s="93"/>
      <c r="G171" s="93"/>
      <c r="H171" s="118"/>
      <c r="I171" s="93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24.75" customHeight="1">
      <c r="A172" s="50"/>
      <c r="B172" s="93"/>
      <c r="C172" s="93"/>
      <c r="D172" s="93"/>
      <c r="E172" s="93"/>
      <c r="F172" s="93"/>
      <c r="G172" s="93"/>
      <c r="H172" s="118"/>
      <c r="I172" s="93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24.75" customHeight="1">
      <c r="A173" s="50"/>
      <c r="B173" s="93"/>
      <c r="C173" s="93"/>
      <c r="D173" s="93"/>
      <c r="E173" s="93"/>
      <c r="F173" s="93"/>
      <c r="G173" s="93"/>
      <c r="H173" s="118"/>
      <c r="I173" s="93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24.75" customHeight="1">
      <c r="A174" s="50"/>
      <c r="B174" s="93"/>
      <c r="C174" s="93"/>
      <c r="D174" s="93"/>
      <c r="E174" s="93"/>
      <c r="F174" s="93"/>
      <c r="G174" s="93"/>
      <c r="H174" s="118"/>
      <c r="I174" s="93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24.75" customHeight="1">
      <c r="A175" s="50"/>
      <c r="B175" s="93"/>
      <c r="C175" s="93"/>
      <c r="D175" s="93"/>
      <c r="E175" s="93"/>
      <c r="F175" s="93"/>
      <c r="G175" s="93"/>
      <c r="H175" s="118"/>
      <c r="I175" s="93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24.75" customHeight="1">
      <c r="A176" s="50"/>
      <c r="B176" s="93"/>
      <c r="C176" s="93"/>
      <c r="D176" s="93"/>
      <c r="E176" s="93"/>
      <c r="F176" s="93"/>
      <c r="G176" s="93"/>
      <c r="H176" s="118"/>
      <c r="I176" s="93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24.75" customHeight="1">
      <c r="A177" s="50"/>
      <c r="B177" s="93"/>
      <c r="C177" s="93"/>
      <c r="D177" s="93"/>
      <c r="E177" s="93"/>
      <c r="F177" s="93"/>
      <c r="G177" s="93"/>
      <c r="H177" s="118"/>
      <c r="I177" s="93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24.75" customHeight="1">
      <c r="A178" s="50"/>
      <c r="B178" s="93"/>
      <c r="C178" s="93"/>
      <c r="D178" s="93"/>
      <c r="E178" s="93"/>
      <c r="F178" s="93"/>
      <c r="G178" s="93"/>
      <c r="H178" s="118"/>
      <c r="I178" s="93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24.75" customHeight="1">
      <c r="A179" s="50"/>
      <c r="B179" s="93"/>
      <c r="C179" s="93"/>
      <c r="D179" s="93"/>
      <c r="E179" s="93"/>
      <c r="F179" s="93"/>
      <c r="G179" s="93"/>
      <c r="H179" s="118"/>
      <c r="I179" s="93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24.75" customHeight="1">
      <c r="A180" s="50"/>
      <c r="B180" s="93"/>
      <c r="C180" s="93"/>
      <c r="D180" s="93"/>
      <c r="E180" s="93"/>
      <c r="F180" s="93"/>
      <c r="G180" s="93"/>
      <c r="H180" s="118"/>
      <c r="I180" s="93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24.75" customHeight="1">
      <c r="A181" s="50"/>
      <c r="B181" s="93"/>
      <c r="C181" s="93"/>
      <c r="D181" s="93"/>
      <c r="E181" s="93"/>
      <c r="F181" s="93"/>
      <c r="G181" s="93"/>
      <c r="H181" s="118"/>
      <c r="I181" s="93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24.75" customHeight="1">
      <c r="A182" s="50"/>
      <c r="B182" s="93"/>
      <c r="C182" s="93"/>
      <c r="D182" s="93"/>
      <c r="E182" s="93"/>
      <c r="F182" s="93"/>
      <c r="G182" s="93"/>
      <c r="H182" s="118"/>
      <c r="I182" s="93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24.75" customHeight="1">
      <c r="A183" s="50"/>
      <c r="B183" s="93"/>
      <c r="C183" s="93"/>
      <c r="D183" s="93"/>
      <c r="E183" s="93"/>
      <c r="F183" s="93"/>
      <c r="G183" s="93"/>
      <c r="H183" s="118"/>
      <c r="I183" s="93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24.75" customHeight="1">
      <c r="A184" s="50"/>
      <c r="B184" s="93"/>
      <c r="C184" s="93"/>
      <c r="D184" s="93"/>
      <c r="E184" s="93"/>
      <c r="F184" s="93"/>
      <c r="G184" s="93"/>
      <c r="H184" s="118"/>
      <c r="I184" s="93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24.75" customHeight="1">
      <c r="A185" s="50"/>
      <c r="B185" s="93"/>
      <c r="C185" s="93"/>
      <c r="D185" s="93"/>
      <c r="E185" s="93"/>
      <c r="F185" s="93"/>
      <c r="G185" s="93"/>
      <c r="H185" s="118"/>
      <c r="I185" s="93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24.75" customHeight="1">
      <c r="A186" s="50"/>
      <c r="B186" s="93"/>
      <c r="C186" s="93"/>
      <c r="D186" s="93"/>
      <c r="E186" s="93"/>
      <c r="F186" s="93"/>
      <c r="G186" s="93"/>
      <c r="H186" s="118"/>
      <c r="I186" s="93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24.75" customHeight="1">
      <c r="A187" s="50"/>
      <c r="B187" s="93"/>
      <c r="C187" s="93"/>
      <c r="D187" s="93"/>
      <c r="E187" s="93"/>
      <c r="F187" s="93"/>
      <c r="G187" s="93"/>
      <c r="H187" s="118"/>
      <c r="I187" s="93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24.75" customHeight="1">
      <c r="A188" s="50"/>
      <c r="B188" s="93"/>
      <c r="C188" s="93"/>
      <c r="D188" s="93"/>
      <c r="E188" s="93"/>
      <c r="F188" s="93"/>
      <c r="G188" s="93"/>
      <c r="H188" s="118"/>
      <c r="I188" s="93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24.75" customHeight="1">
      <c r="A189" s="50"/>
      <c r="B189" s="93"/>
      <c r="C189" s="93"/>
      <c r="D189" s="93"/>
      <c r="E189" s="93"/>
      <c r="F189" s="93"/>
      <c r="G189" s="93"/>
      <c r="H189" s="118"/>
      <c r="I189" s="93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24.75" customHeight="1">
      <c r="A190" s="50"/>
      <c r="B190" s="93"/>
      <c r="C190" s="93"/>
      <c r="D190" s="93"/>
      <c r="E190" s="93"/>
      <c r="F190" s="93"/>
      <c r="G190" s="93"/>
      <c r="H190" s="118"/>
      <c r="I190" s="93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24.75" customHeight="1">
      <c r="A191" s="50"/>
      <c r="B191" s="93"/>
      <c r="C191" s="93"/>
      <c r="D191" s="93"/>
      <c r="E191" s="93"/>
      <c r="F191" s="93"/>
      <c r="G191" s="93"/>
      <c r="H191" s="118"/>
      <c r="I191" s="93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24.75" customHeight="1">
      <c r="A192" s="50"/>
      <c r="B192" s="93"/>
      <c r="C192" s="93"/>
      <c r="D192" s="93"/>
      <c r="E192" s="93"/>
      <c r="F192" s="93"/>
      <c r="G192" s="93"/>
      <c r="H192" s="118"/>
      <c r="I192" s="93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24.75" customHeight="1">
      <c r="A193" s="50"/>
      <c r="B193" s="93"/>
      <c r="C193" s="93"/>
      <c r="D193" s="93"/>
      <c r="E193" s="93"/>
      <c r="F193" s="93"/>
      <c r="G193" s="93"/>
      <c r="H193" s="118"/>
      <c r="I193" s="93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24.75" customHeight="1">
      <c r="A194" s="50"/>
      <c r="B194" s="93"/>
      <c r="C194" s="93"/>
      <c r="D194" s="93"/>
      <c r="E194" s="93"/>
      <c r="F194" s="93"/>
      <c r="G194" s="93"/>
      <c r="H194" s="118"/>
      <c r="I194" s="93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24.75" customHeight="1">
      <c r="A195" s="50"/>
      <c r="B195" s="93"/>
      <c r="C195" s="93"/>
      <c r="D195" s="93"/>
      <c r="E195" s="93"/>
      <c r="F195" s="93"/>
      <c r="G195" s="93"/>
      <c r="H195" s="118"/>
      <c r="I195" s="93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24.75" customHeight="1">
      <c r="A196" s="50"/>
      <c r="B196" s="93"/>
      <c r="C196" s="93"/>
      <c r="D196" s="93"/>
      <c r="E196" s="93"/>
      <c r="F196" s="93"/>
      <c r="G196" s="93"/>
      <c r="H196" s="118"/>
      <c r="I196" s="93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24.75" customHeight="1">
      <c r="A197" s="50"/>
      <c r="B197" s="93"/>
      <c r="C197" s="93"/>
      <c r="D197" s="93"/>
      <c r="E197" s="93"/>
      <c r="F197" s="93"/>
      <c r="G197" s="93"/>
      <c r="H197" s="118"/>
      <c r="I197" s="93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24.75" customHeight="1">
      <c r="A198" s="50"/>
      <c r="B198" s="93"/>
      <c r="C198" s="93"/>
      <c r="D198" s="93"/>
      <c r="E198" s="93"/>
      <c r="F198" s="93"/>
      <c r="G198" s="93"/>
      <c r="H198" s="118"/>
      <c r="I198" s="93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24.75" customHeight="1">
      <c r="A199" s="50"/>
      <c r="B199" s="93"/>
      <c r="C199" s="93"/>
      <c r="D199" s="93"/>
      <c r="E199" s="93"/>
      <c r="F199" s="93"/>
      <c r="G199" s="93"/>
      <c r="H199" s="118"/>
      <c r="I199" s="93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24.75" customHeight="1">
      <c r="A200" s="50"/>
      <c r="B200" s="93"/>
      <c r="C200" s="93"/>
      <c r="D200" s="93"/>
      <c r="E200" s="93"/>
      <c r="F200" s="93"/>
      <c r="G200" s="93"/>
      <c r="H200" s="118"/>
      <c r="I200" s="93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24.75" customHeight="1">
      <c r="A201" s="50"/>
      <c r="B201" s="93"/>
      <c r="C201" s="93"/>
      <c r="D201" s="93"/>
      <c r="E201" s="93"/>
      <c r="F201" s="93"/>
      <c r="G201" s="93"/>
      <c r="H201" s="118"/>
      <c r="I201" s="93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24.75" customHeight="1">
      <c r="A202" s="50"/>
      <c r="B202" s="93"/>
      <c r="C202" s="93"/>
      <c r="D202" s="93"/>
      <c r="E202" s="93"/>
      <c r="F202" s="93"/>
      <c r="G202" s="93"/>
      <c r="H202" s="118"/>
      <c r="I202" s="93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24.75" customHeight="1">
      <c r="A203" s="50"/>
      <c r="B203" s="93"/>
      <c r="C203" s="93"/>
      <c r="D203" s="93"/>
      <c r="E203" s="93"/>
      <c r="F203" s="93"/>
      <c r="G203" s="93"/>
      <c r="H203" s="118"/>
      <c r="I203" s="93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24.75" customHeight="1">
      <c r="A204" s="50"/>
      <c r="B204" s="93"/>
      <c r="C204" s="93"/>
      <c r="D204" s="93"/>
      <c r="E204" s="93"/>
      <c r="F204" s="93"/>
      <c r="G204" s="93"/>
      <c r="H204" s="118"/>
      <c r="I204" s="93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24.75" customHeight="1">
      <c r="A205" s="50"/>
      <c r="B205" s="93"/>
      <c r="C205" s="93"/>
      <c r="D205" s="93"/>
      <c r="E205" s="93"/>
      <c r="F205" s="93"/>
      <c r="G205" s="93"/>
      <c r="H205" s="118"/>
      <c r="I205" s="93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24.75" customHeight="1">
      <c r="A206" s="50"/>
      <c r="B206" s="93"/>
      <c r="C206" s="93"/>
      <c r="D206" s="93"/>
      <c r="E206" s="93"/>
      <c r="F206" s="93"/>
      <c r="G206" s="93"/>
      <c r="H206" s="118"/>
      <c r="I206" s="93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24.75" customHeight="1">
      <c r="A207" s="50"/>
      <c r="B207" s="93"/>
      <c r="C207" s="93"/>
      <c r="D207" s="93"/>
      <c r="E207" s="93"/>
      <c r="F207" s="93"/>
      <c r="G207" s="93"/>
      <c r="H207" s="118"/>
      <c r="I207" s="93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24.75" customHeight="1">
      <c r="A208" s="50"/>
      <c r="B208" s="93"/>
      <c r="C208" s="93"/>
      <c r="D208" s="93"/>
      <c r="E208" s="93"/>
      <c r="F208" s="93"/>
      <c r="G208" s="93"/>
      <c r="H208" s="118"/>
      <c r="I208" s="93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24.75" customHeight="1">
      <c r="A209" s="50"/>
      <c r="B209" s="93"/>
      <c r="C209" s="93"/>
      <c r="D209" s="93"/>
      <c r="E209" s="93"/>
      <c r="F209" s="93"/>
      <c r="G209" s="93"/>
      <c r="H209" s="118"/>
      <c r="I209" s="93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24.75" customHeight="1">
      <c r="A210" s="50"/>
      <c r="B210" s="93"/>
      <c r="C210" s="93"/>
      <c r="D210" s="93"/>
      <c r="E210" s="93"/>
      <c r="F210" s="93"/>
      <c r="G210" s="93"/>
      <c r="H210" s="118"/>
      <c r="I210" s="93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24.75" customHeight="1">
      <c r="A211" s="50"/>
      <c r="B211" s="93"/>
      <c r="C211" s="93"/>
      <c r="D211" s="93"/>
      <c r="E211" s="93"/>
      <c r="F211" s="93"/>
      <c r="G211" s="93"/>
      <c r="H211" s="118"/>
      <c r="I211" s="93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24.75" customHeight="1">
      <c r="A212" s="50"/>
      <c r="B212" s="93"/>
      <c r="C212" s="93"/>
      <c r="D212" s="93"/>
      <c r="E212" s="93"/>
      <c r="F212" s="93"/>
      <c r="G212" s="93"/>
      <c r="H212" s="118"/>
      <c r="I212" s="93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24.75" customHeight="1">
      <c r="A213" s="50"/>
      <c r="B213" s="93"/>
      <c r="C213" s="93"/>
      <c r="D213" s="93"/>
      <c r="E213" s="93"/>
      <c r="F213" s="93"/>
      <c r="G213" s="93"/>
      <c r="H213" s="118"/>
      <c r="I213" s="93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24.75" customHeight="1">
      <c r="A214" s="50"/>
      <c r="B214" s="93"/>
      <c r="C214" s="93"/>
      <c r="D214" s="93"/>
      <c r="E214" s="93"/>
      <c r="F214" s="93"/>
      <c r="G214" s="93"/>
      <c r="H214" s="118"/>
      <c r="I214" s="93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24.75" customHeight="1">
      <c r="A215" s="50"/>
      <c r="B215" s="93"/>
      <c r="C215" s="93"/>
      <c r="D215" s="93"/>
      <c r="E215" s="93"/>
      <c r="F215" s="93"/>
      <c r="G215" s="93"/>
      <c r="H215" s="118"/>
      <c r="I215" s="93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24.75" customHeight="1">
      <c r="A216" s="50"/>
      <c r="B216" s="93"/>
      <c r="C216" s="93"/>
      <c r="D216" s="93"/>
      <c r="E216" s="93"/>
      <c r="F216" s="93"/>
      <c r="G216" s="93"/>
      <c r="H216" s="118"/>
      <c r="I216" s="93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24.75" customHeight="1">
      <c r="A217" s="50"/>
      <c r="B217" s="93"/>
      <c r="C217" s="93"/>
      <c r="D217" s="93"/>
      <c r="E217" s="93"/>
      <c r="F217" s="93"/>
      <c r="G217" s="93"/>
      <c r="H217" s="118"/>
      <c r="I217" s="93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24.75" customHeight="1">
      <c r="A218" s="50"/>
      <c r="B218" s="93"/>
      <c r="C218" s="93"/>
      <c r="D218" s="93"/>
      <c r="E218" s="93"/>
      <c r="F218" s="93"/>
      <c r="G218" s="93"/>
      <c r="H218" s="118"/>
      <c r="I218" s="93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24.75" customHeight="1">
      <c r="A219" s="50"/>
      <c r="B219" s="93"/>
      <c r="C219" s="93"/>
      <c r="D219" s="93"/>
      <c r="E219" s="93"/>
      <c r="F219" s="93"/>
      <c r="G219" s="93"/>
      <c r="H219" s="118"/>
      <c r="I219" s="93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24.75" customHeight="1">
      <c r="A220" s="50"/>
      <c r="B220" s="93"/>
      <c r="C220" s="93"/>
      <c r="D220" s="93"/>
      <c r="E220" s="93"/>
      <c r="F220" s="93"/>
      <c r="G220" s="93"/>
      <c r="H220" s="118"/>
      <c r="I220" s="93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24.75" customHeight="1">
      <c r="A221" s="50"/>
      <c r="B221" s="93"/>
      <c r="C221" s="93"/>
      <c r="D221" s="93"/>
      <c r="E221" s="93"/>
      <c r="F221" s="93"/>
      <c r="G221" s="93"/>
      <c r="H221" s="118"/>
      <c r="I221" s="93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24.75" customHeight="1">
      <c r="A222" s="50"/>
      <c r="B222" s="93"/>
      <c r="C222" s="93"/>
      <c r="D222" s="93"/>
      <c r="E222" s="93"/>
      <c r="F222" s="93"/>
      <c r="G222" s="93"/>
      <c r="H222" s="118"/>
      <c r="I222" s="93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24.75" customHeight="1">
      <c r="A223" s="50"/>
      <c r="B223" s="93"/>
      <c r="C223" s="93"/>
      <c r="D223" s="93"/>
      <c r="E223" s="93"/>
      <c r="F223" s="93"/>
      <c r="G223" s="93"/>
      <c r="H223" s="118"/>
      <c r="I223" s="93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24.75" customHeight="1">
      <c r="A224" s="50"/>
      <c r="B224" s="93"/>
      <c r="C224" s="93"/>
      <c r="D224" s="93"/>
      <c r="E224" s="93"/>
      <c r="F224" s="93"/>
      <c r="G224" s="93"/>
      <c r="H224" s="118"/>
      <c r="I224" s="93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24.75" customHeight="1">
      <c r="A225" s="50"/>
      <c r="B225" s="93"/>
      <c r="C225" s="93"/>
      <c r="D225" s="93"/>
      <c r="E225" s="93"/>
      <c r="F225" s="93"/>
      <c r="G225" s="93"/>
      <c r="H225" s="118"/>
      <c r="I225" s="93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24.75" customHeight="1">
      <c r="A226" s="50"/>
      <c r="B226" s="93"/>
      <c r="C226" s="93"/>
      <c r="D226" s="93"/>
      <c r="E226" s="93"/>
      <c r="F226" s="93"/>
      <c r="G226" s="93"/>
      <c r="H226" s="118"/>
      <c r="I226" s="93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24.75" customHeight="1">
      <c r="A227" s="50"/>
      <c r="B227" s="93"/>
      <c r="C227" s="93"/>
      <c r="D227" s="93"/>
      <c r="E227" s="93"/>
      <c r="F227" s="93"/>
      <c r="G227" s="93"/>
      <c r="H227" s="118"/>
      <c r="I227" s="93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24.75" customHeight="1">
      <c r="A228" s="50"/>
      <c r="B228" s="93"/>
      <c r="C228" s="93"/>
      <c r="D228" s="93"/>
      <c r="E228" s="93"/>
      <c r="F228" s="93"/>
      <c r="G228" s="93"/>
      <c r="H228" s="118"/>
      <c r="I228" s="93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24.75" customHeight="1">
      <c r="A229" s="50"/>
      <c r="B229" s="93"/>
      <c r="C229" s="93"/>
      <c r="D229" s="93"/>
      <c r="E229" s="93"/>
      <c r="F229" s="93"/>
      <c r="G229" s="93"/>
      <c r="H229" s="118"/>
      <c r="I229" s="93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24.75" customHeight="1">
      <c r="A230" s="50"/>
      <c r="B230" s="93"/>
      <c r="C230" s="93"/>
      <c r="D230" s="93"/>
      <c r="E230" s="93"/>
      <c r="F230" s="93"/>
      <c r="G230" s="93"/>
      <c r="H230" s="118"/>
      <c r="I230" s="93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24.75" customHeight="1">
      <c r="A231" s="50"/>
      <c r="B231" s="93"/>
      <c r="C231" s="93"/>
      <c r="D231" s="93"/>
      <c r="E231" s="93"/>
      <c r="F231" s="93"/>
      <c r="G231" s="93"/>
      <c r="H231" s="118"/>
      <c r="I231" s="93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24.75" customHeight="1">
      <c r="A232" s="50"/>
      <c r="B232" s="93"/>
      <c r="C232" s="93"/>
      <c r="D232" s="93"/>
      <c r="E232" s="93"/>
      <c r="F232" s="93"/>
      <c r="G232" s="93"/>
      <c r="H232" s="118"/>
      <c r="I232" s="93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24.75" customHeight="1">
      <c r="A233" s="50"/>
      <c r="B233" s="93"/>
      <c r="C233" s="93"/>
      <c r="D233" s="93"/>
      <c r="E233" s="93"/>
      <c r="F233" s="93"/>
      <c r="G233" s="93"/>
      <c r="H233" s="118"/>
      <c r="I233" s="93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24.75" customHeight="1">
      <c r="A234" s="50"/>
      <c r="B234" s="93"/>
      <c r="C234" s="93"/>
      <c r="D234" s="93"/>
      <c r="E234" s="93"/>
      <c r="F234" s="93"/>
      <c r="G234" s="93"/>
      <c r="H234" s="118"/>
      <c r="I234" s="93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24.75" customHeight="1">
      <c r="A235" s="50"/>
      <c r="B235" s="93"/>
      <c r="C235" s="93"/>
      <c r="D235" s="93"/>
      <c r="E235" s="93"/>
      <c r="F235" s="93"/>
      <c r="G235" s="93"/>
      <c r="H235" s="118"/>
      <c r="I235" s="93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24.75" customHeight="1">
      <c r="A236" s="50"/>
      <c r="B236" s="93"/>
      <c r="C236" s="93"/>
      <c r="D236" s="93"/>
      <c r="E236" s="93"/>
      <c r="F236" s="93"/>
      <c r="G236" s="93"/>
      <c r="H236" s="118"/>
      <c r="I236" s="93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24.75" customHeight="1">
      <c r="A237" s="50"/>
      <c r="B237" s="93"/>
      <c r="C237" s="93"/>
      <c r="D237" s="93"/>
      <c r="E237" s="93"/>
      <c r="F237" s="93"/>
      <c r="G237" s="93"/>
      <c r="H237" s="118"/>
      <c r="I237" s="93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24.75" customHeight="1">
      <c r="A238" s="50"/>
      <c r="B238" s="93"/>
      <c r="C238" s="93"/>
      <c r="D238" s="93"/>
      <c r="E238" s="93"/>
      <c r="F238" s="93"/>
      <c r="G238" s="93"/>
      <c r="H238" s="118"/>
      <c r="I238" s="93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24.75" customHeight="1">
      <c r="A239" s="50"/>
      <c r="B239" s="93"/>
      <c r="C239" s="93"/>
      <c r="D239" s="93"/>
      <c r="E239" s="93"/>
      <c r="F239" s="93"/>
      <c r="G239" s="93"/>
      <c r="H239" s="118"/>
      <c r="I239" s="93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24.75" customHeight="1">
      <c r="A240" s="50"/>
      <c r="B240" s="93"/>
      <c r="C240" s="93"/>
      <c r="D240" s="93"/>
      <c r="E240" s="93"/>
      <c r="F240" s="93"/>
      <c r="G240" s="93"/>
      <c r="H240" s="118"/>
      <c r="I240" s="93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24.75" customHeight="1">
      <c r="A241" s="50"/>
      <c r="B241" s="93"/>
      <c r="C241" s="93"/>
      <c r="D241" s="93"/>
      <c r="E241" s="93"/>
      <c r="F241" s="93"/>
      <c r="G241" s="93"/>
      <c r="H241" s="118"/>
      <c r="I241" s="93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24.75" customHeight="1">
      <c r="A242" s="50"/>
      <c r="B242" s="93"/>
      <c r="C242" s="93"/>
      <c r="D242" s="93"/>
      <c r="E242" s="93"/>
      <c r="F242" s="93"/>
      <c r="G242" s="93"/>
      <c r="H242" s="118"/>
      <c r="I242" s="93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24.75" customHeight="1">
      <c r="A243" s="50"/>
      <c r="B243" s="93"/>
      <c r="C243" s="93"/>
      <c r="D243" s="93"/>
      <c r="E243" s="93"/>
      <c r="F243" s="93"/>
      <c r="G243" s="93"/>
      <c r="H243" s="118"/>
      <c r="I243" s="93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24.75" customHeight="1">
      <c r="A244" s="50"/>
      <c r="B244" s="93"/>
      <c r="C244" s="93"/>
      <c r="D244" s="93"/>
      <c r="E244" s="93"/>
      <c r="F244" s="93"/>
      <c r="G244" s="93"/>
      <c r="H244" s="118"/>
      <c r="I244" s="93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24.75" customHeight="1">
      <c r="A245" s="50"/>
      <c r="B245" s="93"/>
      <c r="C245" s="93"/>
      <c r="D245" s="93"/>
      <c r="E245" s="93"/>
      <c r="F245" s="93"/>
      <c r="G245" s="93"/>
      <c r="H245" s="118"/>
      <c r="I245" s="93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24.75" customHeight="1">
      <c r="A246" s="50"/>
      <c r="B246" s="93"/>
      <c r="C246" s="93"/>
      <c r="D246" s="93"/>
      <c r="E246" s="93"/>
      <c r="F246" s="93"/>
      <c r="G246" s="93"/>
      <c r="H246" s="118"/>
      <c r="I246" s="93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24.75" customHeight="1">
      <c r="A247" s="50"/>
      <c r="B247" s="93"/>
      <c r="C247" s="93"/>
      <c r="D247" s="93"/>
      <c r="E247" s="93"/>
      <c r="F247" s="93"/>
      <c r="G247" s="93"/>
      <c r="H247" s="118"/>
      <c r="I247" s="93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24.75" customHeight="1">
      <c r="A248" s="50"/>
      <c r="B248" s="93"/>
      <c r="C248" s="93"/>
      <c r="D248" s="93"/>
      <c r="E248" s="93"/>
      <c r="F248" s="93"/>
      <c r="G248" s="93"/>
      <c r="H248" s="118"/>
      <c r="I248" s="93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24.75" customHeight="1">
      <c r="A249" s="50"/>
      <c r="B249" s="93"/>
      <c r="C249" s="93"/>
      <c r="D249" s="93"/>
      <c r="E249" s="93"/>
      <c r="F249" s="93"/>
      <c r="G249" s="93"/>
      <c r="H249" s="118"/>
      <c r="I249" s="93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24.75" customHeight="1">
      <c r="A250" s="50"/>
      <c r="B250" s="93"/>
      <c r="C250" s="93"/>
      <c r="D250" s="93"/>
      <c r="E250" s="93"/>
      <c r="F250" s="93"/>
      <c r="G250" s="93"/>
      <c r="H250" s="118"/>
      <c r="I250" s="93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24.75" customHeight="1">
      <c r="A251" s="50"/>
      <c r="B251" s="93"/>
      <c r="C251" s="93"/>
      <c r="D251" s="93"/>
      <c r="E251" s="93"/>
      <c r="F251" s="93"/>
      <c r="G251" s="93"/>
      <c r="H251" s="118"/>
      <c r="I251" s="93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24.75" customHeight="1">
      <c r="A252" s="50"/>
      <c r="B252" s="93"/>
      <c r="C252" s="93"/>
      <c r="D252" s="93"/>
      <c r="E252" s="93"/>
      <c r="F252" s="93"/>
      <c r="G252" s="93"/>
      <c r="H252" s="118"/>
      <c r="I252" s="93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24.75" customHeight="1">
      <c r="A253" s="50"/>
      <c r="B253" s="93"/>
      <c r="C253" s="93"/>
      <c r="D253" s="93"/>
      <c r="E253" s="93"/>
      <c r="F253" s="93"/>
      <c r="G253" s="93"/>
      <c r="H253" s="118"/>
      <c r="I253" s="93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24.75" customHeight="1">
      <c r="A254" s="50"/>
      <c r="B254" s="93"/>
      <c r="C254" s="93"/>
      <c r="D254" s="93"/>
      <c r="E254" s="93"/>
      <c r="F254" s="93"/>
      <c r="G254" s="93"/>
      <c r="H254" s="118"/>
      <c r="I254" s="93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24.75" customHeight="1">
      <c r="A255" s="50"/>
      <c r="B255" s="93"/>
      <c r="C255" s="93"/>
      <c r="D255" s="93"/>
      <c r="E255" s="93"/>
      <c r="F255" s="93"/>
      <c r="G255" s="93"/>
      <c r="H255" s="118"/>
      <c r="I255" s="93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24.75" customHeight="1">
      <c r="A256" s="50"/>
      <c r="B256" s="93"/>
      <c r="C256" s="93"/>
      <c r="D256" s="93"/>
      <c r="E256" s="93"/>
      <c r="F256" s="93"/>
      <c r="G256" s="93"/>
      <c r="H256" s="118"/>
      <c r="I256" s="93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24.75" customHeight="1">
      <c r="A257" s="50"/>
      <c r="B257" s="93"/>
      <c r="C257" s="93"/>
      <c r="D257" s="93"/>
      <c r="E257" s="93"/>
      <c r="F257" s="93"/>
      <c r="G257" s="93"/>
      <c r="H257" s="118"/>
      <c r="I257" s="93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24.75" customHeight="1">
      <c r="A258" s="50"/>
      <c r="B258" s="93"/>
      <c r="C258" s="93"/>
      <c r="D258" s="93"/>
      <c r="E258" s="93"/>
      <c r="F258" s="93"/>
      <c r="G258" s="93"/>
      <c r="H258" s="118"/>
      <c r="I258" s="93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24.75" customHeight="1">
      <c r="A259" s="50"/>
      <c r="B259" s="93"/>
      <c r="C259" s="93"/>
      <c r="D259" s="93"/>
      <c r="E259" s="93"/>
      <c r="F259" s="93"/>
      <c r="G259" s="93"/>
      <c r="H259" s="118"/>
      <c r="I259" s="93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24.75" customHeight="1">
      <c r="A260" s="50"/>
      <c r="B260" s="93"/>
      <c r="C260" s="93"/>
      <c r="D260" s="93"/>
      <c r="E260" s="93"/>
      <c r="F260" s="93"/>
      <c r="G260" s="93"/>
      <c r="H260" s="118"/>
      <c r="I260" s="93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24.75" customHeight="1">
      <c r="A261" s="50"/>
      <c r="B261" s="93"/>
      <c r="C261" s="93"/>
      <c r="D261" s="93"/>
      <c r="E261" s="93"/>
      <c r="F261" s="93"/>
      <c r="G261" s="93"/>
      <c r="H261" s="118"/>
      <c r="I261" s="93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24.75" customHeight="1">
      <c r="A262" s="50"/>
      <c r="B262" s="93"/>
      <c r="C262" s="93"/>
      <c r="D262" s="93"/>
      <c r="E262" s="93"/>
      <c r="F262" s="93"/>
      <c r="G262" s="93"/>
      <c r="H262" s="118"/>
      <c r="I262" s="93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24.75" customHeight="1">
      <c r="A263" s="50"/>
      <c r="B263" s="93"/>
      <c r="C263" s="93"/>
      <c r="D263" s="93"/>
      <c r="E263" s="93"/>
      <c r="F263" s="93"/>
      <c r="G263" s="93"/>
      <c r="H263" s="118"/>
      <c r="I263" s="93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24.75" customHeight="1">
      <c r="A264" s="50"/>
      <c r="B264" s="93"/>
      <c r="C264" s="93"/>
      <c r="D264" s="93"/>
      <c r="E264" s="93"/>
      <c r="F264" s="93"/>
      <c r="G264" s="93"/>
      <c r="H264" s="118"/>
      <c r="I264" s="93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24.75" customHeight="1">
      <c r="A265" s="50"/>
      <c r="B265" s="93"/>
      <c r="C265" s="93"/>
      <c r="D265" s="93"/>
      <c r="E265" s="93"/>
      <c r="F265" s="93"/>
      <c r="G265" s="93"/>
      <c r="H265" s="118"/>
      <c r="I265" s="93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24.75" customHeight="1">
      <c r="A266" s="50"/>
      <c r="B266" s="93"/>
      <c r="C266" s="93"/>
      <c r="D266" s="93"/>
      <c r="E266" s="93"/>
      <c r="F266" s="93"/>
      <c r="G266" s="93"/>
      <c r="H266" s="118"/>
      <c r="I266" s="93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24.75" customHeight="1">
      <c r="A267" s="50"/>
      <c r="B267" s="93"/>
      <c r="C267" s="93"/>
      <c r="D267" s="93"/>
      <c r="E267" s="93"/>
      <c r="F267" s="93"/>
      <c r="G267" s="93"/>
      <c r="H267" s="118"/>
      <c r="I267" s="93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24.75" customHeight="1">
      <c r="A268" s="50"/>
      <c r="B268" s="93"/>
      <c r="C268" s="93"/>
      <c r="D268" s="93"/>
      <c r="E268" s="93"/>
      <c r="F268" s="93"/>
      <c r="G268" s="93"/>
      <c r="H268" s="118"/>
      <c r="I268" s="93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24.75" customHeight="1">
      <c r="A269" s="50"/>
      <c r="B269" s="93"/>
      <c r="C269" s="93"/>
      <c r="D269" s="93"/>
      <c r="E269" s="93"/>
      <c r="F269" s="93"/>
      <c r="G269" s="93"/>
      <c r="H269" s="118"/>
      <c r="I269" s="93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24.75" customHeight="1">
      <c r="A270" s="50"/>
      <c r="B270" s="93"/>
      <c r="C270" s="93"/>
      <c r="D270" s="93"/>
      <c r="E270" s="93"/>
      <c r="F270" s="93"/>
      <c r="G270" s="93"/>
      <c r="H270" s="118"/>
      <c r="I270" s="93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24.75" customHeight="1">
      <c r="A271" s="50"/>
      <c r="B271" s="93"/>
      <c r="C271" s="93"/>
      <c r="D271" s="93"/>
      <c r="E271" s="93"/>
      <c r="F271" s="93"/>
      <c r="G271" s="93"/>
      <c r="H271" s="118"/>
      <c r="I271" s="93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24.75" customHeight="1">
      <c r="A272" s="50"/>
      <c r="B272" s="93"/>
      <c r="C272" s="93"/>
      <c r="D272" s="93"/>
      <c r="E272" s="93"/>
      <c r="F272" s="93"/>
      <c r="G272" s="93"/>
      <c r="H272" s="118"/>
      <c r="I272" s="93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24.75" customHeight="1">
      <c r="A273" s="50"/>
      <c r="B273" s="93"/>
      <c r="C273" s="93"/>
      <c r="D273" s="93"/>
      <c r="E273" s="93"/>
      <c r="F273" s="93"/>
      <c r="G273" s="93"/>
      <c r="H273" s="118"/>
      <c r="I273" s="93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24.75" customHeight="1">
      <c r="A274" s="50"/>
      <c r="B274" s="93"/>
      <c r="C274" s="93"/>
      <c r="D274" s="93"/>
      <c r="E274" s="93"/>
      <c r="F274" s="93"/>
      <c r="G274" s="93"/>
      <c r="H274" s="118"/>
      <c r="I274" s="93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24.75" customHeight="1">
      <c r="A275" s="50"/>
      <c r="B275" s="93"/>
      <c r="C275" s="93"/>
      <c r="D275" s="93"/>
      <c r="E275" s="93"/>
      <c r="F275" s="93"/>
      <c r="G275" s="93"/>
      <c r="H275" s="118"/>
      <c r="I275" s="93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24.75" customHeight="1">
      <c r="A276" s="50"/>
      <c r="B276" s="93"/>
      <c r="C276" s="93"/>
      <c r="D276" s="93"/>
      <c r="E276" s="93"/>
      <c r="F276" s="93"/>
      <c r="G276" s="93"/>
      <c r="H276" s="118"/>
      <c r="I276" s="93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24.75" customHeight="1">
      <c r="A277" s="50"/>
      <c r="B277" s="93"/>
      <c r="C277" s="93"/>
      <c r="D277" s="93"/>
      <c r="E277" s="93"/>
      <c r="F277" s="93"/>
      <c r="G277" s="93"/>
      <c r="H277" s="118"/>
      <c r="I277" s="93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24.75" customHeight="1">
      <c r="A278" s="50"/>
      <c r="B278" s="93"/>
      <c r="C278" s="93"/>
      <c r="D278" s="93"/>
      <c r="E278" s="93"/>
      <c r="F278" s="93"/>
      <c r="G278" s="93"/>
      <c r="H278" s="118"/>
      <c r="I278" s="93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24.75" customHeight="1">
      <c r="A279" s="50"/>
      <c r="B279" s="93"/>
      <c r="C279" s="93"/>
      <c r="D279" s="93"/>
      <c r="E279" s="93"/>
      <c r="F279" s="93"/>
      <c r="G279" s="93"/>
      <c r="H279" s="118"/>
      <c r="I279" s="93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24.75" customHeight="1">
      <c r="A280" s="50"/>
      <c r="B280" s="93"/>
      <c r="C280" s="93"/>
      <c r="D280" s="93"/>
      <c r="E280" s="93"/>
      <c r="F280" s="93"/>
      <c r="G280" s="93"/>
      <c r="H280" s="118"/>
      <c r="I280" s="93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24.75" customHeight="1">
      <c r="A281" s="50"/>
      <c r="B281" s="93"/>
      <c r="C281" s="93"/>
      <c r="D281" s="93"/>
      <c r="E281" s="93"/>
      <c r="F281" s="93"/>
      <c r="G281" s="93"/>
      <c r="H281" s="118"/>
      <c r="I281" s="93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24.75" customHeight="1">
      <c r="A282" s="50"/>
      <c r="B282" s="93"/>
      <c r="C282" s="93"/>
      <c r="D282" s="93"/>
      <c r="E282" s="93"/>
      <c r="F282" s="93"/>
      <c r="G282" s="93"/>
      <c r="H282" s="118"/>
      <c r="I282" s="93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24.75" customHeight="1">
      <c r="A283" s="50"/>
      <c r="B283" s="93"/>
      <c r="C283" s="93"/>
      <c r="D283" s="93"/>
      <c r="E283" s="93"/>
      <c r="F283" s="93"/>
      <c r="G283" s="93"/>
      <c r="H283" s="118"/>
      <c r="I283" s="93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24.75" customHeight="1">
      <c r="A284" s="50"/>
      <c r="B284" s="93"/>
      <c r="C284" s="93"/>
      <c r="D284" s="93"/>
      <c r="E284" s="93"/>
      <c r="F284" s="93"/>
      <c r="G284" s="93"/>
      <c r="H284" s="118"/>
      <c r="I284" s="93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24.75" customHeight="1">
      <c r="A285" s="50"/>
      <c r="B285" s="93"/>
      <c r="C285" s="93"/>
      <c r="D285" s="93"/>
      <c r="E285" s="93"/>
      <c r="F285" s="93"/>
      <c r="G285" s="93"/>
      <c r="H285" s="118"/>
      <c r="I285" s="93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24.75" customHeight="1">
      <c r="A286" s="50"/>
      <c r="B286" s="93"/>
      <c r="C286" s="93"/>
      <c r="D286" s="93"/>
      <c r="E286" s="93"/>
      <c r="F286" s="93"/>
      <c r="G286" s="93"/>
      <c r="H286" s="118"/>
      <c r="I286" s="93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24.75" customHeight="1">
      <c r="A287" s="50"/>
      <c r="B287" s="93"/>
      <c r="C287" s="93"/>
      <c r="D287" s="93"/>
      <c r="E287" s="93"/>
      <c r="F287" s="93"/>
      <c r="G287" s="93"/>
      <c r="H287" s="118"/>
      <c r="I287" s="93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24.75" customHeight="1">
      <c r="A288" s="50"/>
      <c r="B288" s="93"/>
      <c r="C288" s="93"/>
      <c r="D288" s="93"/>
      <c r="E288" s="93"/>
      <c r="F288" s="93"/>
      <c r="G288" s="93"/>
      <c r="H288" s="118"/>
      <c r="I288" s="93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24.75" customHeight="1">
      <c r="A289" s="50"/>
      <c r="B289" s="93"/>
      <c r="C289" s="93"/>
      <c r="D289" s="93"/>
      <c r="E289" s="93"/>
      <c r="F289" s="93"/>
      <c r="G289" s="93"/>
      <c r="H289" s="118"/>
      <c r="I289" s="93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24.75" customHeight="1">
      <c r="A290" s="50"/>
      <c r="B290" s="93"/>
      <c r="C290" s="93"/>
      <c r="D290" s="93"/>
      <c r="E290" s="93"/>
      <c r="F290" s="93"/>
      <c r="G290" s="93"/>
      <c r="H290" s="118"/>
      <c r="I290" s="93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24.75" customHeight="1">
      <c r="A291" s="50"/>
      <c r="B291" s="93"/>
      <c r="C291" s="93"/>
      <c r="D291" s="93"/>
      <c r="E291" s="93"/>
      <c r="F291" s="93"/>
      <c r="G291" s="93"/>
      <c r="H291" s="118"/>
      <c r="I291" s="93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24.75" customHeight="1">
      <c r="A292" s="50"/>
      <c r="B292" s="93"/>
      <c r="C292" s="93"/>
      <c r="D292" s="93"/>
      <c r="E292" s="93"/>
      <c r="F292" s="93"/>
      <c r="G292" s="93"/>
      <c r="H292" s="118"/>
      <c r="I292" s="93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24.75" customHeight="1">
      <c r="A293" s="50"/>
      <c r="B293" s="93"/>
      <c r="C293" s="93"/>
      <c r="D293" s="93"/>
      <c r="E293" s="93"/>
      <c r="F293" s="93"/>
      <c r="G293" s="93"/>
      <c r="H293" s="118"/>
      <c r="I293" s="93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24.75" customHeight="1">
      <c r="A294" s="50"/>
      <c r="B294" s="93"/>
      <c r="C294" s="93"/>
      <c r="D294" s="93"/>
      <c r="E294" s="93"/>
      <c r="F294" s="93"/>
      <c r="G294" s="93"/>
      <c r="H294" s="118"/>
      <c r="I294" s="93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24.75" customHeight="1">
      <c r="A295" s="50"/>
      <c r="B295" s="93"/>
      <c r="C295" s="93"/>
      <c r="D295" s="93"/>
      <c r="E295" s="93"/>
      <c r="F295" s="93"/>
      <c r="G295" s="93"/>
      <c r="H295" s="118"/>
      <c r="I295" s="93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24.75" customHeight="1">
      <c r="A296" s="50"/>
      <c r="B296" s="93"/>
      <c r="C296" s="93"/>
      <c r="D296" s="93"/>
      <c r="E296" s="93"/>
      <c r="F296" s="93"/>
      <c r="G296" s="93"/>
      <c r="H296" s="118"/>
      <c r="I296" s="93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24.75" customHeight="1">
      <c r="A297" s="50"/>
      <c r="B297" s="93"/>
      <c r="C297" s="93"/>
      <c r="D297" s="93"/>
      <c r="E297" s="93"/>
      <c r="F297" s="93"/>
      <c r="G297" s="93"/>
      <c r="H297" s="118"/>
      <c r="I297" s="93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24.75" customHeight="1">
      <c r="A298" s="50"/>
      <c r="B298" s="93"/>
      <c r="C298" s="93"/>
      <c r="D298" s="93"/>
      <c r="E298" s="93"/>
      <c r="F298" s="93"/>
      <c r="G298" s="93"/>
      <c r="H298" s="118"/>
      <c r="I298" s="93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24.75" customHeight="1">
      <c r="A299" s="50"/>
      <c r="B299" s="93"/>
      <c r="C299" s="93"/>
      <c r="D299" s="93"/>
      <c r="E299" s="93"/>
      <c r="F299" s="93"/>
      <c r="G299" s="93"/>
      <c r="H299" s="118"/>
      <c r="I299" s="93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24.75" customHeight="1">
      <c r="A300" s="50"/>
      <c r="B300" s="93"/>
      <c r="C300" s="93"/>
      <c r="D300" s="93"/>
      <c r="E300" s="93"/>
      <c r="F300" s="93"/>
      <c r="G300" s="93"/>
      <c r="H300" s="118"/>
      <c r="I300" s="93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24.75" customHeight="1">
      <c r="A301" s="50"/>
      <c r="B301" s="93"/>
      <c r="C301" s="93"/>
      <c r="D301" s="93"/>
      <c r="E301" s="93"/>
      <c r="F301" s="93"/>
      <c r="G301" s="93"/>
      <c r="H301" s="118"/>
      <c r="I301" s="93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24.75" customHeight="1">
      <c r="A302" s="50"/>
      <c r="B302" s="93"/>
      <c r="C302" s="93"/>
      <c r="D302" s="93"/>
      <c r="E302" s="93"/>
      <c r="F302" s="93"/>
      <c r="G302" s="93"/>
      <c r="H302" s="118"/>
      <c r="I302" s="93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24.75" customHeight="1">
      <c r="A303" s="50"/>
      <c r="B303" s="93"/>
      <c r="C303" s="93"/>
      <c r="D303" s="93"/>
      <c r="E303" s="93"/>
      <c r="F303" s="93"/>
      <c r="G303" s="93"/>
      <c r="H303" s="118"/>
      <c r="I303" s="93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24.75" customHeight="1">
      <c r="A304" s="50"/>
      <c r="B304" s="93"/>
      <c r="C304" s="93"/>
      <c r="D304" s="93"/>
      <c r="E304" s="93"/>
      <c r="F304" s="93"/>
      <c r="G304" s="93"/>
      <c r="H304" s="118"/>
      <c r="I304" s="93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24.75" customHeight="1">
      <c r="A305" s="50"/>
      <c r="B305" s="93"/>
      <c r="C305" s="93"/>
      <c r="D305" s="93"/>
      <c r="E305" s="93"/>
      <c r="F305" s="93"/>
      <c r="G305" s="93"/>
      <c r="H305" s="118"/>
      <c r="I305" s="93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24.75" customHeight="1">
      <c r="A306" s="50"/>
      <c r="B306" s="93"/>
      <c r="C306" s="93"/>
      <c r="D306" s="93"/>
      <c r="E306" s="93"/>
      <c r="F306" s="93"/>
      <c r="G306" s="93"/>
      <c r="H306" s="118"/>
      <c r="I306" s="93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24.75" customHeight="1">
      <c r="A307" s="50"/>
      <c r="B307" s="93"/>
      <c r="C307" s="93"/>
      <c r="D307" s="93"/>
      <c r="E307" s="93"/>
      <c r="F307" s="93"/>
      <c r="G307" s="93"/>
      <c r="H307" s="118"/>
      <c r="I307" s="93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24.75" customHeight="1">
      <c r="A308" s="50"/>
      <c r="B308" s="93"/>
      <c r="C308" s="93"/>
      <c r="D308" s="93"/>
      <c r="E308" s="93"/>
      <c r="F308" s="93"/>
      <c r="G308" s="93"/>
      <c r="H308" s="118"/>
      <c r="I308" s="93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24.75" customHeight="1">
      <c r="A309" s="50"/>
      <c r="B309" s="93"/>
      <c r="C309" s="93"/>
      <c r="D309" s="93"/>
      <c r="E309" s="93"/>
      <c r="F309" s="93"/>
      <c r="G309" s="93"/>
      <c r="H309" s="118"/>
      <c r="I309" s="93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24.75" customHeight="1">
      <c r="A310" s="50"/>
      <c r="B310" s="93"/>
      <c r="C310" s="93"/>
      <c r="D310" s="93"/>
      <c r="E310" s="93"/>
      <c r="F310" s="93"/>
      <c r="G310" s="93"/>
      <c r="H310" s="118"/>
      <c r="I310" s="93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24.75" customHeight="1">
      <c r="A311" s="50"/>
      <c r="B311" s="93"/>
      <c r="C311" s="93"/>
      <c r="D311" s="93"/>
      <c r="E311" s="93"/>
      <c r="F311" s="93"/>
      <c r="G311" s="93"/>
      <c r="H311" s="118"/>
      <c r="I311" s="93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24.75" customHeight="1">
      <c r="A312" s="50"/>
      <c r="B312" s="93"/>
      <c r="C312" s="93"/>
      <c r="D312" s="93"/>
      <c r="E312" s="93"/>
      <c r="F312" s="93"/>
      <c r="G312" s="93"/>
      <c r="H312" s="118"/>
      <c r="I312" s="93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24.75" customHeight="1">
      <c r="A313" s="50"/>
      <c r="B313" s="93"/>
      <c r="C313" s="93"/>
      <c r="D313" s="93"/>
      <c r="E313" s="93"/>
      <c r="F313" s="93"/>
      <c r="G313" s="93"/>
      <c r="H313" s="118"/>
      <c r="I313" s="93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24.75" customHeight="1">
      <c r="A314" s="50"/>
      <c r="B314" s="93"/>
      <c r="C314" s="93"/>
      <c r="D314" s="93"/>
      <c r="E314" s="93"/>
      <c r="F314" s="93"/>
      <c r="G314" s="93"/>
      <c r="H314" s="118"/>
      <c r="I314" s="93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24.75" customHeight="1">
      <c r="A315" s="50"/>
      <c r="B315" s="93"/>
      <c r="C315" s="93"/>
      <c r="D315" s="93"/>
      <c r="E315" s="93"/>
      <c r="F315" s="93"/>
      <c r="G315" s="93"/>
      <c r="H315" s="118"/>
      <c r="I315" s="93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24.75" customHeight="1">
      <c r="A316" s="50"/>
      <c r="B316" s="93"/>
      <c r="C316" s="93"/>
      <c r="D316" s="93"/>
      <c r="E316" s="93"/>
      <c r="F316" s="93"/>
      <c r="G316" s="93"/>
      <c r="H316" s="118"/>
      <c r="I316" s="93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24.75" customHeight="1">
      <c r="A317" s="50"/>
      <c r="B317" s="93"/>
      <c r="C317" s="93"/>
      <c r="D317" s="93"/>
      <c r="E317" s="93"/>
      <c r="F317" s="93"/>
      <c r="G317" s="93"/>
      <c r="H317" s="118"/>
      <c r="I317" s="93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24.75" customHeight="1">
      <c r="A318" s="50"/>
      <c r="B318" s="93"/>
      <c r="C318" s="93"/>
      <c r="D318" s="93"/>
      <c r="E318" s="93"/>
      <c r="F318" s="93"/>
      <c r="G318" s="93"/>
      <c r="H318" s="118"/>
      <c r="I318" s="93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24.75" customHeight="1">
      <c r="A319" s="50"/>
      <c r="B319" s="93"/>
      <c r="C319" s="93"/>
      <c r="D319" s="93"/>
      <c r="E319" s="93"/>
      <c r="F319" s="93"/>
      <c r="G319" s="93"/>
      <c r="H319" s="118"/>
      <c r="I319" s="93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24.75" customHeight="1">
      <c r="A320" s="50"/>
      <c r="B320" s="93"/>
      <c r="C320" s="93"/>
      <c r="D320" s="93"/>
      <c r="E320" s="93"/>
      <c r="F320" s="93"/>
      <c r="G320" s="93"/>
      <c r="H320" s="118"/>
      <c r="I320" s="93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24.75" customHeight="1">
      <c r="A321" s="50"/>
      <c r="B321" s="93"/>
      <c r="C321" s="93"/>
      <c r="D321" s="93"/>
      <c r="E321" s="93"/>
      <c r="F321" s="93"/>
      <c r="G321" s="93"/>
      <c r="H321" s="118"/>
      <c r="I321" s="93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24.75" customHeight="1">
      <c r="A322" s="50"/>
      <c r="B322" s="93"/>
      <c r="C322" s="93"/>
      <c r="D322" s="93"/>
      <c r="E322" s="93"/>
      <c r="F322" s="93"/>
      <c r="G322" s="93"/>
      <c r="H322" s="118"/>
      <c r="I322" s="93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24.75" customHeight="1">
      <c r="A323" s="50"/>
      <c r="B323" s="93"/>
      <c r="C323" s="93"/>
      <c r="D323" s="93"/>
      <c r="E323" s="93"/>
      <c r="F323" s="93"/>
      <c r="G323" s="93"/>
      <c r="H323" s="118"/>
      <c r="I323" s="93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24.75" customHeight="1">
      <c r="A324" s="50"/>
      <c r="B324" s="93"/>
      <c r="C324" s="93"/>
      <c r="D324" s="93"/>
      <c r="E324" s="93"/>
      <c r="F324" s="93"/>
      <c r="G324" s="93"/>
      <c r="H324" s="118"/>
      <c r="I324" s="93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24.75" customHeight="1">
      <c r="A325" s="50"/>
      <c r="B325" s="93"/>
      <c r="C325" s="93"/>
      <c r="D325" s="93"/>
      <c r="E325" s="93"/>
      <c r="F325" s="93"/>
      <c r="G325" s="93"/>
      <c r="H325" s="118"/>
      <c r="I325" s="93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24.75" customHeight="1">
      <c r="A326" s="50"/>
      <c r="B326" s="93"/>
      <c r="C326" s="93"/>
      <c r="D326" s="93"/>
      <c r="E326" s="93"/>
      <c r="F326" s="93"/>
      <c r="G326" s="93"/>
      <c r="H326" s="118"/>
      <c r="I326" s="93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24.75" customHeight="1">
      <c r="A327" s="50"/>
      <c r="B327" s="93"/>
      <c r="C327" s="93"/>
      <c r="D327" s="93"/>
      <c r="E327" s="93"/>
      <c r="F327" s="93"/>
      <c r="G327" s="93"/>
      <c r="H327" s="118"/>
      <c r="I327" s="93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24.75" customHeight="1">
      <c r="A328" s="50"/>
      <c r="B328" s="93"/>
      <c r="C328" s="93"/>
      <c r="D328" s="93"/>
      <c r="E328" s="93"/>
      <c r="F328" s="93"/>
      <c r="G328" s="93"/>
      <c r="H328" s="118"/>
      <c r="I328" s="93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24.75" customHeight="1">
      <c r="A329" s="50"/>
      <c r="B329" s="93"/>
      <c r="C329" s="93"/>
      <c r="D329" s="93"/>
      <c r="E329" s="93"/>
      <c r="F329" s="93"/>
      <c r="G329" s="93"/>
      <c r="H329" s="118"/>
      <c r="I329" s="93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24.75" customHeight="1">
      <c r="A330" s="50"/>
      <c r="B330" s="93"/>
      <c r="C330" s="93"/>
      <c r="D330" s="93"/>
      <c r="E330" s="93"/>
      <c r="F330" s="93"/>
      <c r="G330" s="93"/>
      <c r="H330" s="118"/>
      <c r="I330" s="93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24.75" customHeight="1">
      <c r="A331" s="50"/>
      <c r="B331" s="93"/>
      <c r="C331" s="93"/>
      <c r="D331" s="93"/>
      <c r="E331" s="93"/>
      <c r="F331" s="93"/>
      <c r="G331" s="93"/>
      <c r="H331" s="118"/>
      <c r="I331" s="93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24.75" customHeight="1">
      <c r="A332" s="50"/>
      <c r="B332" s="93"/>
      <c r="C332" s="93"/>
      <c r="D332" s="93"/>
      <c r="E332" s="93"/>
      <c r="F332" s="93"/>
      <c r="G332" s="93"/>
      <c r="H332" s="118"/>
      <c r="I332" s="93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24.75" customHeight="1">
      <c r="A333" s="50"/>
      <c r="B333" s="93"/>
      <c r="C333" s="93"/>
      <c r="D333" s="93"/>
      <c r="E333" s="93"/>
      <c r="F333" s="93"/>
      <c r="G333" s="93"/>
      <c r="H333" s="118"/>
      <c r="I333" s="93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24.75" customHeight="1">
      <c r="A334" s="50"/>
      <c r="B334" s="93"/>
      <c r="C334" s="93"/>
      <c r="D334" s="93"/>
      <c r="E334" s="93"/>
      <c r="F334" s="93"/>
      <c r="G334" s="93"/>
      <c r="H334" s="118"/>
      <c r="I334" s="93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24.75" customHeight="1">
      <c r="A335" s="50"/>
      <c r="B335" s="93"/>
      <c r="C335" s="93"/>
      <c r="D335" s="93"/>
      <c r="E335" s="93"/>
      <c r="F335" s="93"/>
      <c r="G335" s="93"/>
      <c r="H335" s="118"/>
      <c r="I335" s="93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24.75" customHeight="1">
      <c r="A336" s="50"/>
      <c r="B336" s="93"/>
      <c r="C336" s="93"/>
      <c r="D336" s="93"/>
      <c r="E336" s="93"/>
      <c r="F336" s="93"/>
      <c r="G336" s="93"/>
      <c r="H336" s="118"/>
      <c r="I336" s="93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24.75" customHeight="1">
      <c r="A337" s="50"/>
      <c r="B337" s="93"/>
      <c r="C337" s="93"/>
      <c r="D337" s="93"/>
      <c r="E337" s="93"/>
      <c r="F337" s="93"/>
      <c r="G337" s="93"/>
      <c r="H337" s="118"/>
      <c r="I337" s="93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24.75" customHeight="1">
      <c r="A338" s="50"/>
      <c r="B338" s="93"/>
      <c r="C338" s="93"/>
      <c r="D338" s="93"/>
      <c r="E338" s="93"/>
      <c r="F338" s="93"/>
      <c r="G338" s="93"/>
      <c r="H338" s="118"/>
      <c r="I338" s="93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24.75" customHeight="1">
      <c r="A339" s="50"/>
      <c r="B339" s="93"/>
      <c r="C339" s="93"/>
      <c r="D339" s="93"/>
      <c r="E339" s="93"/>
      <c r="F339" s="93"/>
      <c r="G339" s="93"/>
      <c r="H339" s="118"/>
      <c r="I339" s="93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24.75" customHeight="1">
      <c r="A340" s="50"/>
      <c r="B340" s="93"/>
      <c r="C340" s="93"/>
      <c r="D340" s="93"/>
      <c r="E340" s="93"/>
      <c r="F340" s="93"/>
      <c r="G340" s="93"/>
      <c r="H340" s="118"/>
      <c r="I340" s="93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24.75" customHeight="1">
      <c r="A341" s="50"/>
      <c r="B341" s="93"/>
      <c r="C341" s="93"/>
      <c r="D341" s="93"/>
      <c r="E341" s="93"/>
      <c r="F341" s="93"/>
      <c r="G341" s="93"/>
      <c r="H341" s="118"/>
      <c r="I341" s="93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24.75" customHeight="1">
      <c r="A342" s="50"/>
      <c r="B342" s="93"/>
      <c r="C342" s="93"/>
      <c r="D342" s="93"/>
      <c r="E342" s="93"/>
      <c r="F342" s="93"/>
      <c r="G342" s="93"/>
      <c r="H342" s="118"/>
      <c r="I342" s="93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24.75" customHeight="1">
      <c r="A343" s="50"/>
      <c r="B343" s="93"/>
      <c r="C343" s="93"/>
      <c r="D343" s="93"/>
      <c r="E343" s="93"/>
      <c r="F343" s="93"/>
      <c r="G343" s="93"/>
      <c r="H343" s="118"/>
      <c r="I343" s="93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24.75" customHeight="1">
      <c r="A344" s="50"/>
      <c r="B344" s="93"/>
      <c r="C344" s="93"/>
      <c r="D344" s="93"/>
      <c r="E344" s="93"/>
      <c r="F344" s="93"/>
      <c r="G344" s="93"/>
      <c r="H344" s="118"/>
      <c r="I344" s="93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24.75" customHeight="1">
      <c r="A345" s="50"/>
      <c r="B345" s="93"/>
      <c r="C345" s="93"/>
      <c r="D345" s="93"/>
      <c r="E345" s="93"/>
      <c r="F345" s="93"/>
      <c r="G345" s="93"/>
      <c r="H345" s="118"/>
      <c r="I345" s="93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24.75" customHeight="1">
      <c r="A346" s="50"/>
      <c r="B346" s="93"/>
      <c r="C346" s="93"/>
      <c r="D346" s="93"/>
      <c r="E346" s="93"/>
      <c r="F346" s="93"/>
      <c r="G346" s="93"/>
      <c r="H346" s="118"/>
      <c r="I346" s="93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24.75" customHeight="1">
      <c r="A347" s="50"/>
      <c r="B347" s="93"/>
      <c r="C347" s="93"/>
      <c r="D347" s="93"/>
      <c r="E347" s="93"/>
      <c r="F347" s="93"/>
      <c r="G347" s="93"/>
      <c r="H347" s="118"/>
      <c r="I347" s="93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24.75" customHeight="1">
      <c r="A348" s="50"/>
      <c r="B348" s="93"/>
      <c r="C348" s="93"/>
      <c r="D348" s="93"/>
      <c r="E348" s="93"/>
      <c r="F348" s="93"/>
      <c r="G348" s="93"/>
      <c r="H348" s="118"/>
      <c r="I348" s="93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24.75" customHeight="1">
      <c r="A349" s="50"/>
      <c r="B349" s="93"/>
      <c r="C349" s="93"/>
      <c r="D349" s="93"/>
      <c r="E349" s="93"/>
      <c r="F349" s="93"/>
      <c r="G349" s="93"/>
      <c r="H349" s="118"/>
      <c r="I349" s="93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24.75" customHeight="1">
      <c r="A350" s="50"/>
      <c r="B350" s="93"/>
      <c r="C350" s="93"/>
      <c r="D350" s="93"/>
      <c r="E350" s="93"/>
      <c r="F350" s="93"/>
      <c r="G350" s="93"/>
      <c r="H350" s="118"/>
      <c r="I350" s="93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24.75" customHeight="1">
      <c r="A351" s="50"/>
      <c r="B351" s="93"/>
      <c r="C351" s="93"/>
      <c r="D351" s="93"/>
      <c r="E351" s="93"/>
      <c r="F351" s="93"/>
      <c r="G351" s="93"/>
      <c r="H351" s="118"/>
      <c r="I351" s="93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24.75" customHeight="1">
      <c r="A352" s="50"/>
      <c r="B352" s="93"/>
      <c r="C352" s="93"/>
      <c r="D352" s="93"/>
      <c r="E352" s="93"/>
      <c r="F352" s="93"/>
      <c r="G352" s="93"/>
      <c r="H352" s="118"/>
      <c r="I352" s="93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24.75" customHeight="1">
      <c r="A353" s="50"/>
      <c r="B353" s="93"/>
      <c r="C353" s="93"/>
      <c r="D353" s="93"/>
      <c r="E353" s="93"/>
      <c r="F353" s="93"/>
      <c r="G353" s="93"/>
      <c r="H353" s="118"/>
      <c r="I353" s="93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24.75" customHeight="1">
      <c r="A354" s="50"/>
      <c r="B354" s="93"/>
      <c r="C354" s="93"/>
      <c r="D354" s="93"/>
      <c r="E354" s="93"/>
      <c r="F354" s="93"/>
      <c r="G354" s="93"/>
      <c r="H354" s="118"/>
      <c r="I354" s="93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24.75" customHeight="1">
      <c r="A355" s="50"/>
      <c r="B355" s="93"/>
      <c r="C355" s="93"/>
      <c r="D355" s="93"/>
      <c r="E355" s="93"/>
      <c r="F355" s="93"/>
      <c r="G355" s="93"/>
      <c r="H355" s="118"/>
      <c r="I355" s="93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24.75" customHeight="1">
      <c r="A356" s="50"/>
      <c r="B356" s="93"/>
      <c r="C356" s="93"/>
      <c r="D356" s="93"/>
      <c r="E356" s="93"/>
      <c r="F356" s="93"/>
      <c r="G356" s="93"/>
      <c r="H356" s="118"/>
      <c r="I356" s="93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24.75" customHeight="1">
      <c r="A357" s="50"/>
      <c r="B357" s="93"/>
      <c r="C357" s="93"/>
      <c r="D357" s="93"/>
      <c r="E357" s="93"/>
      <c r="F357" s="93"/>
      <c r="G357" s="93"/>
      <c r="H357" s="118"/>
      <c r="I357" s="93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24.75" customHeight="1">
      <c r="A358" s="50"/>
      <c r="B358" s="93"/>
      <c r="C358" s="93"/>
      <c r="D358" s="93"/>
      <c r="E358" s="93"/>
      <c r="F358" s="93"/>
      <c r="G358" s="93"/>
      <c r="H358" s="118"/>
      <c r="I358" s="93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24.75" customHeight="1">
      <c r="A359" s="50"/>
      <c r="B359" s="93"/>
      <c r="C359" s="93"/>
      <c r="D359" s="93"/>
      <c r="E359" s="93"/>
      <c r="F359" s="93"/>
      <c r="G359" s="93"/>
      <c r="H359" s="118"/>
      <c r="I359" s="93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24.75" customHeight="1">
      <c r="A360" s="50"/>
      <c r="B360" s="93"/>
      <c r="C360" s="93"/>
      <c r="D360" s="93"/>
      <c r="E360" s="93"/>
      <c r="F360" s="93"/>
      <c r="G360" s="93"/>
      <c r="H360" s="118"/>
      <c r="I360" s="93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24.75" customHeight="1">
      <c r="A361" s="50"/>
      <c r="B361" s="93"/>
      <c r="C361" s="93"/>
      <c r="D361" s="93"/>
      <c r="E361" s="93"/>
      <c r="F361" s="93"/>
      <c r="G361" s="93"/>
      <c r="H361" s="118"/>
      <c r="I361" s="93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24.75" customHeight="1">
      <c r="A362" s="50"/>
      <c r="B362" s="93"/>
      <c r="C362" s="93"/>
      <c r="D362" s="93"/>
      <c r="E362" s="93"/>
      <c r="F362" s="93"/>
      <c r="G362" s="93"/>
      <c r="H362" s="118"/>
      <c r="I362" s="93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24.75" customHeight="1">
      <c r="A363" s="50"/>
      <c r="B363" s="93"/>
      <c r="C363" s="93"/>
      <c r="D363" s="93"/>
      <c r="E363" s="93"/>
      <c r="F363" s="93"/>
      <c r="G363" s="93"/>
      <c r="H363" s="118"/>
      <c r="I363" s="93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24.75" customHeight="1">
      <c r="A364" s="50"/>
      <c r="B364" s="93"/>
      <c r="C364" s="93"/>
      <c r="D364" s="93"/>
      <c r="E364" s="93"/>
      <c r="F364" s="93"/>
      <c r="G364" s="93"/>
      <c r="H364" s="118"/>
      <c r="I364" s="93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24.75" customHeight="1">
      <c r="A365" s="50"/>
      <c r="B365" s="93"/>
      <c r="C365" s="93"/>
      <c r="D365" s="93"/>
      <c r="E365" s="93"/>
      <c r="F365" s="93"/>
      <c r="G365" s="93"/>
      <c r="H365" s="118"/>
      <c r="I365" s="93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24.75" customHeight="1">
      <c r="A366" s="50"/>
      <c r="B366" s="93"/>
      <c r="C366" s="93"/>
      <c r="D366" s="93"/>
      <c r="E366" s="93"/>
      <c r="F366" s="93"/>
      <c r="G366" s="93"/>
      <c r="H366" s="118"/>
      <c r="I366" s="93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24.75" customHeight="1">
      <c r="A367" s="50"/>
      <c r="B367" s="93"/>
      <c r="C367" s="93"/>
      <c r="D367" s="93"/>
      <c r="E367" s="93"/>
      <c r="F367" s="93"/>
      <c r="G367" s="93"/>
      <c r="H367" s="118"/>
      <c r="I367" s="93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24.75" customHeight="1">
      <c r="A368" s="50"/>
      <c r="B368" s="93"/>
      <c r="C368" s="93"/>
      <c r="D368" s="93"/>
      <c r="E368" s="93"/>
      <c r="F368" s="93"/>
      <c r="G368" s="93"/>
      <c r="H368" s="118"/>
      <c r="I368" s="93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24.75" customHeight="1">
      <c r="A369" s="50"/>
      <c r="B369" s="93"/>
      <c r="C369" s="93"/>
      <c r="D369" s="93"/>
      <c r="E369" s="93"/>
      <c r="F369" s="93"/>
      <c r="G369" s="93"/>
      <c r="H369" s="118"/>
      <c r="I369" s="93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24.75" customHeight="1">
      <c r="A370" s="50"/>
      <c r="B370" s="93"/>
      <c r="C370" s="93"/>
      <c r="D370" s="93"/>
      <c r="E370" s="93"/>
      <c r="F370" s="93"/>
      <c r="G370" s="93"/>
      <c r="H370" s="118"/>
      <c r="I370" s="93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24.75" customHeight="1">
      <c r="A371" s="50"/>
      <c r="B371" s="93"/>
      <c r="C371" s="93"/>
      <c r="D371" s="93"/>
      <c r="E371" s="93"/>
      <c r="F371" s="93"/>
      <c r="G371" s="93"/>
      <c r="H371" s="118"/>
      <c r="I371" s="93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24.75" customHeight="1">
      <c r="A372" s="50"/>
      <c r="B372" s="93"/>
      <c r="C372" s="93"/>
      <c r="D372" s="93"/>
      <c r="E372" s="93"/>
      <c r="F372" s="93"/>
      <c r="G372" s="93"/>
      <c r="H372" s="118"/>
      <c r="I372" s="93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24.75" customHeight="1">
      <c r="A373" s="50"/>
      <c r="B373" s="93"/>
      <c r="C373" s="93"/>
      <c r="D373" s="93"/>
      <c r="E373" s="93"/>
      <c r="F373" s="93"/>
      <c r="G373" s="93"/>
      <c r="H373" s="118"/>
      <c r="I373" s="93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24.75" customHeight="1">
      <c r="A374" s="50"/>
      <c r="B374" s="93"/>
      <c r="C374" s="93"/>
      <c r="D374" s="93"/>
      <c r="E374" s="93"/>
      <c r="F374" s="93"/>
      <c r="G374" s="93"/>
      <c r="H374" s="118"/>
      <c r="I374" s="93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24.75" customHeight="1">
      <c r="A375" s="50"/>
      <c r="B375" s="93"/>
      <c r="C375" s="93"/>
      <c r="D375" s="93"/>
      <c r="E375" s="93"/>
      <c r="F375" s="93"/>
      <c r="G375" s="93"/>
      <c r="H375" s="118"/>
      <c r="I375" s="93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24.75" customHeight="1">
      <c r="A376" s="50"/>
      <c r="B376" s="93"/>
      <c r="C376" s="93"/>
      <c r="D376" s="93"/>
      <c r="E376" s="93"/>
      <c r="F376" s="93"/>
      <c r="G376" s="93"/>
      <c r="H376" s="118"/>
      <c r="I376" s="93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24.75" customHeight="1">
      <c r="A377" s="50"/>
      <c r="B377" s="93"/>
      <c r="C377" s="93"/>
      <c r="D377" s="93"/>
      <c r="E377" s="93"/>
      <c r="F377" s="93"/>
      <c r="G377" s="93"/>
      <c r="H377" s="118"/>
      <c r="I377" s="93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24.75" customHeight="1">
      <c r="A378" s="50"/>
      <c r="B378" s="93"/>
      <c r="C378" s="93"/>
      <c r="D378" s="93"/>
      <c r="E378" s="93"/>
      <c r="F378" s="93"/>
      <c r="G378" s="93"/>
      <c r="H378" s="118"/>
      <c r="I378" s="93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24.75" customHeight="1">
      <c r="A379" s="50"/>
      <c r="B379" s="93"/>
      <c r="C379" s="93"/>
      <c r="D379" s="93"/>
      <c r="E379" s="93"/>
      <c r="F379" s="93"/>
      <c r="G379" s="93"/>
      <c r="H379" s="118"/>
      <c r="I379" s="93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24.75" customHeight="1">
      <c r="A380" s="50"/>
      <c r="B380" s="93"/>
      <c r="C380" s="93"/>
      <c r="D380" s="93"/>
      <c r="E380" s="93"/>
      <c r="F380" s="93"/>
      <c r="G380" s="93"/>
      <c r="H380" s="118"/>
      <c r="I380" s="93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24.75" customHeight="1">
      <c r="A381" s="50"/>
      <c r="B381" s="93"/>
      <c r="C381" s="93"/>
      <c r="D381" s="93"/>
      <c r="E381" s="93"/>
      <c r="F381" s="93"/>
      <c r="G381" s="93"/>
      <c r="H381" s="118"/>
      <c r="I381" s="93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24.75" customHeight="1">
      <c r="A382" s="50"/>
      <c r="B382" s="93"/>
      <c r="C382" s="93"/>
      <c r="D382" s="93"/>
      <c r="E382" s="93"/>
      <c r="F382" s="93"/>
      <c r="G382" s="93"/>
      <c r="H382" s="118"/>
      <c r="I382" s="93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24.75" customHeight="1">
      <c r="A383" s="50"/>
      <c r="B383" s="93"/>
      <c r="C383" s="93"/>
      <c r="D383" s="93"/>
      <c r="E383" s="93"/>
      <c r="F383" s="93"/>
      <c r="G383" s="93"/>
      <c r="H383" s="118"/>
      <c r="I383" s="93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24.75" customHeight="1">
      <c r="A384" s="50"/>
      <c r="B384" s="93"/>
      <c r="C384" s="93"/>
      <c r="D384" s="93"/>
      <c r="E384" s="93"/>
      <c r="F384" s="93"/>
      <c r="G384" s="93"/>
      <c r="H384" s="118"/>
      <c r="I384" s="93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24.75" customHeight="1">
      <c r="A385" s="50"/>
      <c r="B385" s="93"/>
      <c r="C385" s="93"/>
      <c r="D385" s="93"/>
      <c r="E385" s="93"/>
      <c r="F385" s="93"/>
      <c r="G385" s="93"/>
      <c r="H385" s="118"/>
      <c r="I385" s="93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24.75" customHeight="1">
      <c r="A386" s="50"/>
      <c r="B386" s="93"/>
      <c r="C386" s="93"/>
      <c r="D386" s="93"/>
      <c r="E386" s="93"/>
      <c r="F386" s="93"/>
      <c r="G386" s="93"/>
      <c r="H386" s="118"/>
      <c r="I386" s="93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24.75" customHeight="1">
      <c r="A387" s="50"/>
      <c r="B387" s="93"/>
      <c r="C387" s="93"/>
      <c r="D387" s="93"/>
      <c r="E387" s="93"/>
      <c r="F387" s="93"/>
      <c r="G387" s="93"/>
      <c r="H387" s="118"/>
      <c r="I387" s="93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24.75" customHeight="1">
      <c r="A388" s="50"/>
      <c r="B388" s="93"/>
      <c r="C388" s="93"/>
      <c r="D388" s="93"/>
      <c r="E388" s="93"/>
      <c r="F388" s="93"/>
      <c r="G388" s="93"/>
      <c r="H388" s="118"/>
      <c r="I388" s="93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24.75" customHeight="1">
      <c r="A389" s="50"/>
      <c r="B389" s="93"/>
      <c r="C389" s="93"/>
      <c r="D389" s="93"/>
      <c r="E389" s="93"/>
      <c r="F389" s="93"/>
      <c r="G389" s="93"/>
      <c r="H389" s="118"/>
      <c r="I389" s="93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24.75" customHeight="1">
      <c r="A390" s="50"/>
      <c r="B390" s="93"/>
      <c r="C390" s="93"/>
      <c r="D390" s="93"/>
      <c r="E390" s="93"/>
      <c r="F390" s="93"/>
      <c r="G390" s="93"/>
      <c r="H390" s="118"/>
      <c r="I390" s="93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24.75" customHeight="1">
      <c r="A391" s="50"/>
      <c r="B391" s="93"/>
      <c r="C391" s="93"/>
      <c r="D391" s="93"/>
      <c r="E391" s="93"/>
      <c r="F391" s="93"/>
      <c r="G391" s="93"/>
      <c r="H391" s="118"/>
      <c r="I391" s="93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24.75" customHeight="1">
      <c r="A392" s="50"/>
      <c r="B392" s="93"/>
      <c r="C392" s="93"/>
      <c r="D392" s="93"/>
      <c r="E392" s="93"/>
      <c r="F392" s="93"/>
      <c r="G392" s="93"/>
      <c r="H392" s="118"/>
      <c r="I392" s="93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24.75" customHeight="1">
      <c r="A393" s="50"/>
      <c r="B393" s="93"/>
      <c r="C393" s="93"/>
      <c r="D393" s="93"/>
      <c r="E393" s="93"/>
      <c r="F393" s="93"/>
      <c r="G393" s="93"/>
      <c r="H393" s="118"/>
      <c r="I393" s="93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24.75" customHeight="1">
      <c r="A394" s="50"/>
      <c r="B394" s="93"/>
      <c r="C394" s="93"/>
      <c r="D394" s="93"/>
      <c r="E394" s="93"/>
      <c r="F394" s="93"/>
      <c r="G394" s="93"/>
      <c r="H394" s="118"/>
      <c r="I394" s="93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24.75" customHeight="1">
      <c r="A395" s="50"/>
      <c r="B395" s="93"/>
      <c r="C395" s="93"/>
      <c r="D395" s="93"/>
      <c r="E395" s="93"/>
      <c r="F395" s="93"/>
      <c r="G395" s="93"/>
      <c r="H395" s="118"/>
      <c r="I395" s="93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24.75" customHeight="1">
      <c r="A396" s="50"/>
      <c r="B396" s="93"/>
      <c r="C396" s="93"/>
      <c r="D396" s="93"/>
      <c r="E396" s="93"/>
      <c r="F396" s="93"/>
      <c r="G396" s="93"/>
      <c r="H396" s="118"/>
      <c r="I396" s="93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24.75" customHeight="1">
      <c r="A397" s="50"/>
      <c r="B397" s="93"/>
      <c r="C397" s="93"/>
      <c r="D397" s="93"/>
      <c r="E397" s="93"/>
      <c r="F397" s="93"/>
      <c r="G397" s="93"/>
      <c r="H397" s="118"/>
      <c r="I397" s="93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24.75" customHeight="1">
      <c r="A398" s="50"/>
      <c r="B398" s="93"/>
      <c r="C398" s="93"/>
      <c r="D398" s="93"/>
      <c r="E398" s="93"/>
      <c r="F398" s="93"/>
      <c r="G398" s="93"/>
      <c r="H398" s="118"/>
      <c r="I398" s="93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24.75" customHeight="1">
      <c r="A399" s="50"/>
      <c r="B399" s="93"/>
      <c r="C399" s="93"/>
      <c r="D399" s="93"/>
      <c r="E399" s="93"/>
      <c r="F399" s="93"/>
      <c r="G399" s="93"/>
      <c r="H399" s="118"/>
      <c r="I399" s="93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24.75" customHeight="1">
      <c r="A400" s="50"/>
      <c r="B400" s="93"/>
      <c r="C400" s="93"/>
      <c r="D400" s="93"/>
      <c r="E400" s="93"/>
      <c r="F400" s="93"/>
      <c r="G400" s="93"/>
      <c r="H400" s="118"/>
      <c r="I400" s="93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24.75" customHeight="1">
      <c r="A401" s="50"/>
      <c r="B401" s="93"/>
      <c r="C401" s="93"/>
      <c r="D401" s="93"/>
      <c r="E401" s="93"/>
      <c r="F401" s="93"/>
      <c r="G401" s="93"/>
      <c r="H401" s="118"/>
      <c r="I401" s="93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24.75" customHeight="1">
      <c r="A402" s="50"/>
      <c r="B402" s="93"/>
      <c r="C402" s="93"/>
      <c r="D402" s="93"/>
      <c r="E402" s="93"/>
      <c r="F402" s="93"/>
      <c r="G402" s="93"/>
      <c r="H402" s="118"/>
      <c r="I402" s="93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24.75" customHeight="1">
      <c r="A403" s="50"/>
      <c r="B403" s="93"/>
      <c r="C403" s="93"/>
      <c r="D403" s="93"/>
      <c r="E403" s="93"/>
      <c r="F403" s="93"/>
      <c r="G403" s="93"/>
      <c r="H403" s="118"/>
      <c r="I403" s="93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24.75" customHeight="1">
      <c r="A404" s="50"/>
      <c r="B404" s="93"/>
      <c r="C404" s="93"/>
      <c r="D404" s="93"/>
      <c r="E404" s="93"/>
      <c r="F404" s="93"/>
      <c r="G404" s="93"/>
      <c r="H404" s="118"/>
      <c r="I404" s="93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24.75" customHeight="1">
      <c r="A405" s="50"/>
      <c r="B405" s="93"/>
      <c r="C405" s="93"/>
      <c r="D405" s="93"/>
      <c r="E405" s="93"/>
      <c r="F405" s="93"/>
      <c r="G405" s="93"/>
      <c r="H405" s="118"/>
      <c r="I405" s="93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24.75" customHeight="1">
      <c r="A406" s="50"/>
      <c r="B406" s="93"/>
      <c r="C406" s="93"/>
      <c r="D406" s="93"/>
      <c r="E406" s="93"/>
      <c r="F406" s="93"/>
      <c r="G406" s="93"/>
      <c r="H406" s="118"/>
      <c r="I406" s="93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24.75" customHeight="1">
      <c r="A407" s="50"/>
      <c r="B407" s="93"/>
      <c r="C407" s="93"/>
      <c r="D407" s="93"/>
      <c r="E407" s="93"/>
      <c r="F407" s="93"/>
      <c r="G407" s="93"/>
      <c r="H407" s="118"/>
      <c r="I407" s="93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24.75" customHeight="1">
      <c r="A408" s="50"/>
      <c r="B408" s="93"/>
      <c r="C408" s="93"/>
      <c r="D408" s="93"/>
      <c r="E408" s="93"/>
      <c r="F408" s="93"/>
      <c r="G408" s="93"/>
      <c r="H408" s="118"/>
      <c r="I408" s="93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24.75" customHeight="1">
      <c r="A409" s="50"/>
      <c r="B409" s="93"/>
      <c r="C409" s="93"/>
      <c r="D409" s="93"/>
      <c r="E409" s="93"/>
      <c r="F409" s="93"/>
      <c r="G409" s="93"/>
      <c r="H409" s="118"/>
      <c r="I409" s="93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24.75" customHeight="1">
      <c r="A410" s="50"/>
      <c r="B410" s="93"/>
      <c r="C410" s="93"/>
      <c r="D410" s="93"/>
      <c r="E410" s="93"/>
      <c r="F410" s="93"/>
      <c r="G410" s="93"/>
      <c r="H410" s="118"/>
      <c r="I410" s="93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24.75" customHeight="1">
      <c r="A411" s="50"/>
      <c r="B411" s="93"/>
      <c r="C411" s="93"/>
      <c r="D411" s="93"/>
      <c r="E411" s="93"/>
      <c r="F411" s="93"/>
      <c r="G411" s="93"/>
      <c r="H411" s="118"/>
      <c r="I411" s="93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24.75" customHeight="1">
      <c r="A412" s="50"/>
      <c r="B412" s="93"/>
      <c r="C412" s="93"/>
      <c r="D412" s="93"/>
      <c r="E412" s="93"/>
      <c r="F412" s="93"/>
      <c r="G412" s="93"/>
      <c r="H412" s="118"/>
      <c r="I412" s="93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24.75" customHeight="1">
      <c r="A413" s="50"/>
      <c r="B413" s="93"/>
      <c r="C413" s="93"/>
      <c r="D413" s="93"/>
      <c r="E413" s="93"/>
      <c r="F413" s="93"/>
      <c r="G413" s="93"/>
      <c r="H413" s="118"/>
      <c r="I413" s="93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24.75" customHeight="1">
      <c r="A414" s="50"/>
      <c r="B414" s="93"/>
      <c r="C414" s="93"/>
      <c r="D414" s="93"/>
      <c r="E414" s="93"/>
      <c r="F414" s="93"/>
      <c r="G414" s="93"/>
      <c r="H414" s="118"/>
      <c r="I414" s="93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24.75" customHeight="1">
      <c r="A415" s="50"/>
      <c r="B415" s="93"/>
      <c r="C415" s="93"/>
      <c r="D415" s="93"/>
      <c r="E415" s="93"/>
      <c r="F415" s="93"/>
      <c r="G415" s="93"/>
      <c r="H415" s="118"/>
      <c r="I415" s="93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24.75" customHeight="1">
      <c r="A416" s="50"/>
      <c r="B416" s="93"/>
      <c r="C416" s="93"/>
      <c r="D416" s="93"/>
      <c r="E416" s="93"/>
      <c r="F416" s="93"/>
      <c r="G416" s="93"/>
      <c r="H416" s="118"/>
      <c r="I416" s="93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24.75" customHeight="1">
      <c r="A417" s="50"/>
      <c r="B417" s="93"/>
      <c r="C417" s="93"/>
      <c r="D417" s="93"/>
      <c r="E417" s="93"/>
      <c r="F417" s="93"/>
      <c r="G417" s="93"/>
      <c r="H417" s="118"/>
      <c r="I417" s="93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24.75" customHeight="1">
      <c r="A418" s="50"/>
      <c r="B418" s="93"/>
      <c r="C418" s="93"/>
      <c r="D418" s="93"/>
      <c r="E418" s="93"/>
      <c r="F418" s="93"/>
      <c r="G418" s="93"/>
      <c r="H418" s="118"/>
      <c r="I418" s="93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24.75" customHeight="1">
      <c r="A419" s="50"/>
      <c r="B419" s="93"/>
      <c r="C419" s="93"/>
      <c r="D419" s="93"/>
      <c r="E419" s="93"/>
      <c r="F419" s="93"/>
      <c r="G419" s="93"/>
      <c r="H419" s="118"/>
      <c r="I419" s="9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24.75" customHeight="1">
      <c r="A420" s="50"/>
      <c r="B420" s="93"/>
      <c r="C420" s="93"/>
      <c r="D420" s="93"/>
      <c r="E420" s="93"/>
      <c r="F420" s="93"/>
      <c r="G420" s="93"/>
      <c r="H420" s="118"/>
      <c r="I420" s="9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24.75" customHeight="1">
      <c r="A421" s="50"/>
      <c r="B421" s="93"/>
      <c r="C421" s="93"/>
      <c r="D421" s="93"/>
      <c r="E421" s="93"/>
      <c r="F421" s="93"/>
      <c r="G421" s="93"/>
      <c r="H421" s="118"/>
      <c r="I421" s="9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24.75" customHeight="1">
      <c r="A422" s="50"/>
      <c r="B422" s="93"/>
      <c r="C422" s="93"/>
      <c r="D422" s="93"/>
      <c r="E422" s="93"/>
      <c r="F422" s="93"/>
      <c r="G422" s="93"/>
      <c r="H422" s="118"/>
      <c r="I422" s="9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24.75" customHeight="1">
      <c r="A423" s="50"/>
      <c r="B423" s="93"/>
      <c r="C423" s="93"/>
      <c r="D423" s="93"/>
      <c r="E423" s="93"/>
      <c r="F423" s="93"/>
      <c r="G423" s="93"/>
      <c r="H423" s="118"/>
      <c r="I423" s="9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24.75" customHeight="1">
      <c r="A424" s="50"/>
      <c r="B424" s="93"/>
      <c r="C424" s="93"/>
      <c r="D424" s="93"/>
      <c r="E424" s="93"/>
      <c r="F424" s="93"/>
      <c r="G424" s="93"/>
      <c r="H424" s="118"/>
      <c r="I424" s="9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24.75" customHeight="1">
      <c r="A425" s="50"/>
      <c r="B425" s="93"/>
      <c r="C425" s="93"/>
      <c r="D425" s="93"/>
      <c r="E425" s="93"/>
      <c r="F425" s="93"/>
      <c r="G425" s="93"/>
      <c r="H425" s="118"/>
      <c r="I425" s="9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24.75" customHeight="1">
      <c r="A426" s="50"/>
      <c r="B426" s="93"/>
      <c r="C426" s="93"/>
      <c r="D426" s="93"/>
      <c r="E426" s="93"/>
      <c r="F426" s="93"/>
      <c r="G426" s="93"/>
      <c r="H426" s="118"/>
      <c r="I426" s="9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24.75" customHeight="1">
      <c r="A427" s="50"/>
      <c r="B427" s="93"/>
      <c r="C427" s="93"/>
      <c r="D427" s="93"/>
      <c r="E427" s="93"/>
      <c r="F427" s="93"/>
      <c r="G427" s="93"/>
      <c r="H427" s="118"/>
      <c r="I427" s="9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24.75" customHeight="1">
      <c r="A428" s="50"/>
      <c r="B428" s="93"/>
      <c r="C428" s="93"/>
      <c r="D428" s="93"/>
      <c r="E428" s="93"/>
      <c r="F428" s="93"/>
      <c r="G428" s="93"/>
      <c r="H428" s="118"/>
      <c r="I428" s="9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24.75" customHeight="1">
      <c r="A429" s="50"/>
      <c r="B429" s="93"/>
      <c r="C429" s="93"/>
      <c r="D429" s="93"/>
      <c r="E429" s="93"/>
      <c r="F429" s="93"/>
      <c r="G429" s="93"/>
      <c r="H429" s="118"/>
      <c r="I429" s="9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24.75" customHeight="1">
      <c r="A430" s="50"/>
      <c r="B430" s="93"/>
      <c r="C430" s="93"/>
      <c r="D430" s="93"/>
      <c r="E430" s="93"/>
      <c r="F430" s="93"/>
      <c r="G430" s="93"/>
      <c r="H430" s="118"/>
      <c r="I430" s="9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24.75" customHeight="1">
      <c r="A431" s="50"/>
      <c r="B431" s="93"/>
      <c r="C431" s="93"/>
      <c r="D431" s="93"/>
      <c r="E431" s="93"/>
      <c r="F431" s="93"/>
      <c r="G431" s="93"/>
      <c r="H431" s="118"/>
      <c r="I431" s="9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24.75" customHeight="1">
      <c r="A432" s="50"/>
      <c r="B432" s="93"/>
      <c r="C432" s="93"/>
      <c r="D432" s="93"/>
      <c r="E432" s="93"/>
      <c r="F432" s="93"/>
      <c r="G432" s="93"/>
      <c r="H432" s="118"/>
      <c r="I432" s="9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24.75" customHeight="1">
      <c r="A433" s="50"/>
      <c r="B433" s="93"/>
      <c r="C433" s="93"/>
      <c r="D433" s="93"/>
      <c r="E433" s="93"/>
      <c r="F433" s="93"/>
      <c r="G433" s="93"/>
      <c r="H433" s="118"/>
      <c r="I433" s="9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24.75" customHeight="1">
      <c r="A434" s="50"/>
      <c r="B434" s="93"/>
      <c r="C434" s="93"/>
      <c r="D434" s="93"/>
      <c r="E434" s="93"/>
      <c r="F434" s="93"/>
      <c r="G434" s="93"/>
      <c r="H434" s="118"/>
      <c r="I434" s="9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24.75" customHeight="1">
      <c r="A435" s="50"/>
      <c r="B435" s="93"/>
      <c r="C435" s="93"/>
      <c r="D435" s="93"/>
      <c r="E435" s="93"/>
      <c r="F435" s="93"/>
      <c r="G435" s="93"/>
      <c r="H435" s="118"/>
      <c r="I435" s="9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24.75" customHeight="1">
      <c r="A436" s="50"/>
      <c r="B436" s="93"/>
      <c r="C436" s="93"/>
      <c r="D436" s="93"/>
      <c r="E436" s="93"/>
      <c r="F436" s="93"/>
      <c r="G436" s="93"/>
      <c r="H436" s="118"/>
      <c r="I436" s="9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24.75" customHeight="1">
      <c r="A437" s="50"/>
      <c r="B437" s="93"/>
      <c r="C437" s="93"/>
      <c r="D437" s="93"/>
      <c r="E437" s="93"/>
      <c r="F437" s="93"/>
      <c r="G437" s="93"/>
      <c r="H437" s="118"/>
      <c r="I437" s="9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24.75" customHeight="1">
      <c r="A438" s="50"/>
      <c r="B438" s="93"/>
      <c r="C438" s="93"/>
      <c r="D438" s="93"/>
      <c r="E438" s="93"/>
      <c r="F438" s="93"/>
      <c r="G438" s="93"/>
      <c r="H438" s="118"/>
      <c r="I438" s="9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24.75" customHeight="1">
      <c r="A439" s="50"/>
      <c r="B439" s="93"/>
      <c r="C439" s="93"/>
      <c r="D439" s="93"/>
      <c r="E439" s="93"/>
      <c r="F439" s="93"/>
      <c r="G439" s="93"/>
      <c r="H439" s="118"/>
      <c r="I439" s="9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24.75" customHeight="1">
      <c r="A440" s="50"/>
      <c r="B440" s="93"/>
      <c r="C440" s="93"/>
      <c r="D440" s="93"/>
      <c r="E440" s="93"/>
      <c r="F440" s="93"/>
      <c r="G440" s="93"/>
      <c r="H440" s="118"/>
      <c r="I440" s="9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24.75" customHeight="1">
      <c r="A441" s="50"/>
      <c r="B441" s="93"/>
      <c r="C441" s="93"/>
      <c r="D441" s="93"/>
      <c r="E441" s="93"/>
      <c r="F441" s="93"/>
      <c r="G441" s="93"/>
      <c r="H441" s="118"/>
      <c r="I441" s="9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24.75" customHeight="1">
      <c r="A442" s="50"/>
      <c r="B442" s="93"/>
      <c r="C442" s="93"/>
      <c r="D442" s="93"/>
      <c r="E442" s="93"/>
      <c r="F442" s="93"/>
      <c r="G442" s="93"/>
      <c r="H442" s="118"/>
      <c r="I442" s="9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24.75" customHeight="1">
      <c r="A443" s="50"/>
      <c r="B443" s="93"/>
      <c r="C443" s="93"/>
      <c r="D443" s="93"/>
      <c r="E443" s="93"/>
      <c r="F443" s="93"/>
      <c r="G443" s="93"/>
      <c r="H443" s="118"/>
      <c r="I443" s="9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24.75" customHeight="1">
      <c r="A444" s="50"/>
      <c r="B444" s="93"/>
      <c r="C444" s="93"/>
      <c r="D444" s="93"/>
      <c r="E444" s="93"/>
      <c r="F444" s="93"/>
      <c r="G444" s="93"/>
      <c r="H444" s="118"/>
      <c r="I444" s="9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24.75" customHeight="1">
      <c r="A445" s="50"/>
      <c r="B445" s="93"/>
      <c r="C445" s="93"/>
      <c r="D445" s="93"/>
      <c r="E445" s="93"/>
      <c r="F445" s="93"/>
      <c r="G445" s="93"/>
      <c r="H445" s="118"/>
      <c r="I445" s="9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24.75" customHeight="1">
      <c r="A446" s="50"/>
      <c r="B446" s="93"/>
      <c r="C446" s="93"/>
      <c r="D446" s="93"/>
      <c r="E446" s="93"/>
      <c r="F446" s="93"/>
      <c r="G446" s="93"/>
      <c r="H446" s="118"/>
      <c r="I446" s="9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24.75" customHeight="1">
      <c r="A447" s="50"/>
      <c r="B447" s="93"/>
      <c r="C447" s="93"/>
      <c r="D447" s="93"/>
      <c r="E447" s="93"/>
      <c r="F447" s="93"/>
      <c r="G447" s="93"/>
      <c r="H447" s="118"/>
      <c r="I447" s="9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24.75" customHeight="1">
      <c r="A448" s="50"/>
      <c r="B448" s="93"/>
      <c r="C448" s="93"/>
      <c r="D448" s="93"/>
      <c r="E448" s="93"/>
      <c r="F448" s="93"/>
      <c r="G448" s="93"/>
      <c r="H448" s="118"/>
      <c r="I448" s="9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24.75" customHeight="1">
      <c r="A449" s="50"/>
      <c r="B449" s="93"/>
      <c r="C449" s="93"/>
      <c r="D449" s="93"/>
      <c r="E449" s="93"/>
      <c r="F449" s="93"/>
      <c r="G449" s="93"/>
      <c r="H449" s="118"/>
      <c r="I449" s="9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24.75" customHeight="1">
      <c r="A450" s="50"/>
      <c r="B450" s="93"/>
      <c r="C450" s="93"/>
      <c r="D450" s="93"/>
      <c r="E450" s="93"/>
      <c r="F450" s="93"/>
      <c r="G450" s="93"/>
      <c r="H450" s="118"/>
      <c r="I450" s="9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24.75" customHeight="1">
      <c r="A451" s="50"/>
      <c r="B451" s="93"/>
      <c r="C451" s="93"/>
      <c r="D451" s="93"/>
      <c r="E451" s="93"/>
      <c r="F451" s="93"/>
      <c r="G451" s="93"/>
      <c r="H451" s="118"/>
      <c r="I451" s="9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24.75" customHeight="1">
      <c r="A452" s="50"/>
      <c r="B452" s="93"/>
      <c r="C452" s="93"/>
      <c r="D452" s="93"/>
      <c r="E452" s="93"/>
      <c r="F452" s="93"/>
      <c r="G452" s="93"/>
      <c r="H452" s="118"/>
      <c r="I452" s="9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24.75" customHeight="1">
      <c r="A453" s="50"/>
      <c r="B453" s="93"/>
      <c r="C453" s="93"/>
      <c r="D453" s="93"/>
      <c r="E453" s="93"/>
      <c r="F453" s="93"/>
      <c r="G453" s="93"/>
      <c r="H453" s="118"/>
      <c r="I453" s="9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24.75" customHeight="1">
      <c r="A454" s="50"/>
      <c r="B454" s="93"/>
      <c r="C454" s="93"/>
      <c r="D454" s="93"/>
      <c r="E454" s="93"/>
      <c r="F454" s="93"/>
      <c r="G454" s="93"/>
      <c r="H454" s="118"/>
      <c r="I454" s="9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24.75" customHeight="1">
      <c r="A455" s="50"/>
      <c r="B455" s="93"/>
      <c r="C455" s="93"/>
      <c r="D455" s="93"/>
      <c r="E455" s="93"/>
      <c r="F455" s="93"/>
      <c r="G455" s="93"/>
      <c r="H455" s="118"/>
      <c r="I455" s="9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24.75" customHeight="1">
      <c r="A456" s="50"/>
      <c r="B456" s="93"/>
      <c r="C456" s="93"/>
      <c r="D456" s="93"/>
      <c r="E456" s="93"/>
      <c r="F456" s="93"/>
      <c r="G456" s="93"/>
      <c r="H456" s="118"/>
      <c r="I456" s="9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24.75" customHeight="1">
      <c r="A457" s="50"/>
      <c r="B457" s="93"/>
      <c r="C457" s="93"/>
      <c r="D457" s="93"/>
      <c r="E457" s="93"/>
      <c r="F457" s="93"/>
      <c r="G457" s="93"/>
      <c r="H457" s="118"/>
      <c r="I457" s="9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24.75" customHeight="1">
      <c r="A458" s="50"/>
      <c r="B458" s="93"/>
      <c r="C458" s="93"/>
      <c r="D458" s="93"/>
      <c r="E458" s="93"/>
      <c r="F458" s="93"/>
      <c r="G458" s="93"/>
      <c r="H458" s="118"/>
      <c r="I458" s="9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24.75" customHeight="1">
      <c r="A459" s="50"/>
      <c r="B459" s="93"/>
      <c r="C459" s="93"/>
      <c r="D459" s="93"/>
      <c r="E459" s="93"/>
      <c r="F459" s="93"/>
      <c r="G459" s="93"/>
      <c r="H459" s="118"/>
      <c r="I459" s="9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24.75" customHeight="1">
      <c r="A460" s="50"/>
      <c r="B460" s="93"/>
      <c r="C460" s="93"/>
      <c r="D460" s="93"/>
      <c r="E460" s="93"/>
      <c r="F460" s="93"/>
      <c r="G460" s="93"/>
      <c r="H460" s="118"/>
      <c r="I460" s="9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24.75" customHeight="1">
      <c r="A461" s="50"/>
      <c r="B461" s="93"/>
      <c r="C461" s="93"/>
      <c r="D461" s="93"/>
      <c r="E461" s="93"/>
      <c r="F461" s="93"/>
      <c r="G461" s="93"/>
      <c r="H461" s="118"/>
      <c r="I461" s="9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24.75" customHeight="1">
      <c r="A462" s="50"/>
      <c r="B462" s="93"/>
      <c r="C462" s="93"/>
      <c r="D462" s="93"/>
      <c r="E462" s="93"/>
      <c r="F462" s="93"/>
      <c r="G462" s="93"/>
      <c r="H462" s="118"/>
      <c r="I462" s="9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24.75" customHeight="1">
      <c r="A463" s="50"/>
      <c r="B463" s="93"/>
      <c r="C463" s="93"/>
      <c r="D463" s="93"/>
      <c r="E463" s="93"/>
      <c r="F463" s="93"/>
      <c r="G463" s="93"/>
      <c r="H463" s="118"/>
      <c r="I463" s="9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24.75" customHeight="1">
      <c r="A464" s="50"/>
      <c r="B464" s="93"/>
      <c r="C464" s="93"/>
      <c r="D464" s="93"/>
      <c r="E464" s="93"/>
      <c r="F464" s="93"/>
      <c r="G464" s="93"/>
      <c r="H464" s="118"/>
      <c r="I464" s="9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24.75" customHeight="1">
      <c r="A465" s="50"/>
      <c r="B465" s="93"/>
      <c r="C465" s="93"/>
      <c r="D465" s="93"/>
      <c r="E465" s="93"/>
      <c r="F465" s="93"/>
      <c r="G465" s="93"/>
      <c r="H465" s="118"/>
      <c r="I465" s="9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24.75" customHeight="1">
      <c r="A466" s="50"/>
      <c r="B466" s="93"/>
      <c r="C466" s="93"/>
      <c r="D466" s="93"/>
      <c r="E466" s="93"/>
      <c r="F466" s="93"/>
      <c r="G466" s="93"/>
      <c r="H466" s="118"/>
      <c r="I466" s="9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24.75" customHeight="1">
      <c r="A467" s="50"/>
      <c r="B467" s="93"/>
      <c r="C467" s="93"/>
      <c r="D467" s="93"/>
      <c r="E467" s="93"/>
      <c r="F467" s="93"/>
      <c r="G467" s="93"/>
      <c r="H467" s="118"/>
      <c r="I467" s="9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24.75" customHeight="1">
      <c r="A468" s="50"/>
      <c r="B468" s="93"/>
      <c r="C468" s="93"/>
      <c r="D468" s="93"/>
      <c r="E468" s="93"/>
      <c r="F468" s="93"/>
      <c r="G468" s="93"/>
      <c r="H468" s="118"/>
      <c r="I468" s="9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24.75" customHeight="1">
      <c r="A469" s="50"/>
      <c r="B469" s="93"/>
      <c r="C469" s="93"/>
      <c r="D469" s="93"/>
      <c r="E469" s="93"/>
      <c r="F469" s="93"/>
      <c r="G469" s="93"/>
      <c r="H469" s="118"/>
      <c r="I469" s="9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24.75" customHeight="1">
      <c r="A470" s="50"/>
      <c r="B470" s="93"/>
      <c r="C470" s="93"/>
      <c r="D470" s="93"/>
      <c r="E470" s="93"/>
      <c r="F470" s="93"/>
      <c r="G470" s="93"/>
      <c r="H470" s="118"/>
      <c r="I470" s="9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24.75" customHeight="1">
      <c r="A471" s="50"/>
      <c r="B471" s="93"/>
      <c r="C471" s="93"/>
      <c r="D471" s="93"/>
      <c r="E471" s="93"/>
      <c r="F471" s="93"/>
      <c r="G471" s="93"/>
      <c r="H471" s="118"/>
      <c r="I471" s="9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24.75" customHeight="1">
      <c r="A472" s="50"/>
      <c r="B472" s="93"/>
      <c r="C472" s="93"/>
      <c r="D472" s="93"/>
      <c r="E472" s="93"/>
      <c r="F472" s="93"/>
      <c r="G472" s="93"/>
      <c r="H472" s="118"/>
      <c r="I472" s="9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24.75" customHeight="1">
      <c r="A473" s="50"/>
      <c r="B473" s="93"/>
      <c r="C473" s="93"/>
      <c r="D473" s="93"/>
      <c r="E473" s="93"/>
      <c r="F473" s="93"/>
      <c r="G473" s="93"/>
      <c r="H473" s="118"/>
      <c r="I473" s="9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24.75" customHeight="1">
      <c r="A474" s="50"/>
      <c r="B474" s="93"/>
      <c r="C474" s="93"/>
      <c r="D474" s="93"/>
      <c r="E474" s="93"/>
      <c r="F474" s="93"/>
      <c r="G474" s="93"/>
      <c r="H474" s="118"/>
      <c r="I474" s="9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24.75" customHeight="1">
      <c r="A475" s="50"/>
      <c r="B475" s="93"/>
      <c r="C475" s="93"/>
      <c r="D475" s="93"/>
      <c r="E475" s="93"/>
      <c r="F475" s="93"/>
      <c r="G475" s="93"/>
      <c r="H475" s="118"/>
      <c r="I475" s="9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24.75" customHeight="1">
      <c r="A476" s="50"/>
      <c r="B476" s="93"/>
      <c r="C476" s="93"/>
      <c r="D476" s="93"/>
      <c r="E476" s="93"/>
      <c r="F476" s="93"/>
      <c r="G476" s="93"/>
      <c r="H476" s="118"/>
      <c r="I476" s="9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24.75" customHeight="1">
      <c r="A477" s="50"/>
      <c r="B477" s="93"/>
      <c r="C477" s="93"/>
      <c r="D477" s="93"/>
      <c r="E477" s="93"/>
      <c r="F477" s="93"/>
      <c r="G477" s="93"/>
      <c r="H477" s="118"/>
      <c r="I477" s="9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24.75" customHeight="1">
      <c r="A478" s="50"/>
      <c r="B478" s="93"/>
      <c r="C478" s="93"/>
      <c r="D478" s="93"/>
      <c r="E478" s="93"/>
      <c r="F478" s="93"/>
      <c r="G478" s="93"/>
      <c r="H478" s="118"/>
      <c r="I478" s="9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24.75" customHeight="1">
      <c r="A479" s="50"/>
      <c r="B479" s="93"/>
      <c r="C479" s="93"/>
      <c r="D479" s="93"/>
      <c r="E479" s="93"/>
      <c r="F479" s="93"/>
      <c r="G479" s="93"/>
      <c r="H479" s="118"/>
      <c r="I479" s="9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24.75" customHeight="1">
      <c r="A480" s="50"/>
      <c r="B480" s="93"/>
      <c r="C480" s="93"/>
      <c r="D480" s="93"/>
      <c r="E480" s="93"/>
      <c r="F480" s="93"/>
      <c r="G480" s="93"/>
      <c r="H480" s="118"/>
      <c r="I480" s="9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24.75" customHeight="1">
      <c r="A481" s="50"/>
      <c r="B481" s="93"/>
      <c r="C481" s="93"/>
      <c r="D481" s="93"/>
      <c r="E481" s="93"/>
      <c r="F481" s="93"/>
      <c r="G481" s="93"/>
      <c r="H481" s="118"/>
      <c r="I481" s="9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24.75" customHeight="1">
      <c r="A482" s="50"/>
      <c r="B482" s="93"/>
      <c r="C482" s="93"/>
      <c r="D482" s="93"/>
      <c r="E482" s="93"/>
      <c r="F482" s="93"/>
      <c r="G482" s="93"/>
      <c r="H482" s="118"/>
      <c r="I482" s="9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24.75" customHeight="1">
      <c r="A483" s="50"/>
      <c r="B483" s="93"/>
      <c r="C483" s="93"/>
      <c r="D483" s="93"/>
      <c r="E483" s="93"/>
      <c r="F483" s="93"/>
      <c r="G483" s="93"/>
      <c r="H483" s="118"/>
      <c r="I483" s="9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24.75" customHeight="1">
      <c r="A484" s="50"/>
      <c r="B484" s="93"/>
      <c r="C484" s="93"/>
      <c r="D484" s="93"/>
      <c r="E484" s="93"/>
      <c r="F484" s="93"/>
      <c r="G484" s="93"/>
      <c r="H484" s="118"/>
      <c r="I484" s="9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24.75" customHeight="1">
      <c r="A485" s="50"/>
      <c r="B485" s="93"/>
      <c r="C485" s="93"/>
      <c r="D485" s="93"/>
      <c r="E485" s="93"/>
      <c r="F485" s="93"/>
      <c r="G485" s="93"/>
      <c r="H485" s="118"/>
      <c r="I485" s="9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24.75" customHeight="1">
      <c r="A486" s="50"/>
      <c r="B486" s="93"/>
      <c r="C486" s="93"/>
      <c r="D486" s="93"/>
      <c r="E486" s="93"/>
      <c r="F486" s="93"/>
      <c r="G486" s="93"/>
      <c r="H486" s="118"/>
      <c r="I486" s="9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24.75" customHeight="1">
      <c r="A487" s="50"/>
      <c r="B487" s="93"/>
      <c r="C487" s="93"/>
      <c r="D487" s="93"/>
      <c r="E487" s="93"/>
      <c r="F487" s="93"/>
      <c r="G487" s="93"/>
      <c r="H487" s="118"/>
      <c r="I487" s="9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24.75" customHeight="1">
      <c r="A488" s="50"/>
      <c r="B488" s="93"/>
      <c r="C488" s="93"/>
      <c r="D488" s="93"/>
      <c r="E488" s="93"/>
      <c r="F488" s="93"/>
      <c r="G488" s="93"/>
      <c r="H488" s="118"/>
      <c r="I488" s="9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24.75" customHeight="1">
      <c r="A489" s="50"/>
      <c r="B489" s="93"/>
      <c r="C489" s="93"/>
      <c r="D489" s="93"/>
      <c r="E489" s="93"/>
      <c r="F489" s="93"/>
      <c r="G489" s="93"/>
      <c r="H489" s="118"/>
      <c r="I489" s="9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24.75" customHeight="1">
      <c r="A490" s="50"/>
      <c r="B490" s="93"/>
      <c r="C490" s="93"/>
      <c r="D490" s="93"/>
      <c r="E490" s="93"/>
      <c r="F490" s="93"/>
      <c r="G490" s="93"/>
      <c r="H490" s="118"/>
      <c r="I490" s="9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24.75" customHeight="1">
      <c r="A491" s="50"/>
      <c r="B491" s="93"/>
      <c r="C491" s="93"/>
      <c r="D491" s="93"/>
      <c r="E491" s="93"/>
      <c r="F491" s="93"/>
      <c r="G491" s="93"/>
      <c r="H491" s="118"/>
      <c r="I491" s="9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24.75" customHeight="1">
      <c r="A492" s="50"/>
      <c r="B492" s="93"/>
      <c r="C492" s="93"/>
      <c r="D492" s="93"/>
      <c r="E492" s="93"/>
      <c r="F492" s="93"/>
      <c r="G492" s="93"/>
      <c r="H492" s="118"/>
      <c r="I492" s="9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24.75" customHeight="1">
      <c r="A493" s="50"/>
      <c r="B493" s="93"/>
      <c r="C493" s="93"/>
      <c r="D493" s="93"/>
      <c r="E493" s="93"/>
      <c r="F493" s="93"/>
      <c r="G493" s="93"/>
      <c r="H493" s="118"/>
      <c r="I493" s="9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24.75" customHeight="1">
      <c r="A494" s="50"/>
      <c r="B494" s="93"/>
      <c r="C494" s="93"/>
      <c r="D494" s="93"/>
      <c r="E494" s="93"/>
      <c r="F494" s="93"/>
      <c r="G494" s="93"/>
      <c r="H494" s="118"/>
      <c r="I494" s="9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24.75" customHeight="1">
      <c r="A495" s="50"/>
      <c r="B495" s="93"/>
      <c r="C495" s="93"/>
      <c r="D495" s="93"/>
      <c r="E495" s="93"/>
      <c r="F495" s="93"/>
      <c r="G495" s="93"/>
      <c r="H495" s="118"/>
      <c r="I495" s="9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24.75" customHeight="1">
      <c r="A496" s="50"/>
      <c r="B496" s="93"/>
      <c r="C496" s="93"/>
      <c r="D496" s="93"/>
      <c r="E496" s="93"/>
      <c r="F496" s="93"/>
      <c r="G496" s="93"/>
      <c r="H496" s="118"/>
      <c r="I496" s="9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24.75" customHeight="1">
      <c r="A497" s="50"/>
      <c r="B497" s="93"/>
      <c r="C497" s="93"/>
      <c r="D497" s="93"/>
      <c r="E497" s="93"/>
      <c r="F497" s="93"/>
      <c r="G497" s="93"/>
      <c r="H497" s="118"/>
      <c r="I497" s="9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24.75" customHeight="1">
      <c r="A498" s="50"/>
      <c r="B498" s="93"/>
      <c r="C498" s="93"/>
      <c r="D498" s="93"/>
      <c r="E498" s="93"/>
      <c r="F498" s="93"/>
      <c r="G498" s="93"/>
      <c r="H498" s="118"/>
      <c r="I498" s="9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24.75" customHeight="1">
      <c r="A499" s="50"/>
      <c r="B499" s="93"/>
      <c r="C499" s="93"/>
      <c r="D499" s="93"/>
      <c r="E499" s="93"/>
      <c r="F499" s="93"/>
      <c r="G499" s="93"/>
      <c r="H499" s="118"/>
      <c r="I499" s="9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24.75" customHeight="1">
      <c r="A500" s="50"/>
      <c r="B500" s="93"/>
      <c r="C500" s="93"/>
      <c r="D500" s="93"/>
      <c r="E500" s="93"/>
      <c r="F500" s="93"/>
      <c r="G500" s="93"/>
      <c r="H500" s="118"/>
      <c r="I500" s="9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24.75" customHeight="1">
      <c r="A501" s="50"/>
      <c r="B501" s="93"/>
      <c r="C501" s="93"/>
      <c r="D501" s="93"/>
      <c r="E501" s="93"/>
      <c r="F501" s="93"/>
      <c r="G501" s="93"/>
      <c r="H501" s="118"/>
      <c r="I501" s="9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24.75" customHeight="1">
      <c r="A502" s="50"/>
      <c r="B502" s="93"/>
      <c r="C502" s="93"/>
      <c r="D502" s="93"/>
      <c r="E502" s="93"/>
      <c r="F502" s="93"/>
      <c r="G502" s="93"/>
      <c r="H502" s="118"/>
      <c r="I502" s="9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24.75" customHeight="1">
      <c r="A503" s="50"/>
      <c r="B503" s="93"/>
      <c r="C503" s="93"/>
      <c r="D503" s="93"/>
      <c r="E503" s="93"/>
      <c r="F503" s="93"/>
      <c r="G503" s="93"/>
      <c r="H503" s="118"/>
      <c r="I503" s="9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24.75" customHeight="1">
      <c r="A504" s="50"/>
      <c r="B504" s="93"/>
      <c r="C504" s="93"/>
      <c r="D504" s="93"/>
      <c r="E504" s="93"/>
      <c r="F504" s="93"/>
      <c r="G504" s="93"/>
      <c r="H504" s="118"/>
      <c r="I504" s="9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24.75" customHeight="1">
      <c r="A505" s="50"/>
      <c r="B505" s="93"/>
      <c r="C505" s="93"/>
      <c r="D505" s="93"/>
      <c r="E505" s="93"/>
      <c r="F505" s="93"/>
      <c r="G505" s="93"/>
      <c r="H505" s="118"/>
      <c r="I505" s="9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24.75" customHeight="1">
      <c r="A506" s="50"/>
      <c r="B506" s="93"/>
      <c r="C506" s="93"/>
      <c r="D506" s="93"/>
      <c r="E506" s="93"/>
      <c r="F506" s="93"/>
      <c r="G506" s="93"/>
      <c r="H506" s="118"/>
      <c r="I506" s="9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24.75" customHeight="1">
      <c r="A507" s="50"/>
      <c r="B507" s="93"/>
      <c r="C507" s="93"/>
      <c r="D507" s="93"/>
      <c r="E507" s="93"/>
      <c r="F507" s="93"/>
      <c r="G507" s="93"/>
      <c r="H507" s="118"/>
      <c r="I507" s="9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24.75" customHeight="1">
      <c r="A508" s="50"/>
      <c r="B508" s="93"/>
      <c r="C508" s="93"/>
      <c r="D508" s="93"/>
      <c r="E508" s="93"/>
      <c r="F508" s="93"/>
      <c r="G508" s="93"/>
      <c r="H508" s="118"/>
      <c r="I508" s="9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24.75" customHeight="1">
      <c r="A509" s="50"/>
      <c r="B509" s="93"/>
      <c r="C509" s="93"/>
      <c r="D509" s="93"/>
      <c r="E509" s="93"/>
      <c r="F509" s="93"/>
      <c r="G509" s="93"/>
      <c r="H509" s="118"/>
      <c r="I509" s="9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24.75" customHeight="1">
      <c r="A510" s="50"/>
      <c r="B510" s="93"/>
      <c r="C510" s="93"/>
      <c r="D510" s="93"/>
      <c r="E510" s="93"/>
      <c r="F510" s="93"/>
      <c r="G510" s="93"/>
      <c r="H510" s="118"/>
      <c r="I510" s="9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24.75" customHeight="1">
      <c r="A511" s="50"/>
      <c r="B511" s="93"/>
      <c r="C511" s="93"/>
      <c r="D511" s="93"/>
      <c r="E511" s="93"/>
      <c r="F511" s="93"/>
      <c r="G511" s="93"/>
      <c r="H511" s="118"/>
      <c r="I511" s="9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24.75" customHeight="1">
      <c r="A512" s="50"/>
      <c r="B512" s="93"/>
      <c r="C512" s="93"/>
      <c r="D512" s="93"/>
      <c r="E512" s="93"/>
      <c r="F512" s="93"/>
      <c r="G512" s="93"/>
      <c r="H512" s="118"/>
      <c r="I512" s="9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24.75" customHeight="1">
      <c r="A513" s="50"/>
      <c r="B513" s="93"/>
      <c r="C513" s="93"/>
      <c r="D513" s="93"/>
      <c r="E513" s="93"/>
      <c r="F513" s="93"/>
      <c r="G513" s="93"/>
      <c r="H513" s="118"/>
      <c r="I513" s="9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24.75" customHeight="1">
      <c r="A514" s="50"/>
      <c r="B514" s="93"/>
      <c r="C514" s="93"/>
      <c r="D514" s="93"/>
      <c r="E514" s="93"/>
      <c r="F514" s="93"/>
      <c r="G514" s="93"/>
      <c r="H514" s="118"/>
      <c r="I514" s="9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24.75" customHeight="1">
      <c r="A515" s="50"/>
      <c r="B515" s="93"/>
      <c r="C515" s="93"/>
      <c r="D515" s="93"/>
      <c r="E515" s="93"/>
      <c r="F515" s="93"/>
      <c r="G515" s="93"/>
      <c r="H515" s="118"/>
      <c r="I515" s="9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24.75" customHeight="1">
      <c r="A516" s="50"/>
      <c r="B516" s="93"/>
      <c r="C516" s="93"/>
      <c r="D516" s="93"/>
      <c r="E516" s="93"/>
      <c r="F516" s="93"/>
      <c r="G516" s="93"/>
      <c r="H516" s="118"/>
      <c r="I516" s="9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24.75" customHeight="1">
      <c r="A517" s="50"/>
      <c r="B517" s="93"/>
      <c r="C517" s="93"/>
      <c r="D517" s="93"/>
      <c r="E517" s="93"/>
      <c r="F517" s="93"/>
      <c r="G517" s="93"/>
      <c r="H517" s="118"/>
      <c r="I517" s="9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24.75" customHeight="1">
      <c r="A518" s="50"/>
      <c r="B518" s="93"/>
      <c r="C518" s="93"/>
      <c r="D518" s="93"/>
      <c r="E518" s="93"/>
      <c r="F518" s="93"/>
      <c r="G518" s="93"/>
      <c r="H518" s="118"/>
      <c r="I518" s="9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24.75" customHeight="1">
      <c r="A519" s="50"/>
      <c r="B519" s="93"/>
      <c r="C519" s="93"/>
      <c r="D519" s="93"/>
      <c r="E519" s="93"/>
      <c r="F519" s="93"/>
      <c r="G519" s="93"/>
      <c r="H519" s="118"/>
      <c r="I519" s="9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24.75" customHeight="1">
      <c r="A520" s="50"/>
      <c r="B520" s="93"/>
      <c r="C520" s="93"/>
      <c r="D520" s="93"/>
      <c r="E520" s="93"/>
      <c r="F520" s="93"/>
      <c r="G520" s="93"/>
      <c r="H520" s="118"/>
      <c r="I520" s="9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24.75" customHeight="1">
      <c r="A521" s="50"/>
      <c r="B521" s="93"/>
      <c r="C521" s="93"/>
      <c r="D521" s="93"/>
      <c r="E521" s="93"/>
      <c r="F521" s="93"/>
      <c r="G521" s="93"/>
      <c r="H521" s="118"/>
      <c r="I521" s="9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24.75" customHeight="1">
      <c r="A522" s="50"/>
      <c r="B522" s="93"/>
      <c r="C522" s="93"/>
      <c r="D522" s="93"/>
      <c r="E522" s="93"/>
      <c r="F522" s="93"/>
      <c r="G522" s="93"/>
      <c r="H522" s="118"/>
      <c r="I522" s="9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24.75" customHeight="1">
      <c r="A523" s="50"/>
      <c r="B523" s="93"/>
      <c r="C523" s="93"/>
      <c r="D523" s="93"/>
      <c r="E523" s="93"/>
      <c r="F523" s="93"/>
      <c r="G523" s="93"/>
      <c r="H523" s="118"/>
      <c r="I523" s="9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24.75" customHeight="1">
      <c r="A524" s="50"/>
      <c r="B524" s="93"/>
      <c r="C524" s="93"/>
      <c r="D524" s="93"/>
      <c r="E524" s="93"/>
      <c r="F524" s="93"/>
      <c r="G524" s="93"/>
      <c r="H524" s="118"/>
      <c r="I524" s="9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24.75" customHeight="1">
      <c r="A525" s="50"/>
      <c r="B525" s="93"/>
      <c r="C525" s="93"/>
      <c r="D525" s="93"/>
      <c r="E525" s="93"/>
      <c r="F525" s="93"/>
      <c r="G525" s="93"/>
      <c r="H525" s="118"/>
      <c r="I525" s="9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24.75" customHeight="1">
      <c r="A526" s="50"/>
      <c r="B526" s="93"/>
      <c r="C526" s="93"/>
      <c r="D526" s="93"/>
      <c r="E526" s="93"/>
      <c r="F526" s="93"/>
      <c r="G526" s="93"/>
      <c r="H526" s="118"/>
      <c r="I526" s="9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24.75" customHeight="1">
      <c r="A527" s="50"/>
      <c r="B527" s="93"/>
      <c r="C527" s="93"/>
      <c r="D527" s="93"/>
      <c r="E527" s="93"/>
      <c r="F527" s="93"/>
      <c r="G527" s="93"/>
      <c r="H527" s="118"/>
      <c r="I527" s="9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24.75" customHeight="1">
      <c r="A528" s="50"/>
      <c r="B528" s="93"/>
      <c r="C528" s="93"/>
      <c r="D528" s="93"/>
      <c r="E528" s="93"/>
      <c r="F528" s="93"/>
      <c r="G528" s="93"/>
      <c r="H528" s="118"/>
      <c r="I528" s="9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24.75" customHeight="1">
      <c r="A529" s="50"/>
      <c r="B529" s="93"/>
      <c r="C529" s="93"/>
      <c r="D529" s="93"/>
      <c r="E529" s="93"/>
      <c r="F529" s="93"/>
      <c r="G529" s="93"/>
      <c r="H529" s="118"/>
      <c r="I529" s="9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24.75" customHeight="1">
      <c r="A530" s="50"/>
      <c r="B530" s="93"/>
      <c r="C530" s="93"/>
      <c r="D530" s="93"/>
      <c r="E530" s="93"/>
      <c r="F530" s="93"/>
      <c r="G530" s="93"/>
      <c r="H530" s="118"/>
      <c r="I530" s="9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24.75" customHeight="1">
      <c r="A531" s="50"/>
      <c r="B531" s="93"/>
      <c r="C531" s="93"/>
      <c r="D531" s="93"/>
      <c r="E531" s="93"/>
      <c r="F531" s="93"/>
      <c r="G531" s="93"/>
      <c r="H531" s="118"/>
      <c r="I531" s="9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24.75" customHeight="1">
      <c r="A532" s="50"/>
      <c r="B532" s="93"/>
      <c r="C532" s="93"/>
      <c r="D532" s="93"/>
      <c r="E532" s="93"/>
      <c r="F532" s="93"/>
      <c r="G532" s="93"/>
      <c r="H532" s="118"/>
      <c r="I532" s="9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24.75" customHeight="1">
      <c r="A533" s="50"/>
      <c r="B533" s="93"/>
      <c r="C533" s="93"/>
      <c r="D533" s="93"/>
      <c r="E533" s="93"/>
      <c r="F533" s="93"/>
      <c r="G533" s="93"/>
      <c r="H533" s="118"/>
      <c r="I533" s="9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24.75" customHeight="1">
      <c r="A534" s="50"/>
      <c r="B534" s="93"/>
      <c r="C534" s="93"/>
      <c r="D534" s="93"/>
      <c r="E534" s="93"/>
      <c r="F534" s="93"/>
      <c r="G534" s="93"/>
      <c r="H534" s="118"/>
      <c r="I534" s="9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24.75" customHeight="1">
      <c r="A535" s="50"/>
      <c r="B535" s="93"/>
      <c r="C535" s="93"/>
      <c r="D535" s="93"/>
      <c r="E535" s="93"/>
      <c r="F535" s="93"/>
      <c r="G535" s="93"/>
      <c r="H535" s="118"/>
      <c r="I535" s="9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24.75" customHeight="1">
      <c r="A536" s="50"/>
      <c r="B536" s="93"/>
      <c r="C536" s="93"/>
      <c r="D536" s="93"/>
      <c r="E536" s="93"/>
      <c r="F536" s="93"/>
      <c r="G536" s="93"/>
      <c r="H536" s="118"/>
      <c r="I536" s="9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24.75" customHeight="1">
      <c r="A537" s="50"/>
      <c r="B537" s="93"/>
      <c r="C537" s="93"/>
      <c r="D537" s="93"/>
      <c r="E537" s="93"/>
      <c r="F537" s="93"/>
      <c r="G537" s="93"/>
      <c r="H537" s="118"/>
      <c r="I537" s="9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24.75" customHeight="1">
      <c r="A538" s="50"/>
      <c r="B538" s="93"/>
      <c r="C538" s="93"/>
      <c r="D538" s="93"/>
      <c r="E538" s="93"/>
      <c r="F538" s="93"/>
      <c r="G538" s="93"/>
      <c r="H538" s="118"/>
      <c r="I538" s="9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24.75" customHeight="1">
      <c r="A539" s="50"/>
      <c r="B539" s="93"/>
      <c r="C539" s="93"/>
      <c r="D539" s="93"/>
      <c r="E539" s="93"/>
      <c r="F539" s="93"/>
      <c r="G539" s="93"/>
      <c r="H539" s="118"/>
      <c r="I539" s="9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24.75" customHeight="1">
      <c r="A540" s="50"/>
      <c r="B540" s="93"/>
      <c r="C540" s="93"/>
      <c r="D540" s="93"/>
      <c r="E540" s="93"/>
      <c r="F540" s="93"/>
      <c r="G540" s="93"/>
      <c r="H540" s="118"/>
      <c r="I540" s="9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24.75" customHeight="1">
      <c r="A541" s="50"/>
      <c r="B541" s="93"/>
      <c r="C541" s="93"/>
      <c r="D541" s="93"/>
      <c r="E541" s="93"/>
      <c r="F541" s="93"/>
      <c r="G541" s="93"/>
      <c r="H541" s="118"/>
      <c r="I541" s="9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24.75" customHeight="1">
      <c r="A542" s="50"/>
      <c r="B542" s="93"/>
      <c r="C542" s="93"/>
      <c r="D542" s="93"/>
      <c r="E542" s="93"/>
      <c r="F542" s="93"/>
      <c r="G542" s="93"/>
      <c r="H542" s="118"/>
      <c r="I542" s="9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24.75" customHeight="1">
      <c r="A543" s="50"/>
      <c r="B543" s="93"/>
      <c r="C543" s="93"/>
      <c r="D543" s="93"/>
      <c r="E543" s="93"/>
      <c r="F543" s="93"/>
      <c r="G543" s="93"/>
      <c r="H543" s="118"/>
      <c r="I543" s="9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24.75" customHeight="1">
      <c r="A544" s="50"/>
      <c r="B544" s="93"/>
      <c r="C544" s="93"/>
      <c r="D544" s="93"/>
      <c r="E544" s="93"/>
      <c r="F544" s="93"/>
      <c r="G544" s="93"/>
      <c r="H544" s="118"/>
      <c r="I544" s="9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24.75" customHeight="1">
      <c r="A545" s="50"/>
      <c r="B545" s="93"/>
      <c r="C545" s="93"/>
      <c r="D545" s="93"/>
      <c r="E545" s="93"/>
      <c r="F545" s="93"/>
      <c r="G545" s="93"/>
      <c r="H545" s="118"/>
      <c r="I545" s="9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24.75" customHeight="1">
      <c r="A546" s="50"/>
      <c r="B546" s="93"/>
      <c r="C546" s="93"/>
      <c r="D546" s="93"/>
      <c r="E546" s="93"/>
      <c r="F546" s="93"/>
      <c r="G546" s="93"/>
      <c r="H546" s="118"/>
      <c r="I546" s="9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24.75" customHeight="1">
      <c r="A547" s="50"/>
      <c r="B547" s="93"/>
      <c r="C547" s="93"/>
      <c r="D547" s="93"/>
      <c r="E547" s="93"/>
      <c r="F547" s="93"/>
      <c r="G547" s="93"/>
      <c r="H547" s="118"/>
      <c r="I547" s="9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24.75" customHeight="1">
      <c r="A548" s="50"/>
      <c r="B548" s="93"/>
      <c r="C548" s="93"/>
      <c r="D548" s="93"/>
      <c r="E548" s="93"/>
      <c r="F548" s="93"/>
      <c r="G548" s="93"/>
      <c r="H548" s="118"/>
      <c r="I548" s="9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24.75" customHeight="1">
      <c r="A549" s="50"/>
      <c r="B549" s="93"/>
      <c r="C549" s="93"/>
      <c r="D549" s="93"/>
      <c r="E549" s="93"/>
      <c r="F549" s="93"/>
      <c r="G549" s="93"/>
      <c r="H549" s="118"/>
      <c r="I549" s="9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24.75" customHeight="1">
      <c r="A550" s="50"/>
      <c r="B550" s="93"/>
      <c r="C550" s="93"/>
      <c r="D550" s="93"/>
      <c r="E550" s="93"/>
      <c r="F550" s="93"/>
      <c r="G550" s="93"/>
      <c r="H550" s="118"/>
      <c r="I550" s="9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24.75" customHeight="1">
      <c r="A551" s="50"/>
      <c r="B551" s="93"/>
      <c r="C551" s="93"/>
      <c r="D551" s="93"/>
      <c r="E551" s="93"/>
      <c r="F551" s="93"/>
      <c r="G551" s="93"/>
      <c r="H551" s="118"/>
      <c r="I551" s="9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24.75" customHeight="1">
      <c r="A552" s="50"/>
      <c r="B552" s="93"/>
      <c r="C552" s="93"/>
      <c r="D552" s="93"/>
      <c r="E552" s="93"/>
      <c r="F552" s="93"/>
      <c r="G552" s="93"/>
      <c r="H552" s="118"/>
      <c r="I552" s="9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24.75" customHeight="1">
      <c r="A553" s="50"/>
      <c r="B553" s="93"/>
      <c r="C553" s="93"/>
      <c r="D553" s="93"/>
      <c r="E553" s="93"/>
      <c r="F553" s="93"/>
      <c r="G553" s="93"/>
      <c r="H553" s="118"/>
      <c r="I553" s="9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24.75" customHeight="1">
      <c r="A554" s="50"/>
      <c r="B554" s="93"/>
      <c r="C554" s="93"/>
      <c r="D554" s="93"/>
      <c r="E554" s="93"/>
      <c r="F554" s="93"/>
      <c r="G554" s="93"/>
      <c r="H554" s="118"/>
      <c r="I554" s="9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24.75" customHeight="1">
      <c r="A555" s="50"/>
      <c r="B555" s="93"/>
      <c r="C555" s="93"/>
      <c r="D555" s="93"/>
      <c r="E555" s="93"/>
      <c r="F555" s="93"/>
      <c r="G555" s="93"/>
      <c r="H555" s="118"/>
      <c r="I555" s="9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24.75" customHeight="1">
      <c r="A556" s="50"/>
      <c r="B556" s="93"/>
      <c r="C556" s="93"/>
      <c r="D556" s="93"/>
      <c r="E556" s="93"/>
      <c r="F556" s="93"/>
      <c r="G556" s="93"/>
      <c r="H556" s="118"/>
      <c r="I556" s="9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24.75" customHeight="1">
      <c r="A557" s="50"/>
      <c r="B557" s="93"/>
      <c r="C557" s="93"/>
      <c r="D557" s="93"/>
      <c r="E557" s="93"/>
      <c r="F557" s="93"/>
      <c r="G557" s="93"/>
      <c r="H557" s="118"/>
      <c r="I557" s="9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24.75" customHeight="1">
      <c r="A558" s="50"/>
      <c r="B558" s="93"/>
      <c r="C558" s="93"/>
      <c r="D558" s="93"/>
      <c r="E558" s="93"/>
      <c r="F558" s="93"/>
      <c r="G558" s="93"/>
      <c r="H558" s="118"/>
      <c r="I558" s="9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24.75" customHeight="1">
      <c r="A559" s="50"/>
      <c r="B559" s="93"/>
      <c r="C559" s="93"/>
      <c r="D559" s="93"/>
      <c r="E559" s="93"/>
      <c r="F559" s="93"/>
      <c r="G559" s="93"/>
      <c r="H559" s="118"/>
      <c r="I559" s="9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24.75" customHeight="1">
      <c r="A560" s="50"/>
      <c r="B560" s="93"/>
      <c r="C560" s="93"/>
      <c r="D560" s="93"/>
      <c r="E560" s="93"/>
      <c r="F560" s="93"/>
      <c r="G560" s="93"/>
      <c r="H560" s="118"/>
      <c r="I560" s="9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24.75" customHeight="1">
      <c r="A561" s="50"/>
      <c r="B561" s="93"/>
      <c r="C561" s="93"/>
      <c r="D561" s="93"/>
      <c r="E561" s="93"/>
      <c r="F561" s="93"/>
      <c r="G561" s="93"/>
      <c r="H561" s="118"/>
      <c r="I561" s="9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24.75" customHeight="1">
      <c r="A562" s="50"/>
      <c r="B562" s="93"/>
      <c r="C562" s="93"/>
      <c r="D562" s="93"/>
      <c r="E562" s="93"/>
      <c r="F562" s="93"/>
      <c r="G562" s="93"/>
      <c r="H562" s="118"/>
      <c r="I562" s="9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24.75" customHeight="1">
      <c r="A563" s="50"/>
      <c r="B563" s="93"/>
      <c r="C563" s="93"/>
      <c r="D563" s="93"/>
      <c r="E563" s="93"/>
      <c r="F563" s="93"/>
      <c r="G563" s="93"/>
      <c r="H563" s="118"/>
      <c r="I563" s="9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24.75" customHeight="1">
      <c r="A564" s="50"/>
      <c r="B564" s="93"/>
      <c r="C564" s="93"/>
      <c r="D564" s="93"/>
      <c r="E564" s="93"/>
      <c r="F564" s="93"/>
      <c r="G564" s="93"/>
      <c r="H564" s="118"/>
      <c r="I564" s="9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24.75" customHeight="1">
      <c r="A565" s="50"/>
      <c r="B565" s="93"/>
      <c r="C565" s="93"/>
      <c r="D565" s="93"/>
      <c r="E565" s="93"/>
      <c r="F565" s="93"/>
      <c r="G565" s="93"/>
      <c r="H565" s="118"/>
      <c r="I565" s="9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24.75" customHeight="1">
      <c r="A566" s="50"/>
      <c r="B566" s="93"/>
      <c r="C566" s="93"/>
      <c r="D566" s="93"/>
      <c r="E566" s="93"/>
      <c r="F566" s="93"/>
      <c r="G566" s="93"/>
      <c r="H566" s="118"/>
      <c r="I566" s="9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24.75" customHeight="1">
      <c r="A567" s="50"/>
      <c r="B567" s="93"/>
      <c r="C567" s="93"/>
      <c r="D567" s="93"/>
      <c r="E567" s="93"/>
      <c r="F567" s="93"/>
      <c r="G567" s="93"/>
      <c r="H567" s="118"/>
      <c r="I567" s="9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24.75" customHeight="1">
      <c r="A568" s="50"/>
      <c r="B568" s="93"/>
      <c r="C568" s="93"/>
      <c r="D568" s="93"/>
      <c r="E568" s="93"/>
      <c r="F568" s="93"/>
      <c r="G568" s="93"/>
      <c r="H568" s="118"/>
      <c r="I568" s="9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24.75" customHeight="1">
      <c r="A569" s="50"/>
      <c r="B569" s="93"/>
      <c r="C569" s="93"/>
      <c r="D569" s="93"/>
      <c r="E569" s="93"/>
      <c r="F569" s="93"/>
      <c r="G569" s="93"/>
      <c r="H569" s="118"/>
      <c r="I569" s="9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24.75" customHeight="1">
      <c r="A570" s="50"/>
      <c r="B570" s="93"/>
      <c r="C570" s="93"/>
      <c r="D570" s="93"/>
      <c r="E570" s="93"/>
      <c r="F570" s="93"/>
      <c r="G570" s="93"/>
      <c r="H570" s="118"/>
      <c r="I570" s="9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24.75" customHeight="1">
      <c r="A571" s="50"/>
      <c r="B571" s="93"/>
      <c r="C571" s="93"/>
      <c r="D571" s="93"/>
      <c r="E571" s="93"/>
      <c r="F571" s="93"/>
      <c r="G571" s="93"/>
      <c r="H571" s="118"/>
      <c r="I571" s="9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24.75" customHeight="1">
      <c r="A572" s="50"/>
      <c r="B572" s="93"/>
      <c r="C572" s="93"/>
      <c r="D572" s="93"/>
      <c r="E572" s="93"/>
      <c r="F572" s="93"/>
      <c r="G572" s="93"/>
      <c r="H572" s="118"/>
      <c r="I572" s="9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24.75" customHeight="1">
      <c r="A573" s="50"/>
      <c r="B573" s="93"/>
      <c r="C573" s="93"/>
      <c r="D573" s="93"/>
      <c r="E573" s="93"/>
      <c r="F573" s="93"/>
      <c r="G573" s="93"/>
      <c r="H573" s="118"/>
      <c r="I573" s="9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24.75" customHeight="1">
      <c r="A574" s="50"/>
      <c r="B574" s="93"/>
      <c r="C574" s="93"/>
      <c r="D574" s="93"/>
      <c r="E574" s="93"/>
      <c r="F574" s="93"/>
      <c r="G574" s="93"/>
      <c r="H574" s="118"/>
      <c r="I574" s="9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24.75" customHeight="1">
      <c r="A575" s="50"/>
      <c r="B575" s="93"/>
      <c r="C575" s="93"/>
      <c r="D575" s="93"/>
      <c r="E575" s="93"/>
      <c r="F575" s="93"/>
      <c r="G575" s="93"/>
      <c r="H575" s="118"/>
      <c r="I575" s="9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24.75" customHeight="1">
      <c r="A576" s="50"/>
      <c r="B576" s="93"/>
      <c r="C576" s="93"/>
      <c r="D576" s="93"/>
      <c r="E576" s="93"/>
      <c r="F576" s="93"/>
      <c r="G576" s="93"/>
      <c r="H576" s="118"/>
      <c r="I576" s="9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24.75" customHeight="1">
      <c r="A577" s="50"/>
      <c r="B577" s="93"/>
      <c r="C577" s="93"/>
      <c r="D577" s="93"/>
      <c r="E577" s="93"/>
      <c r="F577" s="93"/>
      <c r="G577" s="93"/>
      <c r="H577" s="118"/>
      <c r="I577" s="9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24.75" customHeight="1">
      <c r="A578" s="50"/>
      <c r="B578" s="93"/>
      <c r="C578" s="93"/>
      <c r="D578" s="93"/>
      <c r="E578" s="93"/>
      <c r="F578" s="93"/>
      <c r="G578" s="93"/>
      <c r="H578" s="118"/>
      <c r="I578" s="9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24.75" customHeight="1">
      <c r="A579" s="50"/>
      <c r="B579" s="93"/>
      <c r="C579" s="93"/>
      <c r="D579" s="93"/>
      <c r="E579" s="93"/>
      <c r="F579" s="93"/>
      <c r="G579" s="93"/>
      <c r="H579" s="118"/>
      <c r="I579" s="9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24.75" customHeight="1">
      <c r="A580" s="50"/>
      <c r="B580" s="93"/>
      <c r="C580" s="93"/>
      <c r="D580" s="93"/>
      <c r="E580" s="93"/>
      <c r="F580" s="93"/>
      <c r="G580" s="93"/>
      <c r="H580" s="118"/>
      <c r="I580" s="9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24.75" customHeight="1">
      <c r="A581" s="50"/>
      <c r="B581" s="93"/>
      <c r="C581" s="93"/>
      <c r="D581" s="93"/>
      <c r="E581" s="93"/>
      <c r="F581" s="93"/>
      <c r="G581" s="93"/>
      <c r="H581" s="118"/>
      <c r="I581" s="9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24.75" customHeight="1">
      <c r="A582" s="50"/>
      <c r="B582" s="93"/>
      <c r="C582" s="93"/>
      <c r="D582" s="93"/>
      <c r="E582" s="93"/>
      <c r="F582" s="93"/>
      <c r="G582" s="93"/>
      <c r="H582" s="118"/>
      <c r="I582" s="9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24.75" customHeight="1">
      <c r="A583" s="50"/>
      <c r="B583" s="93"/>
      <c r="C583" s="93"/>
      <c r="D583" s="93"/>
      <c r="E583" s="93"/>
      <c r="F583" s="93"/>
      <c r="G583" s="93"/>
      <c r="H583" s="118"/>
      <c r="I583" s="9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24.75" customHeight="1">
      <c r="A584" s="50"/>
      <c r="B584" s="93"/>
      <c r="C584" s="93"/>
      <c r="D584" s="93"/>
      <c r="E584" s="93"/>
      <c r="F584" s="93"/>
      <c r="G584" s="93"/>
      <c r="H584" s="118"/>
      <c r="I584" s="9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24.75" customHeight="1">
      <c r="A585" s="50"/>
      <c r="B585" s="93"/>
      <c r="C585" s="93"/>
      <c r="D585" s="93"/>
      <c r="E585" s="93"/>
      <c r="F585" s="93"/>
      <c r="G585" s="93"/>
      <c r="H585" s="118"/>
      <c r="I585" s="9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24.75" customHeight="1">
      <c r="A586" s="50"/>
      <c r="B586" s="93"/>
      <c r="C586" s="93"/>
      <c r="D586" s="93"/>
      <c r="E586" s="93"/>
      <c r="F586" s="93"/>
      <c r="G586" s="93"/>
      <c r="H586" s="118"/>
      <c r="I586" s="9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24.75" customHeight="1">
      <c r="A587" s="50"/>
      <c r="B587" s="93"/>
      <c r="C587" s="93"/>
      <c r="D587" s="93"/>
      <c r="E587" s="93"/>
      <c r="F587" s="93"/>
      <c r="G587" s="93"/>
      <c r="H587" s="118"/>
      <c r="I587" s="9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24.75" customHeight="1">
      <c r="A588" s="50"/>
      <c r="B588" s="93"/>
      <c r="C588" s="93"/>
      <c r="D588" s="93"/>
      <c r="E588" s="93"/>
      <c r="F588" s="93"/>
      <c r="G588" s="93"/>
      <c r="H588" s="118"/>
      <c r="I588" s="9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24.75" customHeight="1">
      <c r="A589" s="50"/>
      <c r="B589" s="93"/>
      <c r="C589" s="93"/>
      <c r="D589" s="93"/>
      <c r="E589" s="93"/>
      <c r="F589" s="93"/>
      <c r="G589" s="93"/>
      <c r="H589" s="118"/>
      <c r="I589" s="9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24.75" customHeight="1">
      <c r="A590" s="50"/>
      <c r="B590" s="93"/>
      <c r="C590" s="93"/>
      <c r="D590" s="93"/>
      <c r="E590" s="93"/>
      <c r="F590" s="93"/>
      <c r="G590" s="93"/>
      <c r="H590" s="118"/>
      <c r="I590" s="9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24.75" customHeight="1">
      <c r="A591" s="50"/>
      <c r="B591" s="93"/>
      <c r="C591" s="93"/>
      <c r="D591" s="93"/>
      <c r="E591" s="93"/>
      <c r="F591" s="93"/>
      <c r="G591" s="93"/>
      <c r="H591" s="118"/>
      <c r="I591" s="9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24.75" customHeight="1">
      <c r="A592" s="50"/>
      <c r="B592" s="93"/>
      <c r="C592" s="93"/>
      <c r="D592" s="93"/>
      <c r="E592" s="93"/>
      <c r="F592" s="93"/>
      <c r="G592" s="93"/>
      <c r="H592" s="118"/>
      <c r="I592" s="9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24.75" customHeight="1">
      <c r="A593" s="50"/>
      <c r="B593" s="93"/>
      <c r="C593" s="93"/>
      <c r="D593" s="93"/>
      <c r="E593" s="93"/>
      <c r="F593" s="93"/>
      <c r="G593" s="93"/>
      <c r="H593" s="118"/>
      <c r="I593" s="9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24.75" customHeight="1">
      <c r="A594" s="50"/>
      <c r="B594" s="93"/>
      <c r="C594" s="93"/>
      <c r="D594" s="93"/>
      <c r="E594" s="93"/>
      <c r="F594" s="93"/>
      <c r="G594" s="93"/>
      <c r="H594" s="118"/>
      <c r="I594" s="9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24.75" customHeight="1">
      <c r="A595" s="50"/>
      <c r="B595" s="93"/>
      <c r="C595" s="93"/>
      <c r="D595" s="93"/>
      <c r="E595" s="93"/>
      <c r="F595" s="93"/>
      <c r="G595" s="93"/>
      <c r="H595" s="118"/>
      <c r="I595" s="9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24.75" customHeight="1">
      <c r="A596" s="50"/>
      <c r="B596" s="93"/>
      <c r="C596" s="93"/>
      <c r="D596" s="93"/>
      <c r="E596" s="93"/>
      <c r="F596" s="93"/>
      <c r="G596" s="93"/>
      <c r="H596" s="118"/>
      <c r="I596" s="9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24.75" customHeight="1">
      <c r="A597" s="50"/>
      <c r="B597" s="93"/>
      <c r="C597" s="93"/>
      <c r="D597" s="93"/>
      <c r="E597" s="93"/>
      <c r="F597" s="93"/>
      <c r="G597" s="93"/>
      <c r="H597" s="118"/>
      <c r="I597" s="9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24.75" customHeight="1">
      <c r="A598" s="50"/>
      <c r="B598" s="93"/>
      <c r="C598" s="93"/>
      <c r="D598" s="93"/>
      <c r="E598" s="93"/>
      <c r="F598" s="93"/>
      <c r="G598" s="93"/>
      <c r="H598" s="118"/>
      <c r="I598" s="9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24.75" customHeight="1">
      <c r="A599" s="50"/>
      <c r="B599" s="93"/>
      <c r="C599" s="93"/>
      <c r="D599" s="93"/>
      <c r="E599" s="93"/>
      <c r="F599" s="93"/>
      <c r="G599" s="93"/>
      <c r="H599" s="118"/>
      <c r="I599" s="9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24.75" customHeight="1">
      <c r="A600" s="50"/>
      <c r="B600" s="93"/>
      <c r="C600" s="93"/>
      <c r="D600" s="93"/>
      <c r="E600" s="93"/>
      <c r="F600" s="93"/>
      <c r="G600" s="93"/>
      <c r="H600" s="118"/>
      <c r="I600" s="9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24.75" customHeight="1">
      <c r="A601" s="50"/>
      <c r="B601" s="93"/>
      <c r="C601" s="93"/>
      <c r="D601" s="93"/>
      <c r="E601" s="93"/>
      <c r="F601" s="93"/>
      <c r="G601" s="93"/>
      <c r="H601" s="118"/>
      <c r="I601" s="9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24.75" customHeight="1">
      <c r="A602" s="50"/>
      <c r="B602" s="93"/>
      <c r="C602" s="93"/>
      <c r="D602" s="93"/>
      <c r="E602" s="93"/>
      <c r="F602" s="93"/>
      <c r="G602" s="93"/>
      <c r="H602" s="118"/>
      <c r="I602" s="9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24.75" customHeight="1">
      <c r="A603" s="50"/>
      <c r="B603" s="93"/>
      <c r="C603" s="93"/>
      <c r="D603" s="93"/>
      <c r="E603" s="93"/>
      <c r="F603" s="93"/>
      <c r="G603" s="93"/>
      <c r="H603" s="118"/>
      <c r="I603" s="9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24.75" customHeight="1">
      <c r="A604" s="50"/>
      <c r="B604" s="93"/>
      <c r="C604" s="93"/>
      <c r="D604" s="93"/>
      <c r="E604" s="93"/>
      <c r="F604" s="93"/>
      <c r="G604" s="93"/>
      <c r="H604" s="118"/>
      <c r="I604" s="9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24.75" customHeight="1">
      <c r="A605" s="50"/>
      <c r="B605" s="93"/>
      <c r="C605" s="93"/>
      <c r="D605" s="93"/>
      <c r="E605" s="93"/>
      <c r="F605" s="93"/>
      <c r="G605" s="93"/>
      <c r="H605" s="118"/>
      <c r="I605" s="9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24.75" customHeight="1">
      <c r="A606" s="50"/>
      <c r="B606" s="93"/>
      <c r="C606" s="93"/>
      <c r="D606" s="93"/>
      <c r="E606" s="93"/>
      <c r="F606" s="93"/>
      <c r="G606" s="93"/>
      <c r="H606" s="118"/>
      <c r="I606" s="9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24.75" customHeight="1">
      <c r="A607" s="50"/>
      <c r="B607" s="93"/>
      <c r="C607" s="93"/>
      <c r="D607" s="93"/>
      <c r="E607" s="93"/>
      <c r="F607" s="93"/>
      <c r="G607" s="93"/>
      <c r="H607" s="118"/>
      <c r="I607" s="9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24.75" customHeight="1">
      <c r="A608" s="50"/>
      <c r="B608" s="93"/>
      <c r="C608" s="93"/>
      <c r="D608" s="93"/>
      <c r="E608" s="93"/>
      <c r="F608" s="93"/>
      <c r="G608" s="93"/>
      <c r="H608" s="118"/>
      <c r="I608" s="9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24.75" customHeight="1">
      <c r="A609" s="50"/>
      <c r="B609" s="93"/>
      <c r="C609" s="93"/>
      <c r="D609" s="93"/>
      <c r="E609" s="93"/>
      <c r="F609" s="93"/>
      <c r="G609" s="93"/>
      <c r="H609" s="118"/>
      <c r="I609" s="9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24.75" customHeight="1">
      <c r="A610" s="50"/>
      <c r="B610" s="93"/>
      <c r="C610" s="93"/>
      <c r="D610" s="93"/>
      <c r="E610" s="93"/>
      <c r="F610" s="93"/>
      <c r="G610" s="93"/>
      <c r="H610" s="118"/>
      <c r="I610" s="9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24.75" customHeight="1">
      <c r="A611" s="50"/>
      <c r="B611" s="93"/>
      <c r="C611" s="93"/>
      <c r="D611" s="93"/>
      <c r="E611" s="93"/>
      <c r="F611" s="93"/>
      <c r="G611" s="93"/>
      <c r="H611" s="118"/>
      <c r="I611" s="9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24.75" customHeight="1">
      <c r="A612" s="50"/>
      <c r="B612" s="93"/>
      <c r="C612" s="93"/>
      <c r="D612" s="93"/>
      <c r="E612" s="93"/>
      <c r="F612" s="93"/>
      <c r="G612" s="93"/>
      <c r="H612" s="118"/>
      <c r="I612" s="9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24.75" customHeight="1">
      <c r="A613" s="50"/>
      <c r="B613" s="93"/>
      <c r="C613" s="93"/>
      <c r="D613" s="93"/>
      <c r="E613" s="93"/>
      <c r="F613" s="93"/>
      <c r="G613" s="93"/>
      <c r="H613" s="118"/>
      <c r="I613" s="9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24.75" customHeight="1">
      <c r="A614" s="50"/>
      <c r="B614" s="93"/>
      <c r="C614" s="93"/>
      <c r="D614" s="93"/>
      <c r="E614" s="93"/>
      <c r="F614" s="93"/>
      <c r="G614" s="93"/>
      <c r="H614" s="118"/>
      <c r="I614" s="9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24.75" customHeight="1">
      <c r="A615" s="50"/>
      <c r="B615" s="93"/>
      <c r="C615" s="93"/>
      <c r="D615" s="93"/>
      <c r="E615" s="93"/>
      <c r="F615" s="93"/>
      <c r="G615" s="93"/>
      <c r="H615" s="118"/>
      <c r="I615" s="9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24.75" customHeight="1">
      <c r="A616" s="50"/>
      <c r="B616" s="93"/>
      <c r="C616" s="93"/>
      <c r="D616" s="93"/>
      <c r="E616" s="93"/>
      <c r="F616" s="93"/>
      <c r="G616" s="93"/>
      <c r="H616" s="118"/>
      <c r="I616" s="9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24.75" customHeight="1">
      <c r="A617" s="50"/>
      <c r="B617" s="93"/>
      <c r="C617" s="93"/>
      <c r="D617" s="93"/>
      <c r="E617" s="93"/>
      <c r="F617" s="93"/>
      <c r="G617" s="93"/>
      <c r="H617" s="118"/>
      <c r="I617" s="9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24.75" customHeight="1">
      <c r="A618" s="50"/>
      <c r="B618" s="93"/>
      <c r="C618" s="93"/>
      <c r="D618" s="93"/>
      <c r="E618" s="93"/>
      <c r="F618" s="93"/>
      <c r="G618" s="93"/>
      <c r="H618" s="118"/>
      <c r="I618" s="9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 ht="24.75" customHeight="1">
      <c r="A619" s="50"/>
      <c r="B619" s="93"/>
      <c r="C619" s="93"/>
      <c r="D619" s="93"/>
      <c r="E619" s="93"/>
      <c r="F619" s="93"/>
      <c r="G619" s="93"/>
      <c r="H619" s="118"/>
      <c r="I619" s="93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 ht="24.75" customHeight="1">
      <c r="A620" s="50"/>
      <c r="B620" s="93"/>
      <c r="C620" s="93"/>
      <c r="D620" s="93"/>
      <c r="E620" s="93"/>
      <c r="F620" s="93"/>
      <c r="G620" s="93"/>
      <c r="H620" s="118"/>
      <c r="I620" s="93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 ht="24.75" customHeight="1">
      <c r="A621" s="50"/>
      <c r="B621" s="93"/>
      <c r="C621" s="93"/>
      <c r="D621" s="93"/>
      <c r="E621" s="93"/>
      <c r="F621" s="93"/>
      <c r="G621" s="93"/>
      <c r="H621" s="118"/>
      <c r="I621" s="93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 ht="24.75" customHeight="1">
      <c r="A622" s="50"/>
      <c r="B622" s="93"/>
      <c r="C622" s="93"/>
      <c r="D622" s="93"/>
      <c r="E622" s="93"/>
      <c r="F622" s="93"/>
      <c r="G622" s="93"/>
      <c r="H622" s="118"/>
      <c r="I622" s="93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 ht="24.75" customHeight="1">
      <c r="A623" s="50"/>
      <c r="B623" s="93"/>
      <c r="C623" s="93"/>
      <c r="D623" s="93"/>
      <c r="E623" s="93"/>
      <c r="F623" s="93"/>
      <c r="G623" s="93"/>
      <c r="H623" s="118"/>
      <c r="I623" s="93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 ht="24.75" customHeight="1">
      <c r="A624" s="50"/>
      <c r="B624" s="93"/>
      <c r="C624" s="93"/>
      <c r="D624" s="93"/>
      <c r="E624" s="93"/>
      <c r="F624" s="93"/>
      <c r="G624" s="93"/>
      <c r="H624" s="118"/>
      <c r="I624" s="93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 ht="24.75" customHeight="1">
      <c r="A625" s="50"/>
      <c r="B625" s="93"/>
      <c r="C625" s="93"/>
      <c r="D625" s="93"/>
      <c r="E625" s="93"/>
      <c r="F625" s="93"/>
      <c r="G625" s="93"/>
      <c r="H625" s="118"/>
      <c r="I625" s="93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 ht="24.75" customHeight="1">
      <c r="A626" s="50"/>
      <c r="B626" s="93"/>
      <c r="C626" s="93"/>
      <c r="D626" s="93"/>
      <c r="E626" s="93"/>
      <c r="F626" s="93"/>
      <c r="G626" s="93"/>
      <c r="H626" s="118"/>
      <c r="I626" s="93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 ht="24.75" customHeight="1">
      <c r="A627" s="50"/>
      <c r="B627" s="93"/>
      <c r="C627" s="93"/>
      <c r="D627" s="93"/>
      <c r="E627" s="93"/>
      <c r="F627" s="93"/>
      <c r="G627" s="93"/>
      <c r="H627" s="118"/>
      <c r="I627" s="93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 ht="24.75" customHeight="1">
      <c r="A628" s="50"/>
      <c r="B628" s="93"/>
      <c r="C628" s="93"/>
      <c r="D628" s="93"/>
      <c r="E628" s="93"/>
      <c r="F628" s="93"/>
      <c r="G628" s="93"/>
      <c r="H628" s="118"/>
      <c r="I628" s="93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 ht="24.75" customHeight="1">
      <c r="A629" s="50"/>
      <c r="B629" s="93"/>
      <c r="C629" s="93"/>
      <c r="D629" s="93"/>
      <c r="E629" s="93"/>
      <c r="F629" s="93"/>
      <c r="G629" s="93"/>
      <c r="H629" s="118"/>
      <c r="I629" s="93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 ht="24.75" customHeight="1">
      <c r="A630" s="50"/>
      <c r="B630" s="93"/>
      <c r="C630" s="93"/>
      <c r="D630" s="93"/>
      <c r="E630" s="93"/>
      <c r="F630" s="93"/>
      <c r="G630" s="93"/>
      <c r="H630" s="118"/>
      <c r="I630" s="93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 ht="24.75" customHeight="1">
      <c r="A631" s="50"/>
      <c r="B631" s="93"/>
      <c r="C631" s="93"/>
      <c r="D631" s="93"/>
      <c r="E631" s="93"/>
      <c r="F631" s="93"/>
      <c r="G631" s="93"/>
      <c r="H631" s="118"/>
      <c r="I631" s="93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 ht="24.75" customHeight="1">
      <c r="A632" s="50"/>
      <c r="B632" s="93"/>
      <c r="C632" s="93"/>
      <c r="D632" s="93"/>
      <c r="E632" s="93"/>
      <c r="F632" s="93"/>
      <c r="G632" s="93"/>
      <c r="H632" s="118"/>
      <c r="I632" s="93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 ht="24.75" customHeight="1">
      <c r="A633" s="50"/>
      <c r="B633" s="93"/>
      <c r="C633" s="93"/>
      <c r="D633" s="93"/>
      <c r="E633" s="93"/>
      <c r="F633" s="93"/>
      <c r="G633" s="93"/>
      <c r="H633" s="118"/>
      <c r="I633" s="93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 ht="24.75" customHeight="1">
      <c r="A634" s="50"/>
      <c r="B634" s="93"/>
      <c r="C634" s="93"/>
      <c r="D634" s="93"/>
      <c r="E634" s="93"/>
      <c r="F634" s="93"/>
      <c r="G634" s="93"/>
      <c r="H634" s="118"/>
      <c r="I634" s="93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 ht="24.75" customHeight="1">
      <c r="A635" s="50"/>
      <c r="B635" s="93"/>
      <c r="C635" s="93"/>
      <c r="D635" s="93"/>
      <c r="E635" s="93"/>
      <c r="F635" s="93"/>
      <c r="G635" s="93"/>
      <c r="H635" s="118"/>
      <c r="I635" s="93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 ht="24.75" customHeight="1">
      <c r="A636" s="50"/>
      <c r="B636" s="93"/>
      <c r="C636" s="93"/>
      <c r="D636" s="93"/>
      <c r="E636" s="93"/>
      <c r="F636" s="93"/>
      <c r="G636" s="93"/>
      <c r="H636" s="118"/>
      <c r="I636" s="93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 ht="24.75" customHeight="1">
      <c r="A637" s="50"/>
      <c r="B637" s="93"/>
      <c r="C637" s="93"/>
      <c r="D637" s="93"/>
      <c r="E637" s="93"/>
      <c r="F637" s="93"/>
      <c r="G637" s="93"/>
      <c r="H637" s="118"/>
      <c r="I637" s="93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 ht="24.75" customHeight="1">
      <c r="A638" s="50"/>
      <c r="B638" s="93"/>
      <c r="C638" s="93"/>
      <c r="D638" s="93"/>
      <c r="E638" s="93"/>
      <c r="F638" s="93"/>
      <c r="G638" s="93"/>
      <c r="H638" s="118"/>
      <c r="I638" s="93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 ht="24.75" customHeight="1">
      <c r="A639" s="50"/>
      <c r="B639" s="93"/>
      <c r="C639" s="93"/>
      <c r="D639" s="93"/>
      <c r="E639" s="93"/>
      <c r="F639" s="93"/>
      <c r="G639" s="93"/>
      <c r="H639" s="118"/>
      <c r="I639" s="93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 ht="24.75" customHeight="1">
      <c r="A640" s="50"/>
      <c r="B640" s="93"/>
      <c r="C640" s="93"/>
      <c r="D640" s="93"/>
      <c r="E640" s="93"/>
      <c r="F640" s="93"/>
      <c r="G640" s="93"/>
      <c r="H640" s="118"/>
      <c r="I640" s="93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 ht="24.75" customHeight="1">
      <c r="A641" s="50"/>
      <c r="B641" s="93"/>
      <c r="C641" s="93"/>
      <c r="D641" s="93"/>
      <c r="E641" s="93"/>
      <c r="F641" s="93"/>
      <c r="G641" s="93"/>
      <c r="H641" s="118"/>
      <c r="I641" s="93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 ht="24.75" customHeight="1">
      <c r="A642" s="50"/>
      <c r="B642" s="93"/>
      <c r="C642" s="93"/>
      <c r="D642" s="93"/>
      <c r="E642" s="93"/>
      <c r="F642" s="93"/>
      <c r="G642" s="93"/>
      <c r="H642" s="118"/>
      <c r="I642" s="93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 ht="24.75" customHeight="1">
      <c r="A643" s="50"/>
      <c r="B643" s="93"/>
      <c r="C643" s="93"/>
      <c r="D643" s="93"/>
      <c r="E643" s="93"/>
      <c r="F643" s="93"/>
      <c r="G643" s="93"/>
      <c r="H643" s="118"/>
      <c r="I643" s="93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 ht="24.75" customHeight="1">
      <c r="A644" s="50"/>
      <c r="B644" s="93"/>
      <c r="C644" s="93"/>
      <c r="D644" s="93"/>
      <c r="E644" s="93"/>
      <c r="F644" s="93"/>
      <c r="G644" s="93"/>
      <c r="H644" s="118"/>
      <c r="I644" s="93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 ht="24.75" customHeight="1">
      <c r="A645" s="50"/>
      <c r="B645" s="93"/>
      <c r="C645" s="93"/>
      <c r="D645" s="93"/>
      <c r="E645" s="93"/>
      <c r="F645" s="93"/>
      <c r="G645" s="93"/>
      <c r="H645" s="118"/>
      <c r="I645" s="93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 ht="24.75" customHeight="1">
      <c r="A646" s="50"/>
      <c r="B646" s="93"/>
      <c r="C646" s="93"/>
      <c r="D646" s="93"/>
      <c r="E646" s="93"/>
      <c r="F646" s="93"/>
      <c r="G646" s="93"/>
      <c r="H646" s="118"/>
      <c r="I646" s="93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 ht="24.75" customHeight="1">
      <c r="A647" s="50"/>
      <c r="B647" s="93"/>
      <c r="C647" s="93"/>
      <c r="D647" s="93"/>
      <c r="E647" s="93"/>
      <c r="F647" s="93"/>
      <c r="G647" s="93"/>
      <c r="H647" s="118"/>
      <c r="I647" s="93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 ht="24.75" customHeight="1">
      <c r="A648" s="50"/>
      <c r="B648" s="93"/>
      <c r="C648" s="93"/>
      <c r="D648" s="93"/>
      <c r="E648" s="93"/>
      <c r="F648" s="93"/>
      <c r="G648" s="93"/>
      <c r="H648" s="118"/>
      <c r="I648" s="93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 ht="24.75" customHeight="1">
      <c r="A649" s="50"/>
      <c r="B649" s="93"/>
      <c r="C649" s="93"/>
      <c r="D649" s="93"/>
      <c r="E649" s="93"/>
      <c r="F649" s="93"/>
      <c r="G649" s="93"/>
      <c r="H649" s="118"/>
      <c r="I649" s="93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 ht="24.75" customHeight="1">
      <c r="A650" s="50"/>
      <c r="B650" s="93"/>
      <c r="C650" s="93"/>
      <c r="D650" s="93"/>
      <c r="E650" s="93"/>
      <c r="F650" s="93"/>
      <c r="G650" s="93"/>
      <c r="H650" s="118"/>
      <c r="I650" s="93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 ht="24.75" customHeight="1">
      <c r="A651" s="50"/>
      <c r="B651" s="93"/>
      <c r="C651" s="93"/>
      <c r="D651" s="93"/>
      <c r="E651" s="93"/>
      <c r="F651" s="93"/>
      <c r="G651" s="93"/>
      <c r="H651" s="118"/>
      <c r="I651" s="93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 ht="24.75" customHeight="1">
      <c r="A652" s="50"/>
      <c r="B652" s="93"/>
      <c r="C652" s="93"/>
      <c r="D652" s="93"/>
      <c r="E652" s="93"/>
      <c r="F652" s="93"/>
      <c r="G652" s="93"/>
      <c r="H652" s="118"/>
      <c r="I652" s="93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 ht="24.75" customHeight="1">
      <c r="A653" s="50"/>
      <c r="B653" s="93"/>
      <c r="C653" s="93"/>
      <c r="D653" s="93"/>
      <c r="E653" s="93"/>
      <c r="F653" s="93"/>
      <c r="G653" s="93"/>
      <c r="H653" s="118"/>
      <c r="I653" s="93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 ht="24.75" customHeight="1">
      <c r="A654" s="50"/>
      <c r="B654" s="93"/>
      <c r="C654" s="93"/>
      <c r="D654" s="93"/>
      <c r="E654" s="93"/>
      <c r="F654" s="93"/>
      <c r="G654" s="93"/>
      <c r="H654" s="118"/>
      <c r="I654" s="93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 ht="24.75" customHeight="1">
      <c r="A655" s="50"/>
      <c r="B655" s="93"/>
      <c r="C655" s="93"/>
      <c r="D655" s="93"/>
      <c r="E655" s="93"/>
      <c r="F655" s="93"/>
      <c r="G655" s="93"/>
      <c r="H655" s="118"/>
      <c r="I655" s="93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 ht="24.75" customHeight="1">
      <c r="A656" s="50"/>
      <c r="B656" s="93"/>
      <c r="C656" s="93"/>
      <c r="D656" s="93"/>
      <c r="E656" s="93"/>
      <c r="F656" s="93"/>
      <c r="G656" s="93"/>
      <c r="H656" s="118"/>
      <c r="I656" s="93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 ht="24.75" customHeight="1">
      <c r="A657" s="50"/>
      <c r="B657" s="93"/>
      <c r="C657" s="93"/>
      <c r="D657" s="93"/>
      <c r="E657" s="93"/>
      <c r="F657" s="93"/>
      <c r="G657" s="93"/>
      <c r="H657" s="118"/>
      <c r="I657" s="93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 ht="24.75" customHeight="1">
      <c r="A658" s="50"/>
      <c r="B658" s="93"/>
      <c r="C658" s="93"/>
      <c r="D658" s="93"/>
      <c r="E658" s="93"/>
      <c r="F658" s="93"/>
      <c r="G658" s="93"/>
      <c r="H658" s="118"/>
      <c r="I658" s="93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 ht="24.75" customHeight="1">
      <c r="A659" s="50"/>
      <c r="B659" s="93"/>
      <c r="C659" s="93"/>
      <c r="D659" s="93"/>
      <c r="E659" s="93"/>
      <c r="F659" s="93"/>
      <c r="G659" s="93"/>
      <c r="H659" s="118"/>
      <c r="I659" s="93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 ht="24.75" customHeight="1">
      <c r="A660" s="50"/>
      <c r="B660" s="93"/>
      <c r="C660" s="93"/>
      <c r="D660" s="93"/>
      <c r="E660" s="93"/>
      <c r="F660" s="93"/>
      <c r="G660" s="93"/>
      <c r="H660" s="118"/>
      <c r="I660" s="93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 ht="24.75" customHeight="1">
      <c r="A661" s="50"/>
      <c r="B661" s="93"/>
      <c r="C661" s="93"/>
      <c r="D661" s="93"/>
      <c r="E661" s="93"/>
      <c r="F661" s="93"/>
      <c r="G661" s="93"/>
      <c r="H661" s="118"/>
      <c r="I661" s="93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 ht="24.75" customHeight="1">
      <c r="A662" s="50"/>
      <c r="B662" s="93"/>
      <c r="C662" s="93"/>
      <c r="D662" s="93"/>
      <c r="E662" s="93"/>
      <c r="F662" s="93"/>
      <c r="G662" s="93"/>
      <c r="H662" s="118"/>
      <c r="I662" s="93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ht="24.75" customHeight="1">
      <c r="A663" s="50"/>
      <c r="B663" s="93"/>
      <c r="C663" s="93"/>
      <c r="D663" s="93"/>
      <c r="E663" s="93"/>
      <c r="F663" s="93"/>
      <c r="G663" s="93"/>
      <c r="H663" s="118"/>
      <c r="I663" s="93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 ht="24.75" customHeight="1">
      <c r="A664" s="50"/>
      <c r="B664" s="93"/>
      <c r="C664" s="93"/>
      <c r="D664" s="93"/>
      <c r="E664" s="93"/>
      <c r="F664" s="93"/>
      <c r="G664" s="93"/>
      <c r="H664" s="118"/>
      <c r="I664" s="93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 ht="24.75" customHeight="1">
      <c r="A665" s="50"/>
      <c r="B665" s="93"/>
      <c r="C665" s="93"/>
      <c r="D665" s="93"/>
      <c r="E665" s="93"/>
      <c r="F665" s="93"/>
      <c r="G665" s="93"/>
      <c r="H665" s="118"/>
      <c r="I665" s="93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ht="24.75" customHeight="1">
      <c r="A666" s="50"/>
      <c r="B666" s="93"/>
      <c r="C666" s="93"/>
      <c r="D666" s="93"/>
      <c r="E666" s="93"/>
      <c r="F666" s="93"/>
      <c r="G666" s="93"/>
      <c r="H666" s="118"/>
      <c r="I666" s="93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ht="24.75" customHeight="1">
      <c r="A667" s="50"/>
      <c r="B667" s="93"/>
      <c r="C667" s="93"/>
      <c r="D667" s="93"/>
      <c r="E667" s="93"/>
      <c r="F667" s="93"/>
      <c r="G667" s="93"/>
      <c r="H667" s="118"/>
      <c r="I667" s="93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 ht="24.75" customHeight="1">
      <c r="A668" s="50"/>
      <c r="B668" s="93"/>
      <c r="C668" s="93"/>
      <c r="D668" s="93"/>
      <c r="E668" s="93"/>
      <c r="F668" s="93"/>
      <c r="G668" s="93"/>
      <c r="H668" s="118"/>
      <c r="I668" s="93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 ht="24.75" customHeight="1">
      <c r="A669" s="50"/>
      <c r="B669" s="93"/>
      <c r="C669" s="93"/>
      <c r="D669" s="93"/>
      <c r="E669" s="93"/>
      <c r="F669" s="93"/>
      <c r="G669" s="93"/>
      <c r="H669" s="118"/>
      <c r="I669" s="93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 ht="24.75" customHeight="1">
      <c r="A670" s="50"/>
      <c r="B670" s="93"/>
      <c r="C670" s="93"/>
      <c r="D670" s="93"/>
      <c r="E670" s="93"/>
      <c r="F670" s="93"/>
      <c r="G670" s="93"/>
      <c r="H670" s="118"/>
      <c r="I670" s="93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 ht="24.75" customHeight="1">
      <c r="A671" s="50"/>
      <c r="B671" s="93"/>
      <c r="C671" s="93"/>
      <c r="D671" s="93"/>
      <c r="E671" s="93"/>
      <c r="F671" s="93"/>
      <c r="G671" s="93"/>
      <c r="H671" s="118"/>
      <c r="I671" s="93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 ht="24.75" customHeight="1">
      <c r="A672" s="50"/>
      <c r="B672" s="93"/>
      <c r="C672" s="93"/>
      <c r="D672" s="93"/>
      <c r="E672" s="93"/>
      <c r="F672" s="93"/>
      <c r="G672" s="93"/>
      <c r="H672" s="118"/>
      <c r="I672" s="93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 ht="24.75" customHeight="1">
      <c r="A673" s="50"/>
      <c r="B673" s="93"/>
      <c r="C673" s="93"/>
      <c r="D673" s="93"/>
      <c r="E673" s="93"/>
      <c r="F673" s="93"/>
      <c r="G673" s="93"/>
      <c r="H673" s="118"/>
      <c r="I673" s="93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 ht="24.75" customHeight="1">
      <c r="A674" s="50"/>
      <c r="B674" s="93"/>
      <c r="C674" s="93"/>
      <c r="D674" s="93"/>
      <c r="E674" s="93"/>
      <c r="F674" s="93"/>
      <c r="G674" s="93"/>
      <c r="H674" s="118"/>
      <c r="I674" s="93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 ht="24.75" customHeight="1">
      <c r="A675" s="50"/>
      <c r="B675" s="93"/>
      <c r="C675" s="93"/>
      <c r="D675" s="93"/>
      <c r="E675" s="93"/>
      <c r="F675" s="93"/>
      <c r="G675" s="93"/>
      <c r="H675" s="118"/>
      <c r="I675" s="93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 ht="24.75" customHeight="1">
      <c r="A676" s="50"/>
      <c r="B676" s="93"/>
      <c r="C676" s="93"/>
      <c r="D676" s="93"/>
      <c r="E676" s="93"/>
      <c r="F676" s="93"/>
      <c r="G676" s="93"/>
      <c r="H676" s="118"/>
      <c r="I676" s="93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 ht="24.75" customHeight="1">
      <c r="A677" s="50"/>
      <c r="B677" s="93"/>
      <c r="C677" s="93"/>
      <c r="D677" s="93"/>
      <c r="E677" s="93"/>
      <c r="F677" s="93"/>
      <c r="G677" s="93"/>
      <c r="H677" s="118"/>
      <c r="I677" s="93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 ht="24.75" customHeight="1">
      <c r="A678" s="50"/>
      <c r="B678" s="93"/>
      <c r="C678" s="93"/>
      <c r="D678" s="93"/>
      <c r="E678" s="93"/>
      <c r="F678" s="93"/>
      <c r="G678" s="93"/>
      <c r="H678" s="118"/>
      <c r="I678" s="93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 ht="24.75" customHeight="1">
      <c r="A679" s="50"/>
      <c r="B679" s="93"/>
      <c r="C679" s="93"/>
      <c r="D679" s="93"/>
      <c r="E679" s="93"/>
      <c r="F679" s="93"/>
      <c r="G679" s="93"/>
      <c r="H679" s="118"/>
      <c r="I679" s="93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 ht="24.75" customHeight="1">
      <c r="A680" s="50"/>
      <c r="B680" s="93"/>
      <c r="C680" s="93"/>
      <c r="D680" s="93"/>
      <c r="E680" s="93"/>
      <c r="F680" s="93"/>
      <c r="G680" s="93"/>
      <c r="H680" s="118"/>
      <c r="I680" s="93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 ht="24.75" customHeight="1">
      <c r="A681" s="50"/>
      <c r="B681" s="93"/>
      <c r="C681" s="93"/>
      <c r="D681" s="93"/>
      <c r="E681" s="93"/>
      <c r="F681" s="93"/>
      <c r="G681" s="93"/>
      <c r="H681" s="118"/>
      <c r="I681" s="93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 ht="24.75" customHeight="1">
      <c r="A682" s="50"/>
      <c r="B682" s="93"/>
      <c r="C682" s="93"/>
      <c r="D682" s="93"/>
      <c r="E682" s="93"/>
      <c r="F682" s="93"/>
      <c r="G682" s="93"/>
      <c r="H682" s="118"/>
      <c r="I682" s="93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 ht="24.75" customHeight="1">
      <c r="A683" s="50"/>
      <c r="B683" s="93"/>
      <c r="C683" s="93"/>
      <c r="D683" s="93"/>
      <c r="E683" s="93"/>
      <c r="F683" s="93"/>
      <c r="G683" s="93"/>
      <c r="H683" s="118"/>
      <c r="I683" s="93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 ht="24.75" customHeight="1">
      <c r="A684" s="50"/>
      <c r="B684" s="93"/>
      <c r="C684" s="93"/>
      <c r="D684" s="93"/>
      <c r="E684" s="93"/>
      <c r="F684" s="93"/>
      <c r="G684" s="93"/>
      <c r="H684" s="118"/>
      <c r="I684" s="93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 ht="24.75" customHeight="1">
      <c r="A685" s="50"/>
      <c r="B685" s="93"/>
      <c r="C685" s="93"/>
      <c r="D685" s="93"/>
      <c r="E685" s="93"/>
      <c r="F685" s="93"/>
      <c r="G685" s="93"/>
      <c r="H685" s="118"/>
      <c r="I685" s="93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 ht="24.75" customHeight="1">
      <c r="A686" s="50"/>
      <c r="B686" s="93"/>
      <c r="C686" s="93"/>
      <c r="D686" s="93"/>
      <c r="E686" s="93"/>
      <c r="F686" s="93"/>
      <c r="G686" s="93"/>
      <c r="H686" s="118"/>
      <c r="I686" s="93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 ht="24.75" customHeight="1">
      <c r="A687" s="50"/>
      <c r="B687" s="93"/>
      <c r="C687" s="93"/>
      <c r="D687" s="93"/>
      <c r="E687" s="93"/>
      <c r="F687" s="93"/>
      <c r="G687" s="93"/>
      <c r="H687" s="118"/>
      <c r="I687" s="93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 ht="24.75" customHeight="1">
      <c r="A688" s="50"/>
      <c r="B688" s="93"/>
      <c r="C688" s="93"/>
      <c r="D688" s="93"/>
      <c r="E688" s="93"/>
      <c r="F688" s="93"/>
      <c r="G688" s="93"/>
      <c r="H688" s="118"/>
      <c r="I688" s="93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 ht="24.75" customHeight="1">
      <c r="A689" s="50"/>
      <c r="B689" s="93"/>
      <c r="C689" s="93"/>
      <c r="D689" s="93"/>
      <c r="E689" s="93"/>
      <c r="F689" s="93"/>
      <c r="G689" s="93"/>
      <c r="H689" s="118"/>
      <c r="I689" s="93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 ht="24.75" customHeight="1">
      <c r="A690" s="50"/>
      <c r="B690" s="93"/>
      <c r="C690" s="93"/>
      <c r="D690" s="93"/>
      <c r="E690" s="93"/>
      <c r="F690" s="93"/>
      <c r="G690" s="93"/>
      <c r="H690" s="118"/>
      <c r="I690" s="93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 ht="24.75" customHeight="1">
      <c r="A691" s="50"/>
      <c r="B691" s="93"/>
      <c r="C691" s="93"/>
      <c r="D691" s="93"/>
      <c r="E691" s="93"/>
      <c r="F691" s="93"/>
      <c r="G691" s="93"/>
      <c r="H691" s="118"/>
      <c r="I691" s="93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 ht="24.75" customHeight="1">
      <c r="A692" s="50"/>
      <c r="B692" s="93"/>
      <c r="C692" s="93"/>
      <c r="D692" s="93"/>
      <c r="E692" s="93"/>
      <c r="F692" s="93"/>
      <c r="G692" s="93"/>
      <c r="H692" s="118"/>
      <c r="I692" s="93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 ht="24.75" customHeight="1">
      <c r="A693" s="50"/>
      <c r="B693" s="93"/>
      <c r="C693" s="93"/>
      <c r="D693" s="93"/>
      <c r="E693" s="93"/>
      <c r="F693" s="93"/>
      <c r="G693" s="93"/>
      <c r="H693" s="118"/>
      <c r="I693" s="93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 ht="24.75" customHeight="1">
      <c r="A694" s="50"/>
      <c r="B694" s="93"/>
      <c r="C694" s="93"/>
      <c r="D694" s="93"/>
      <c r="E694" s="93"/>
      <c r="F694" s="93"/>
      <c r="G694" s="93"/>
      <c r="H694" s="118"/>
      <c r="I694" s="93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 ht="24.75" customHeight="1">
      <c r="A695" s="50"/>
      <c r="B695" s="93"/>
      <c r="C695" s="93"/>
      <c r="D695" s="93"/>
      <c r="E695" s="93"/>
      <c r="F695" s="93"/>
      <c r="G695" s="93"/>
      <c r="H695" s="118"/>
      <c r="I695" s="93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 ht="24.75" customHeight="1">
      <c r="A696" s="50"/>
      <c r="B696" s="93"/>
      <c r="C696" s="93"/>
      <c r="D696" s="93"/>
      <c r="E696" s="93"/>
      <c r="F696" s="93"/>
      <c r="G696" s="93"/>
      <c r="H696" s="118"/>
      <c r="I696" s="93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 ht="24.75" customHeight="1">
      <c r="A697" s="50"/>
      <c r="B697" s="93"/>
      <c r="C697" s="93"/>
      <c r="D697" s="93"/>
      <c r="E697" s="93"/>
      <c r="F697" s="93"/>
      <c r="G697" s="93"/>
      <c r="H697" s="118"/>
      <c r="I697" s="93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 ht="24.75" customHeight="1">
      <c r="A698" s="50"/>
      <c r="B698" s="93"/>
      <c r="C698" s="93"/>
      <c r="D698" s="93"/>
      <c r="E698" s="93"/>
      <c r="F698" s="93"/>
      <c r="G698" s="93"/>
      <c r="H698" s="118"/>
      <c r="I698" s="93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 ht="24.75" customHeight="1">
      <c r="A699" s="50"/>
      <c r="B699" s="93"/>
      <c r="C699" s="93"/>
      <c r="D699" s="93"/>
      <c r="E699" s="93"/>
      <c r="F699" s="93"/>
      <c r="G699" s="93"/>
      <c r="H699" s="118"/>
      <c r="I699" s="93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 ht="24.75" customHeight="1">
      <c r="A700" s="50"/>
      <c r="B700" s="93"/>
      <c r="C700" s="93"/>
      <c r="D700" s="93"/>
      <c r="E700" s="93"/>
      <c r="F700" s="93"/>
      <c r="G700" s="93"/>
      <c r="H700" s="118"/>
      <c r="I700" s="93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 ht="24.75" customHeight="1">
      <c r="A701" s="50"/>
      <c r="B701" s="93"/>
      <c r="C701" s="93"/>
      <c r="D701" s="93"/>
      <c r="E701" s="93"/>
      <c r="F701" s="93"/>
      <c r="G701" s="93"/>
      <c r="H701" s="118"/>
      <c r="I701" s="93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 ht="24.75" customHeight="1">
      <c r="A702" s="50"/>
      <c r="B702" s="93"/>
      <c r="C702" s="93"/>
      <c r="D702" s="93"/>
      <c r="E702" s="93"/>
      <c r="F702" s="93"/>
      <c r="G702" s="93"/>
      <c r="H702" s="118"/>
      <c r="I702" s="93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 ht="24.75" customHeight="1">
      <c r="A703" s="50"/>
      <c r="B703" s="93"/>
      <c r="C703" s="93"/>
      <c r="D703" s="93"/>
      <c r="E703" s="93"/>
      <c r="F703" s="93"/>
      <c r="G703" s="93"/>
      <c r="H703" s="118"/>
      <c r="I703" s="93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 ht="24.75" customHeight="1">
      <c r="A704" s="50"/>
      <c r="B704" s="93"/>
      <c r="C704" s="93"/>
      <c r="D704" s="93"/>
      <c r="E704" s="93"/>
      <c r="F704" s="93"/>
      <c r="G704" s="93"/>
      <c r="H704" s="118"/>
      <c r="I704" s="93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 ht="24.75" customHeight="1">
      <c r="A705" s="50"/>
      <c r="B705" s="93"/>
      <c r="C705" s="93"/>
      <c r="D705" s="93"/>
      <c r="E705" s="93"/>
      <c r="F705" s="93"/>
      <c r="G705" s="93"/>
      <c r="H705" s="118"/>
      <c r="I705" s="93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 ht="24.75" customHeight="1">
      <c r="A706" s="50"/>
      <c r="B706" s="93"/>
      <c r="C706" s="93"/>
      <c r="D706" s="93"/>
      <c r="E706" s="93"/>
      <c r="F706" s="93"/>
      <c r="G706" s="93"/>
      <c r="H706" s="118"/>
      <c r="I706" s="93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 ht="24.75" customHeight="1">
      <c r="A707" s="50"/>
      <c r="B707" s="93"/>
      <c r="C707" s="93"/>
      <c r="D707" s="93"/>
      <c r="E707" s="93"/>
      <c r="F707" s="93"/>
      <c r="G707" s="93"/>
      <c r="H707" s="118"/>
      <c r="I707" s="93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 ht="24.75" customHeight="1">
      <c r="A708" s="50"/>
      <c r="B708" s="93"/>
      <c r="C708" s="93"/>
      <c r="D708" s="93"/>
      <c r="E708" s="93"/>
      <c r="F708" s="93"/>
      <c r="G708" s="93"/>
      <c r="H708" s="118"/>
      <c r="I708" s="93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 ht="24.75" customHeight="1">
      <c r="A709" s="50"/>
      <c r="B709" s="93"/>
      <c r="C709" s="93"/>
      <c r="D709" s="93"/>
      <c r="E709" s="93"/>
      <c r="F709" s="93"/>
      <c r="G709" s="93"/>
      <c r="H709" s="118"/>
      <c r="I709" s="93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 ht="24.75" customHeight="1">
      <c r="A710" s="50"/>
      <c r="B710" s="93"/>
      <c r="C710" s="93"/>
      <c r="D710" s="93"/>
      <c r="E710" s="93"/>
      <c r="F710" s="93"/>
      <c r="G710" s="93"/>
      <c r="H710" s="118"/>
      <c r="I710" s="93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 ht="24.75" customHeight="1">
      <c r="A711" s="50"/>
      <c r="B711" s="93"/>
      <c r="C711" s="93"/>
      <c r="D711" s="93"/>
      <c r="E711" s="93"/>
      <c r="F711" s="93"/>
      <c r="G711" s="93"/>
      <c r="H711" s="118"/>
      <c r="I711" s="93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 ht="24.75" customHeight="1">
      <c r="A712" s="50"/>
      <c r="B712" s="93"/>
      <c r="C712" s="93"/>
      <c r="D712" s="93"/>
      <c r="E712" s="93"/>
      <c r="F712" s="93"/>
      <c r="G712" s="93"/>
      <c r="H712" s="118"/>
      <c r="I712" s="93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 ht="24.75" customHeight="1">
      <c r="A713" s="50"/>
      <c r="B713" s="93"/>
      <c r="C713" s="93"/>
      <c r="D713" s="93"/>
      <c r="E713" s="93"/>
      <c r="F713" s="93"/>
      <c r="G713" s="93"/>
      <c r="H713" s="118"/>
      <c r="I713" s="93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 ht="24.75" customHeight="1">
      <c r="A714" s="50"/>
      <c r="B714" s="93"/>
      <c r="C714" s="93"/>
      <c r="D714" s="93"/>
      <c r="E714" s="93"/>
      <c r="F714" s="93"/>
      <c r="G714" s="93"/>
      <c r="H714" s="118"/>
      <c r="I714" s="93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 ht="24.75" customHeight="1">
      <c r="A715" s="50"/>
      <c r="B715" s="93"/>
      <c r="C715" s="93"/>
      <c r="D715" s="93"/>
      <c r="E715" s="93"/>
      <c r="F715" s="93"/>
      <c r="G715" s="93"/>
      <c r="H715" s="118"/>
      <c r="I715" s="93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 ht="24.75" customHeight="1">
      <c r="A716" s="50"/>
      <c r="B716" s="93"/>
      <c r="C716" s="93"/>
      <c r="D716" s="93"/>
      <c r="E716" s="93"/>
      <c r="F716" s="93"/>
      <c r="G716" s="93"/>
      <c r="H716" s="118"/>
      <c r="I716" s="93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 ht="24.75" customHeight="1">
      <c r="A717" s="50"/>
      <c r="B717" s="93"/>
      <c r="C717" s="93"/>
      <c r="D717" s="93"/>
      <c r="E717" s="93"/>
      <c r="F717" s="93"/>
      <c r="G717" s="93"/>
      <c r="H717" s="118"/>
      <c r="I717" s="93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 ht="24.75" customHeight="1">
      <c r="A718" s="50"/>
      <c r="B718" s="93"/>
      <c r="C718" s="93"/>
      <c r="D718" s="93"/>
      <c r="E718" s="93"/>
      <c r="F718" s="93"/>
      <c r="G718" s="93"/>
      <c r="H718" s="118"/>
      <c r="I718" s="93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 ht="24.75" customHeight="1">
      <c r="A719" s="50"/>
      <c r="B719" s="93"/>
      <c r="C719" s="93"/>
      <c r="D719" s="93"/>
      <c r="E719" s="93"/>
      <c r="F719" s="93"/>
      <c r="G719" s="93"/>
      <c r="H719" s="118"/>
      <c r="I719" s="93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 ht="24.75" customHeight="1">
      <c r="A720" s="50"/>
      <c r="B720" s="93"/>
      <c r="C720" s="93"/>
      <c r="D720" s="93"/>
      <c r="E720" s="93"/>
      <c r="F720" s="93"/>
      <c r="G720" s="93"/>
      <c r="H720" s="118"/>
      <c r="I720" s="93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 ht="24.75" customHeight="1">
      <c r="A721" s="50"/>
      <c r="B721" s="93"/>
      <c r="C721" s="93"/>
      <c r="D721" s="93"/>
      <c r="E721" s="93"/>
      <c r="F721" s="93"/>
      <c r="G721" s="93"/>
      <c r="H721" s="118"/>
      <c r="I721" s="93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 ht="24.75" customHeight="1">
      <c r="A722" s="50"/>
      <c r="B722" s="93"/>
      <c r="C722" s="93"/>
      <c r="D722" s="93"/>
      <c r="E722" s="93"/>
      <c r="F722" s="93"/>
      <c r="G722" s="93"/>
      <c r="H722" s="118"/>
      <c r="I722" s="93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 ht="24.75" customHeight="1">
      <c r="A723" s="50"/>
      <c r="B723" s="93"/>
      <c r="C723" s="93"/>
      <c r="D723" s="93"/>
      <c r="E723" s="93"/>
      <c r="F723" s="93"/>
      <c r="G723" s="93"/>
      <c r="H723" s="118"/>
      <c r="I723" s="93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 ht="24.75" customHeight="1">
      <c r="A724" s="50"/>
      <c r="B724" s="93"/>
      <c r="C724" s="93"/>
      <c r="D724" s="93"/>
      <c r="E724" s="93"/>
      <c r="F724" s="93"/>
      <c r="G724" s="93"/>
      <c r="H724" s="118"/>
      <c r="I724" s="93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 ht="24.75" customHeight="1">
      <c r="A725" s="50"/>
      <c r="B725" s="93"/>
      <c r="C725" s="93"/>
      <c r="D725" s="93"/>
      <c r="E725" s="93"/>
      <c r="F725" s="93"/>
      <c r="G725" s="93"/>
      <c r="H725" s="118"/>
      <c r="I725" s="93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 ht="24.75" customHeight="1">
      <c r="A726" s="50"/>
      <c r="B726" s="93"/>
      <c r="C726" s="93"/>
      <c r="D726" s="93"/>
      <c r="E726" s="93"/>
      <c r="F726" s="93"/>
      <c r="G726" s="93"/>
      <c r="H726" s="118"/>
      <c r="I726" s="93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 ht="24.75" customHeight="1">
      <c r="A727" s="50"/>
      <c r="B727" s="93"/>
      <c r="C727" s="93"/>
      <c r="D727" s="93"/>
      <c r="E727" s="93"/>
      <c r="F727" s="93"/>
      <c r="G727" s="93"/>
      <c r="H727" s="118"/>
      <c r="I727" s="93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 ht="24.75" customHeight="1">
      <c r="A728" s="50"/>
      <c r="B728" s="93"/>
      <c r="C728" s="93"/>
      <c r="D728" s="93"/>
      <c r="E728" s="93"/>
      <c r="F728" s="93"/>
      <c r="G728" s="93"/>
      <c r="H728" s="118"/>
      <c r="I728" s="93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 ht="24.75" customHeight="1">
      <c r="A729" s="50"/>
      <c r="B729" s="93"/>
      <c r="C729" s="93"/>
      <c r="D729" s="93"/>
      <c r="E729" s="93"/>
      <c r="F729" s="93"/>
      <c r="G729" s="93"/>
      <c r="H729" s="118"/>
      <c r="I729" s="93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 ht="24.75" customHeight="1">
      <c r="A730" s="50"/>
      <c r="B730" s="93"/>
      <c r="C730" s="93"/>
      <c r="D730" s="93"/>
      <c r="E730" s="93"/>
      <c r="F730" s="93"/>
      <c r="G730" s="93"/>
      <c r="H730" s="118"/>
      <c r="I730" s="93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 ht="24.75" customHeight="1">
      <c r="A731" s="50"/>
      <c r="B731" s="93"/>
      <c r="C731" s="93"/>
      <c r="D731" s="93"/>
      <c r="E731" s="93"/>
      <c r="F731" s="93"/>
      <c r="G731" s="93"/>
      <c r="H731" s="118"/>
      <c r="I731" s="93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 ht="24.75" customHeight="1">
      <c r="A732" s="50"/>
      <c r="B732" s="93"/>
      <c r="C732" s="93"/>
      <c r="D732" s="93"/>
      <c r="E732" s="93"/>
      <c r="F732" s="93"/>
      <c r="G732" s="93"/>
      <c r="H732" s="118"/>
      <c r="I732" s="93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 ht="24.75" customHeight="1">
      <c r="A733" s="50"/>
      <c r="B733" s="93"/>
      <c r="C733" s="93"/>
      <c r="D733" s="93"/>
      <c r="E733" s="93"/>
      <c r="F733" s="93"/>
      <c r="G733" s="93"/>
      <c r="H733" s="118"/>
      <c r="I733" s="93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ht="24.75" customHeight="1">
      <c r="A734" s="50"/>
      <c r="B734" s="93"/>
      <c r="C734" s="93"/>
      <c r="D734" s="93"/>
      <c r="E734" s="93"/>
      <c r="F734" s="93"/>
      <c r="G734" s="93"/>
      <c r="H734" s="118"/>
      <c r="I734" s="93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 ht="24.75" customHeight="1">
      <c r="A735" s="50"/>
      <c r="B735" s="93"/>
      <c r="C735" s="93"/>
      <c r="D735" s="93"/>
      <c r="E735" s="93"/>
      <c r="F735" s="93"/>
      <c r="G735" s="93"/>
      <c r="H735" s="118"/>
      <c r="I735" s="93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 ht="24.75" customHeight="1">
      <c r="A736" s="50"/>
      <c r="B736" s="93"/>
      <c r="C736" s="93"/>
      <c r="D736" s="93"/>
      <c r="E736" s="93"/>
      <c r="F736" s="93"/>
      <c r="G736" s="93"/>
      <c r="H736" s="118"/>
      <c r="I736" s="93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 ht="24.75" customHeight="1">
      <c r="A737" s="50"/>
      <c r="B737" s="93"/>
      <c r="C737" s="93"/>
      <c r="D737" s="93"/>
      <c r="E737" s="93"/>
      <c r="F737" s="93"/>
      <c r="G737" s="93"/>
      <c r="H737" s="118"/>
      <c r="I737" s="93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 ht="24.75" customHeight="1">
      <c r="A738" s="50"/>
      <c r="B738" s="93"/>
      <c r="C738" s="93"/>
      <c r="D738" s="93"/>
      <c r="E738" s="93"/>
      <c r="F738" s="93"/>
      <c r="G738" s="93"/>
      <c r="H738" s="118"/>
      <c r="I738" s="93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ht="24.75" customHeight="1">
      <c r="A739" s="50"/>
      <c r="B739" s="93"/>
      <c r="C739" s="93"/>
      <c r="D739" s="93"/>
      <c r="E739" s="93"/>
      <c r="F739" s="93"/>
      <c r="G739" s="93"/>
      <c r="H739" s="118"/>
      <c r="I739" s="93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ht="24.75" customHeight="1">
      <c r="A740" s="50"/>
      <c r="B740" s="93"/>
      <c r="C740" s="93"/>
      <c r="D740" s="93"/>
      <c r="E740" s="93"/>
      <c r="F740" s="93"/>
      <c r="G740" s="93"/>
      <c r="H740" s="118"/>
      <c r="I740" s="93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 ht="24.75" customHeight="1">
      <c r="A741" s="50"/>
      <c r="B741" s="93"/>
      <c r="C741" s="93"/>
      <c r="D741" s="93"/>
      <c r="E741" s="93"/>
      <c r="F741" s="93"/>
      <c r="G741" s="93"/>
      <c r="H741" s="118"/>
      <c r="I741" s="93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 ht="24.75" customHeight="1">
      <c r="A742" s="50"/>
      <c r="B742" s="93"/>
      <c r="C742" s="93"/>
      <c r="D742" s="93"/>
      <c r="E742" s="93"/>
      <c r="F742" s="93"/>
      <c r="G742" s="93"/>
      <c r="H742" s="118"/>
      <c r="I742" s="93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 ht="24.75" customHeight="1">
      <c r="A743" s="50"/>
      <c r="B743" s="93"/>
      <c r="C743" s="93"/>
      <c r="D743" s="93"/>
      <c r="E743" s="93"/>
      <c r="F743" s="93"/>
      <c r="G743" s="93"/>
      <c r="H743" s="118"/>
      <c r="I743" s="93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 ht="24.75" customHeight="1">
      <c r="A744" s="50"/>
      <c r="B744" s="93"/>
      <c r="C744" s="93"/>
      <c r="D744" s="93"/>
      <c r="E744" s="93"/>
      <c r="F744" s="93"/>
      <c r="G744" s="93"/>
      <c r="H744" s="118"/>
      <c r="I744" s="93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 ht="24.75" customHeight="1">
      <c r="A745" s="50"/>
      <c r="B745" s="93"/>
      <c r="C745" s="93"/>
      <c r="D745" s="93"/>
      <c r="E745" s="93"/>
      <c r="F745" s="93"/>
      <c r="G745" s="93"/>
      <c r="H745" s="118"/>
      <c r="I745" s="93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 ht="24.75" customHeight="1">
      <c r="A746" s="50"/>
      <c r="B746" s="93"/>
      <c r="C746" s="93"/>
      <c r="D746" s="93"/>
      <c r="E746" s="93"/>
      <c r="F746" s="93"/>
      <c r="G746" s="93"/>
      <c r="H746" s="118"/>
      <c r="I746" s="93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 ht="24.75" customHeight="1">
      <c r="A747" s="50"/>
      <c r="B747" s="93"/>
      <c r="C747" s="93"/>
      <c r="D747" s="93"/>
      <c r="E747" s="93"/>
      <c r="F747" s="93"/>
      <c r="G747" s="93"/>
      <c r="H747" s="118"/>
      <c r="I747" s="93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 ht="24.75" customHeight="1">
      <c r="A748" s="50"/>
      <c r="B748" s="93"/>
      <c r="C748" s="93"/>
      <c r="D748" s="93"/>
      <c r="E748" s="93"/>
      <c r="F748" s="93"/>
      <c r="G748" s="93"/>
      <c r="H748" s="118"/>
      <c r="I748" s="93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 ht="24.75" customHeight="1">
      <c r="A749" s="50"/>
      <c r="B749" s="93"/>
      <c r="C749" s="93"/>
      <c r="D749" s="93"/>
      <c r="E749" s="93"/>
      <c r="F749" s="93"/>
      <c r="G749" s="93"/>
      <c r="H749" s="118"/>
      <c r="I749" s="93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 ht="24.75" customHeight="1">
      <c r="A750" s="50"/>
      <c r="B750" s="93"/>
      <c r="C750" s="93"/>
      <c r="D750" s="93"/>
      <c r="E750" s="93"/>
      <c r="F750" s="93"/>
      <c r="G750" s="93"/>
      <c r="H750" s="118"/>
      <c r="I750" s="93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 ht="24.75" customHeight="1">
      <c r="A751" s="50"/>
      <c r="B751" s="93"/>
      <c r="C751" s="93"/>
      <c r="D751" s="93"/>
      <c r="E751" s="93"/>
      <c r="F751" s="93"/>
      <c r="G751" s="93"/>
      <c r="H751" s="118"/>
      <c r="I751" s="93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 ht="24.75" customHeight="1">
      <c r="A752" s="50"/>
      <c r="B752" s="93"/>
      <c r="C752" s="93"/>
      <c r="D752" s="93"/>
      <c r="E752" s="93"/>
      <c r="F752" s="93"/>
      <c r="G752" s="93"/>
      <c r="H752" s="118"/>
      <c r="I752" s="93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 ht="24.75" customHeight="1">
      <c r="A753" s="50"/>
      <c r="B753" s="93"/>
      <c r="C753" s="93"/>
      <c r="D753" s="93"/>
      <c r="E753" s="93"/>
      <c r="F753" s="93"/>
      <c r="G753" s="93"/>
      <c r="H753" s="118"/>
      <c r="I753" s="93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 ht="24.75" customHeight="1">
      <c r="A754" s="50"/>
      <c r="B754" s="93"/>
      <c r="C754" s="93"/>
      <c r="D754" s="93"/>
      <c r="E754" s="93"/>
      <c r="F754" s="93"/>
      <c r="G754" s="93"/>
      <c r="H754" s="118"/>
      <c r="I754" s="93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 ht="24.75" customHeight="1">
      <c r="A755" s="50"/>
      <c r="B755" s="93"/>
      <c r="C755" s="93"/>
      <c r="D755" s="93"/>
      <c r="E755" s="93"/>
      <c r="F755" s="93"/>
      <c r="G755" s="93"/>
      <c r="H755" s="118"/>
      <c r="I755" s="93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 ht="24.75" customHeight="1">
      <c r="A756" s="50"/>
      <c r="B756" s="93"/>
      <c r="C756" s="93"/>
      <c r="D756" s="93"/>
      <c r="E756" s="93"/>
      <c r="F756" s="93"/>
      <c r="G756" s="93"/>
      <c r="H756" s="118"/>
      <c r="I756" s="93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 ht="24.75" customHeight="1">
      <c r="A757" s="50"/>
      <c r="B757" s="93"/>
      <c r="C757" s="93"/>
      <c r="D757" s="93"/>
      <c r="E757" s="93"/>
      <c r="F757" s="93"/>
      <c r="G757" s="93"/>
      <c r="H757" s="118"/>
      <c r="I757" s="93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 ht="24.75" customHeight="1">
      <c r="A758" s="50"/>
      <c r="B758" s="93"/>
      <c r="C758" s="93"/>
      <c r="D758" s="93"/>
      <c r="E758" s="93"/>
      <c r="F758" s="93"/>
      <c r="G758" s="93"/>
      <c r="H758" s="118"/>
      <c r="I758" s="93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 ht="24.75" customHeight="1">
      <c r="A759" s="50"/>
      <c r="B759" s="93"/>
      <c r="C759" s="93"/>
      <c r="D759" s="93"/>
      <c r="E759" s="93"/>
      <c r="F759" s="93"/>
      <c r="G759" s="93"/>
      <c r="H759" s="118"/>
      <c r="I759" s="93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 ht="24.75" customHeight="1">
      <c r="A760" s="50"/>
      <c r="B760" s="93"/>
      <c r="C760" s="93"/>
      <c r="D760" s="93"/>
      <c r="E760" s="93"/>
      <c r="F760" s="93"/>
      <c r="G760" s="93"/>
      <c r="H760" s="118"/>
      <c r="I760" s="93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 ht="24.75" customHeight="1">
      <c r="A761" s="50"/>
      <c r="B761" s="93"/>
      <c r="C761" s="93"/>
      <c r="D761" s="93"/>
      <c r="E761" s="93"/>
      <c r="F761" s="93"/>
      <c r="G761" s="93"/>
      <c r="H761" s="118"/>
      <c r="I761" s="93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 ht="24.75" customHeight="1">
      <c r="A762" s="50"/>
      <c r="B762" s="93"/>
      <c r="C762" s="93"/>
      <c r="D762" s="93"/>
      <c r="E762" s="93"/>
      <c r="F762" s="93"/>
      <c r="G762" s="93"/>
      <c r="H762" s="118"/>
      <c r="I762" s="93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 ht="24.75" customHeight="1">
      <c r="A763" s="50"/>
      <c r="B763" s="93"/>
      <c r="C763" s="93"/>
      <c r="D763" s="93"/>
      <c r="E763" s="93"/>
      <c r="F763" s="93"/>
      <c r="G763" s="93"/>
      <c r="H763" s="118"/>
      <c r="I763" s="93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 ht="24.75" customHeight="1">
      <c r="A764" s="50"/>
      <c r="B764" s="93"/>
      <c r="C764" s="93"/>
      <c r="D764" s="93"/>
      <c r="E764" s="93"/>
      <c r="F764" s="93"/>
      <c r="G764" s="93"/>
      <c r="H764" s="118"/>
      <c r="I764" s="93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 ht="24.75" customHeight="1">
      <c r="A765" s="50"/>
      <c r="B765" s="93"/>
      <c r="C765" s="93"/>
      <c r="D765" s="93"/>
      <c r="E765" s="93"/>
      <c r="F765" s="93"/>
      <c r="G765" s="93"/>
      <c r="H765" s="118"/>
      <c r="I765" s="93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 ht="24.75" customHeight="1">
      <c r="A766" s="50"/>
      <c r="B766" s="93"/>
      <c r="C766" s="93"/>
      <c r="D766" s="93"/>
      <c r="E766" s="93"/>
      <c r="F766" s="93"/>
      <c r="G766" s="93"/>
      <c r="H766" s="118"/>
      <c r="I766" s="93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 ht="24.75" customHeight="1">
      <c r="A767" s="50"/>
      <c r="B767" s="93"/>
      <c r="C767" s="93"/>
      <c r="D767" s="93"/>
      <c r="E767" s="93"/>
      <c r="F767" s="93"/>
      <c r="G767" s="93"/>
      <c r="H767" s="118"/>
      <c r="I767" s="93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 ht="24.75" customHeight="1">
      <c r="A768" s="50"/>
      <c r="B768" s="93"/>
      <c r="C768" s="93"/>
      <c r="D768" s="93"/>
      <c r="E768" s="93"/>
      <c r="F768" s="93"/>
      <c r="G768" s="93"/>
      <c r="H768" s="118"/>
      <c r="I768" s="93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 ht="24.75" customHeight="1">
      <c r="A769" s="50"/>
      <c r="B769" s="93"/>
      <c r="C769" s="93"/>
      <c r="D769" s="93"/>
      <c r="E769" s="93"/>
      <c r="F769" s="93"/>
      <c r="G769" s="93"/>
      <c r="H769" s="118"/>
      <c r="I769" s="93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 ht="24.75" customHeight="1">
      <c r="A770" s="50"/>
      <c r="B770" s="93"/>
      <c r="C770" s="93"/>
      <c r="D770" s="93"/>
      <c r="E770" s="93"/>
      <c r="F770" s="93"/>
      <c r="G770" s="93"/>
      <c r="H770" s="118"/>
      <c r="I770" s="93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 ht="24.75" customHeight="1">
      <c r="A771" s="50"/>
      <c r="B771" s="93"/>
      <c r="C771" s="93"/>
      <c r="D771" s="93"/>
      <c r="E771" s="93"/>
      <c r="F771" s="93"/>
      <c r="G771" s="93"/>
      <c r="H771" s="118"/>
      <c r="I771" s="93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 ht="24.75" customHeight="1">
      <c r="A772" s="50"/>
      <c r="B772" s="93"/>
      <c r="C772" s="93"/>
      <c r="D772" s="93"/>
      <c r="E772" s="93"/>
      <c r="F772" s="93"/>
      <c r="G772" s="93"/>
      <c r="H772" s="118"/>
      <c r="I772" s="93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 ht="24.75" customHeight="1">
      <c r="A773" s="50"/>
      <c r="B773" s="93"/>
      <c r="C773" s="93"/>
      <c r="D773" s="93"/>
      <c r="E773" s="93"/>
      <c r="F773" s="93"/>
      <c r="G773" s="93"/>
      <c r="H773" s="118"/>
      <c r="I773" s="93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 ht="24.75" customHeight="1">
      <c r="A774" s="50"/>
      <c r="B774" s="93"/>
      <c r="C774" s="93"/>
      <c r="D774" s="93"/>
      <c r="E774" s="93"/>
      <c r="F774" s="93"/>
      <c r="G774" s="93"/>
      <c r="H774" s="118"/>
      <c r="I774" s="93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 ht="24.75" customHeight="1">
      <c r="A775" s="50"/>
      <c r="B775" s="93"/>
      <c r="C775" s="93"/>
      <c r="D775" s="93"/>
      <c r="E775" s="93"/>
      <c r="F775" s="93"/>
      <c r="G775" s="93"/>
      <c r="H775" s="118"/>
      <c r="I775" s="93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 ht="24.75" customHeight="1">
      <c r="A776" s="50"/>
      <c r="B776" s="93"/>
      <c r="C776" s="93"/>
      <c r="D776" s="93"/>
      <c r="E776" s="93"/>
      <c r="F776" s="93"/>
      <c r="G776" s="93"/>
      <c r="H776" s="118"/>
      <c r="I776" s="93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 ht="24.75" customHeight="1">
      <c r="A777" s="50"/>
      <c r="B777" s="93"/>
      <c r="C777" s="93"/>
      <c r="D777" s="93"/>
      <c r="E777" s="93"/>
      <c r="F777" s="93"/>
      <c r="G777" s="93"/>
      <c r="H777" s="118"/>
      <c r="I777" s="93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 ht="24.75" customHeight="1">
      <c r="A778" s="50"/>
      <c r="B778" s="93"/>
      <c r="C778" s="93"/>
      <c r="D778" s="93"/>
      <c r="E778" s="93"/>
      <c r="F778" s="93"/>
      <c r="G778" s="93"/>
      <c r="H778" s="118"/>
      <c r="I778" s="93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 ht="24.75" customHeight="1">
      <c r="A779" s="50"/>
      <c r="B779" s="93"/>
      <c r="C779" s="93"/>
      <c r="D779" s="93"/>
      <c r="E779" s="93"/>
      <c r="F779" s="93"/>
      <c r="G779" s="93"/>
      <c r="H779" s="118"/>
      <c r="I779" s="93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 ht="24.75" customHeight="1">
      <c r="A780" s="50"/>
      <c r="B780" s="93"/>
      <c r="C780" s="93"/>
      <c r="D780" s="93"/>
      <c r="E780" s="93"/>
      <c r="F780" s="93"/>
      <c r="G780" s="93"/>
      <c r="H780" s="118"/>
      <c r="I780" s="93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 ht="24.75" customHeight="1">
      <c r="A781" s="50"/>
      <c r="B781" s="93"/>
      <c r="C781" s="93"/>
      <c r="D781" s="93"/>
      <c r="E781" s="93"/>
      <c r="F781" s="93"/>
      <c r="G781" s="93"/>
      <c r="H781" s="118"/>
      <c r="I781" s="93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 ht="24.75" customHeight="1">
      <c r="A782" s="50"/>
      <c r="B782" s="93"/>
      <c r="C782" s="93"/>
      <c r="D782" s="93"/>
      <c r="E782" s="93"/>
      <c r="F782" s="93"/>
      <c r="G782" s="93"/>
      <c r="H782" s="118"/>
      <c r="I782" s="93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 ht="24.75" customHeight="1">
      <c r="A783" s="50"/>
      <c r="B783" s="93"/>
      <c r="C783" s="93"/>
      <c r="D783" s="93"/>
      <c r="E783" s="93"/>
      <c r="F783" s="93"/>
      <c r="G783" s="93"/>
      <c r="H783" s="118"/>
      <c r="I783" s="93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 ht="24.75" customHeight="1">
      <c r="A784" s="50"/>
      <c r="B784" s="93"/>
      <c r="C784" s="93"/>
      <c r="D784" s="93"/>
      <c r="E784" s="93"/>
      <c r="F784" s="93"/>
      <c r="G784" s="93"/>
      <c r="H784" s="118"/>
      <c r="I784" s="93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 ht="24.75" customHeight="1">
      <c r="A785" s="50"/>
      <c r="B785" s="93"/>
      <c r="C785" s="93"/>
      <c r="D785" s="93"/>
      <c r="E785" s="93"/>
      <c r="F785" s="93"/>
      <c r="G785" s="93"/>
      <c r="H785" s="118"/>
      <c r="I785" s="93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 ht="24.75" customHeight="1">
      <c r="A786" s="50"/>
      <c r="B786" s="93"/>
      <c r="C786" s="93"/>
      <c r="D786" s="93"/>
      <c r="E786" s="93"/>
      <c r="F786" s="93"/>
      <c r="G786" s="93"/>
      <c r="H786" s="118"/>
      <c r="I786" s="93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 ht="24.75" customHeight="1">
      <c r="A787" s="50"/>
      <c r="B787" s="93"/>
      <c r="C787" s="93"/>
      <c r="D787" s="93"/>
      <c r="E787" s="93"/>
      <c r="F787" s="93"/>
      <c r="G787" s="93"/>
      <c r="H787" s="118"/>
      <c r="I787" s="93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 ht="24.75" customHeight="1">
      <c r="A788" s="50"/>
      <c r="B788" s="93"/>
      <c r="C788" s="93"/>
      <c r="D788" s="93"/>
      <c r="E788" s="93"/>
      <c r="F788" s="93"/>
      <c r="G788" s="93"/>
      <c r="H788" s="118"/>
      <c r="I788" s="93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 ht="24.75" customHeight="1">
      <c r="A789" s="50"/>
      <c r="B789" s="93"/>
      <c r="C789" s="93"/>
      <c r="D789" s="93"/>
      <c r="E789" s="93"/>
      <c r="F789" s="93"/>
      <c r="G789" s="93"/>
      <c r="H789" s="118"/>
      <c r="I789" s="93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 ht="24.75" customHeight="1">
      <c r="A790" s="50"/>
      <c r="B790" s="93"/>
      <c r="C790" s="93"/>
      <c r="D790" s="93"/>
      <c r="E790" s="93"/>
      <c r="F790" s="93"/>
      <c r="G790" s="93"/>
      <c r="H790" s="118"/>
      <c r="I790" s="93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 ht="24.75" customHeight="1">
      <c r="A791" s="50"/>
      <c r="B791" s="93"/>
      <c r="C791" s="93"/>
      <c r="D791" s="93"/>
      <c r="E791" s="93"/>
      <c r="F791" s="93"/>
      <c r="G791" s="93"/>
      <c r="H791" s="118"/>
      <c r="I791" s="93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 ht="24.75" customHeight="1">
      <c r="A792" s="50"/>
      <c r="B792" s="93"/>
      <c r="C792" s="93"/>
      <c r="D792" s="93"/>
      <c r="E792" s="93"/>
      <c r="F792" s="93"/>
      <c r="G792" s="93"/>
      <c r="H792" s="118"/>
      <c r="I792" s="93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 ht="24.75" customHeight="1">
      <c r="A793" s="50"/>
      <c r="B793" s="93"/>
      <c r="C793" s="93"/>
      <c r="D793" s="93"/>
      <c r="E793" s="93"/>
      <c r="F793" s="93"/>
      <c r="G793" s="93"/>
      <c r="H793" s="118"/>
      <c r="I793" s="93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 ht="24.75" customHeight="1">
      <c r="A794" s="50"/>
      <c r="B794" s="93"/>
      <c r="C794" s="93"/>
      <c r="D794" s="93"/>
      <c r="E794" s="93"/>
      <c r="F794" s="93"/>
      <c r="G794" s="93"/>
      <c r="H794" s="118"/>
      <c r="I794" s="93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 ht="24.75" customHeight="1">
      <c r="A795" s="50"/>
      <c r="B795" s="93"/>
      <c r="C795" s="93"/>
      <c r="D795" s="93"/>
      <c r="E795" s="93"/>
      <c r="F795" s="93"/>
      <c r="G795" s="93"/>
      <c r="H795" s="118"/>
      <c r="I795" s="93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 ht="24.75" customHeight="1">
      <c r="A796" s="50"/>
      <c r="B796" s="93"/>
      <c r="C796" s="93"/>
      <c r="D796" s="93"/>
      <c r="E796" s="93"/>
      <c r="F796" s="93"/>
      <c r="G796" s="93"/>
      <c r="H796" s="118"/>
      <c r="I796" s="93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 ht="24.75" customHeight="1">
      <c r="A797" s="50"/>
      <c r="B797" s="93"/>
      <c r="C797" s="93"/>
      <c r="D797" s="93"/>
      <c r="E797" s="93"/>
      <c r="F797" s="93"/>
      <c r="G797" s="93"/>
      <c r="H797" s="118"/>
      <c r="I797" s="93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 ht="24.75" customHeight="1">
      <c r="A798" s="50"/>
      <c r="B798" s="93"/>
      <c r="C798" s="93"/>
      <c r="D798" s="93"/>
      <c r="E798" s="93"/>
      <c r="F798" s="93"/>
      <c r="G798" s="93"/>
      <c r="H798" s="118"/>
      <c r="I798" s="93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 ht="24.75" customHeight="1">
      <c r="A799" s="50"/>
      <c r="B799" s="93"/>
      <c r="C799" s="93"/>
      <c r="D799" s="93"/>
      <c r="E799" s="93"/>
      <c r="F799" s="93"/>
      <c r="G799" s="93"/>
      <c r="H799" s="118"/>
      <c r="I799" s="93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ht="24.75" customHeight="1">
      <c r="A800" s="50"/>
      <c r="B800" s="93"/>
      <c r="C800" s="93"/>
      <c r="D800" s="93"/>
      <c r="E800" s="93"/>
      <c r="F800" s="93"/>
      <c r="G800" s="93"/>
      <c r="H800" s="118"/>
      <c r="I800" s="93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 ht="24.75" customHeight="1">
      <c r="A801" s="50"/>
      <c r="B801" s="93"/>
      <c r="C801" s="93"/>
      <c r="D801" s="93"/>
      <c r="E801" s="93"/>
      <c r="F801" s="93"/>
      <c r="G801" s="93"/>
      <c r="H801" s="118"/>
      <c r="I801" s="93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 ht="24.75" customHeight="1">
      <c r="A802" s="50"/>
      <c r="B802" s="93"/>
      <c r="C802" s="93"/>
      <c r="D802" s="93"/>
      <c r="E802" s="93"/>
      <c r="F802" s="93"/>
      <c r="G802" s="93"/>
      <c r="H802" s="118"/>
      <c r="I802" s="93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ht="24.75" customHeight="1">
      <c r="A803" s="50"/>
      <c r="B803" s="93"/>
      <c r="C803" s="93"/>
      <c r="D803" s="93"/>
      <c r="E803" s="93"/>
      <c r="F803" s="93"/>
      <c r="G803" s="93"/>
      <c r="H803" s="118"/>
      <c r="I803" s="93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ht="24.75" customHeight="1">
      <c r="A804" s="50"/>
      <c r="B804" s="93"/>
      <c r="C804" s="93"/>
      <c r="D804" s="93"/>
      <c r="E804" s="93"/>
      <c r="F804" s="93"/>
      <c r="G804" s="93"/>
      <c r="H804" s="118"/>
      <c r="I804" s="93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ht="24.75" customHeight="1">
      <c r="A805" s="50"/>
      <c r="B805" s="93"/>
      <c r="C805" s="93"/>
      <c r="D805" s="93"/>
      <c r="E805" s="93"/>
      <c r="F805" s="93"/>
      <c r="G805" s="93"/>
      <c r="H805" s="118"/>
      <c r="I805" s="93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 ht="24.75" customHeight="1">
      <c r="A806" s="50"/>
      <c r="B806" s="93"/>
      <c r="C806" s="93"/>
      <c r="D806" s="93"/>
      <c r="E806" s="93"/>
      <c r="F806" s="93"/>
      <c r="G806" s="93"/>
      <c r="H806" s="118"/>
      <c r="I806" s="93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 ht="24.75" customHeight="1">
      <c r="A807" s="50"/>
      <c r="B807" s="93"/>
      <c r="C807" s="93"/>
      <c r="D807" s="93"/>
      <c r="E807" s="93"/>
      <c r="F807" s="93"/>
      <c r="G807" s="93"/>
      <c r="H807" s="118"/>
      <c r="I807" s="93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 ht="24.75" customHeight="1">
      <c r="A808" s="50"/>
      <c r="B808" s="93"/>
      <c r="C808" s="93"/>
      <c r="D808" s="93"/>
      <c r="E808" s="93"/>
      <c r="F808" s="93"/>
      <c r="G808" s="93"/>
      <c r="H808" s="118"/>
      <c r="I808" s="93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 ht="24.75" customHeight="1">
      <c r="A809" s="50"/>
      <c r="B809" s="93"/>
      <c r="C809" s="93"/>
      <c r="D809" s="93"/>
      <c r="E809" s="93"/>
      <c r="F809" s="93"/>
      <c r="G809" s="93"/>
      <c r="H809" s="118"/>
      <c r="I809" s="93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 ht="24.75" customHeight="1">
      <c r="A810" s="50"/>
      <c r="B810" s="93"/>
      <c r="C810" s="93"/>
      <c r="D810" s="93"/>
      <c r="E810" s="93"/>
      <c r="F810" s="93"/>
      <c r="G810" s="93"/>
      <c r="H810" s="118"/>
      <c r="I810" s="93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 ht="24.75" customHeight="1">
      <c r="A811" s="50"/>
      <c r="B811" s="93"/>
      <c r="C811" s="93"/>
      <c r="D811" s="93"/>
      <c r="E811" s="93"/>
      <c r="F811" s="93"/>
      <c r="G811" s="93"/>
      <c r="H811" s="118"/>
      <c r="I811" s="93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 ht="24.75" customHeight="1">
      <c r="A812" s="50"/>
      <c r="B812" s="93"/>
      <c r="C812" s="93"/>
      <c r="D812" s="93"/>
      <c r="E812" s="93"/>
      <c r="F812" s="93"/>
      <c r="G812" s="93"/>
      <c r="H812" s="118"/>
      <c r="I812" s="93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 ht="24.75" customHeight="1">
      <c r="A813" s="50"/>
      <c r="B813" s="93"/>
      <c r="C813" s="93"/>
      <c r="D813" s="93"/>
      <c r="E813" s="93"/>
      <c r="F813" s="93"/>
      <c r="G813" s="93"/>
      <c r="H813" s="118"/>
      <c r="I813" s="93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 ht="24.75" customHeight="1">
      <c r="A814" s="50"/>
      <c r="B814" s="93"/>
      <c r="C814" s="93"/>
      <c r="D814" s="93"/>
      <c r="E814" s="93"/>
      <c r="F814" s="93"/>
      <c r="G814" s="93"/>
      <c r="H814" s="118"/>
      <c r="I814" s="93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 ht="24.75" customHeight="1">
      <c r="A815" s="50"/>
      <c r="B815" s="93"/>
      <c r="C815" s="93"/>
      <c r="D815" s="93"/>
      <c r="E815" s="93"/>
      <c r="F815" s="93"/>
      <c r="G815" s="93"/>
      <c r="H815" s="118"/>
      <c r="I815" s="93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 ht="24.75" customHeight="1">
      <c r="A816" s="50"/>
      <c r="B816" s="93"/>
      <c r="C816" s="93"/>
      <c r="D816" s="93"/>
      <c r="E816" s="93"/>
      <c r="F816" s="93"/>
      <c r="G816" s="93"/>
      <c r="H816" s="118"/>
      <c r="I816" s="93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 ht="24.75" customHeight="1">
      <c r="A817" s="50"/>
      <c r="B817" s="93"/>
      <c r="C817" s="93"/>
      <c r="D817" s="93"/>
      <c r="E817" s="93"/>
      <c r="F817" s="93"/>
      <c r="G817" s="93"/>
      <c r="H817" s="118"/>
      <c r="I817" s="93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 ht="24.75" customHeight="1">
      <c r="A818" s="50"/>
      <c r="B818" s="93"/>
      <c r="C818" s="93"/>
      <c r="D818" s="93"/>
      <c r="E818" s="93"/>
      <c r="F818" s="93"/>
      <c r="G818" s="93"/>
      <c r="H818" s="118"/>
      <c r="I818" s="93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 ht="24.75" customHeight="1">
      <c r="A819" s="50"/>
      <c r="B819" s="93"/>
      <c r="C819" s="93"/>
      <c r="D819" s="93"/>
      <c r="E819" s="93"/>
      <c r="F819" s="93"/>
      <c r="G819" s="93"/>
      <c r="H819" s="118"/>
      <c r="I819" s="93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 ht="24.75" customHeight="1">
      <c r="A820" s="50"/>
      <c r="B820" s="93"/>
      <c r="C820" s="93"/>
      <c r="D820" s="93"/>
      <c r="E820" s="93"/>
      <c r="F820" s="93"/>
      <c r="G820" s="93"/>
      <c r="H820" s="118"/>
      <c r="I820" s="93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 ht="24.75" customHeight="1">
      <c r="A821" s="50"/>
      <c r="B821" s="93"/>
      <c r="C821" s="93"/>
      <c r="D821" s="93"/>
      <c r="E821" s="93"/>
      <c r="F821" s="93"/>
      <c r="G821" s="93"/>
      <c r="H821" s="118"/>
      <c r="I821" s="93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 ht="24.75" customHeight="1">
      <c r="A822" s="50"/>
      <c r="B822" s="93"/>
      <c r="C822" s="93"/>
      <c r="D822" s="93"/>
      <c r="E822" s="93"/>
      <c r="F822" s="93"/>
      <c r="G822" s="93"/>
      <c r="H822" s="118"/>
      <c r="I822" s="93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 ht="24.75" customHeight="1">
      <c r="A823" s="50"/>
      <c r="B823" s="93"/>
      <c r="C823" s="93"/>
      <c r="D823" s="93"/>
      <c r="E823" s="93"/>
      <c r="F823" s="93"/>
      <c r="G823" s="93"/>
      <c r="H823" s="118"/>
      <c r="I823" s="93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 ht="24.75" customHeight="1">
      <c r="A824" s="50"/>
      <c r="B824" s="93"/>
      <c r="C824" s="93"/>
      <c r="D824" s="93"/>
      <c r="E824" s="93"/>
      <c r="F824" s="93"/>
      <c r="G824" s="93"/>
      <c r="H824" s="118"/>
      <c r="I824" s="93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 ht="24.75" customHeight="1">
      <c r="A825" s="50"/>
      <c r="B825" s="93"/>
      <c r="C825" s="93"/>
      <c r="D825" s="93"/>
      <c r="E825" s="93"/>
      <c r="F825" s="93"/>
      <c r="G825" s="93"/>
      <c r="H825" s="118"/>
      <c r="I825" s="93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 ht="24.75" customHeight="1">
      <c r="A826" s="50"/>
      <c r="B826" s="93"/>
      <c r="C826" s="93"/>
      <c r="D826" s="93"/>
      <c r="E826" s="93"/>
      <c r="F826" s="93"/>
      <c r="G826" s="93"/>
      <c r="H826" s="118"/>
      <c r="I826" s="93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 ht="24.75" customHeight="1">
      <c r="A827" s="50"/>
      <c r="B827" s="93"/>
      <c r="C827" s="93"/>
      <c r="D827" s="93"/>
      <c r="E827" s="93"/>
      <c r="F827" s="93"/>
      <c r="G827" s="93"/>
      <c r="H827" s="118"/>
      <c r="I827" s="93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 ht="24.75" customHeight="1">
      <c r="A828" s="50"/>
      <c r="B828" s="93"/>
      <c r="C828" s="93"/>
      <c r="D828" s="93"/>
      <c r="E828" s="93"/>
      <c r="F828" s="93"/>
      <c r="G828" s="93"/>
      <c r="H828" s="118"/>
      <c r="I828" s="93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 ht="24.75" customHeight="1">
      <c r="A829" s="50"/>
      <c r="B829" s="93"/>
      <c r="C829" s="93"/>
      <c r="D829" s="93"/>
      <c r="E829" s="93"/>
      <c r="F829" s="93"/>
      <c r="G829" s="93"/>
      <c r="H829" s="118"/>
      <c r="I829" s="93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 ht="24.75" customHeight="1">
      <c r="A830" s="50"/>
      <c r="B830" s="93"/>
      <c r="C830" s="93"/>
      <c r="D830" s="93"/>
      <c r="E830" s="93"/>
      <c r="F830" s="93"/>
      <c r="G830" s="93"/>
      <c r="H830" s="118"/>
      <c r="I830" s="93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 ht="24.75" customHeight="1">
      <c r="A831" s="50"/>
      <c r="B831" s="93"/>
      <c r="C831" s="93"/>
      <c r="D831" s="93"/>
      <c r="E831" s="93"/>
      <c r="F831" s="93"/>
      <c r="G831" s="93"/>
      <c r="H831" s="118"/>
      <c r="I831" s="93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 ht="24.75" customHeight="1">
      <c r="A832" s="50"/>
      <c r="B832" s="93"/>
      <c r="C832" s="93"/>
      <c r="D832" s="93"/>
      <c r="E832" s="93"/>
      <c r="F832" s="93"/>
      <c r="G832" s="93"/>
      <c r="H832" s="118"/>
      <c r="I832" s="93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 ht="24.75" customHeight="1">
      <c r="A833" s="50"/>
      <c r="B833" s="93"/>
      <c r="C833" s="93"/>
      <c r="D833" s="93"/>
      <c r="E833" s="93"/>
      <c r="F833" s="93"/>
      <c r="G833" s="93"/>
      <c r="H833" s="118"/>
      <c r="I833" s="93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 ht="24.75" customHeight="1">
      <c r="A834" s="50"/>
      <c r="B834" s="93"/>
      <c r="C834" s="93"/>
      <c r="D834" s="93"/>
      <c r="E834" s="93"/>
      <c r="F834" s="93"/>
      <c r="G834" s="93"/>
      <c r="H834" s="118"/>
      <c r="I834" s="93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 ht="24.75" customHeight="1">
      <c r="A835" s="50"/>
      <c r="B835" s="93"/>
      <c r="C835" s="93"/>
      <c r="D835" s="93"/>
      <c r="E835" s="93"/>
      <c r="F835" s="93"/>
      <c r="G835" s="93"/>
      <c r="H835" s="118"/>
      <c r="I835" s="93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 ht="24.75" customHeight="1">
      <c r="A836" s="50"/>
      <c r="B836" s="93"/>
      <c r="C836" s="93"/>
      <c r="D836" s="93"/>
      <c r="E836" s="93"/>
      <c r="F836" s="93"/>
      <c r="G836" s="93"/>
      <c r="H836" s="118"/>
      <c r="I836" s="93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 ht="24.75" customHeight="1">
      <c r="A837" s="50"/>
      <c r="B837" s="93"/>
      <c r="C837" s="93"/>
      <c r="D837" s="93"/>
      <c r="E837" s="93"/>
      <c r="F837" s="93"/>
      <c r="G837" s="93"/>
      <c r="H837" s="118"/>
      <c r="I837" s="93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 ht="24.75" customHeight="1">
      <c r="A838" s="50"/>
      <c r="B838" s="93"/>
      <c r="C838" s="93"/>
      <c r="D838" s="93"/>
      <c r="E838" s="93"/>
      <c r="F838" s="93"/>
      <c r="G838" s="93"/>
      <c r="H838" s="118"/>
      <c r="I838" s="93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 ht="24.75" customHeight="1">
      <c r="A839" s="50"/>
      <c r="B839" s="93"/>
      <c r="C839" s="93"/>
      <c r="D839" s="93"/>
      <c r="E839" s="93"/>
      <c r="F839" s="93"/>
      <c r="G839" s="93"/>
      <c r="H839" s="118"/>
      <c r="I839" s="93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 ht="24.75" customHeight="1">
      <c r="A840" s="50"/>
      <c r="B840" s="93"/>
      <c r="C840" s="93"/>
      <c r="D840" s="93"/>
      <c r="E840" s="93"/>
      <c r="F840" s="93"/>
      <c r="G840" s="93"/>
      <c r="H840" s="118"/>
      <c r="I840" s="93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 ht="24.75" customHeight="1">
      <c r="A841" s="50"/>
      <c r="B841" s="93"/>
      <c r="C841" s="93"/>
      <c r="D841" s="93"/>
      <c r="E841" s="93"/>
      <c r="F841" s="93"/>
      <c r="G841" s="93"/>
      <c r="H841" s="118"/>
      <c r="I841" s="93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 ht="24.75" customHeight="1">
      <c r="A842" s="50"/>
      <c r="B842" s="93"/>
      <c r="C842" s="93"/>
      <c r="D842" s="93"/>
      <c r="E842" s="93"/>
      <c r="F842" s="93"/>
      <c r="G842" s="93"/>
      <c r="H842" s="118"/>
      <c r="I842" s="93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 ht="24.75" customHeight="1">
      <c r="A843" s="50"/>
      <c r="B843" s="93"/>
      <c r="C843" s="93"/>
      <c r="D843" s="93"/>
      <c r="E843" s="93"/>
      <c r="F843" s="93"/>
      <c r="G843" s="93"/>
      <c r="H843" s="118"/>
      <c r="I843" s="93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 ht="24.75" customHeight="1">
      <c r="A844" s="50"/>
      <c r="B844" s="93"/>
      <c r="C844" s="93"/>
      <c r="D844" s="93"/>
      <c r="E844" s="93"/>
      <c r="F844" s="93"/>
      <c r="G844" s="93"/>
      <c r="H844" s="118"/>
      <c r="I844" s="93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 ht="24.75" customHeight="1">
      <c r="A845" s="50"/>
      <c r="B845" s="93"/>
      <c r="C845" s="93"/>
      <c r="D845" s="93"/>
      <c r="E845" s="93"/>
      <c r="F845" s="93"/>
      <c r="G845" s="93"/>
      <c r="H845" s="118"/>
      <c r="I845" s="93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 ht="24.75" customHeight="1">
      <c r="A846" s="50"/>
      <c r="B846" s="93"/>
      <c r="C846" s="93"/>
      <c r="D846" s="93"/>
      <c r="E846" s="93"/>
      <c r="F846" s="93"/>
      <c r="G846" s="93"/>
      <c r="H846" s="118"/>
      <c r="I846" s="93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 ht="24.75" customHeight="1">
      <c r="A847" s="50"/>
      <c r="B847" s="93"/>
      <c r="C847" s="93"/>
      <c r="D847" s="93"/>
      <c r="E847" s="93"/>
      <c r="F847" s="93"/>
      <c r="G847" s="93"/>
      <c r="H847" s="118"/>
      <c r="I847" s="93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 ht="24.75" customHeight="1">
      <c r="A848" s="50"/>
      <c r="B848" s="93"/>
      <c r="C848" s="93"/>
      <c r="D848" s="93"/>
      <c r="E848" s="93"/>
      <c r="F848" s="93"/>
      <c r="G848" s="93"/>
      <c r="H848" s="118"/>
      <c r="I848" s="93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ht="24.75" customHeight="1">
      <c r="A849" s="50"/>
      <c r="B849" s="93"/>
      <c r="C849" s="93"/>
      <c r="D849" s="93"/>
      <c r="E849" s="93"/>
      <c r="F849" s="93"/>
      <c r="G849" s="93"/>
      <c r="H849" s="118"/>
      <c r="I849" s="93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 ht="24.75" customHeight="1">
      <c r="A850" s="50"/>
      <c r="B850" s="93"/>
      <c r="C850" s="93"/>
      <c r="D850" s="93"/>
      <c r="E850" s="93"/>
      <c r="F850" s="93"/>
      <c r="G850" s="93"/>
      <c r="H850" s="118"/>
      <c r="I850" s="93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 ht="24.75" customHeight="1">
      <c r="A851" s="50"/>
      <c r="B851" s="93"/>
      <c r="C851" s="93"/>
      <c r="D851" s="93"/>
      <c r="E851" s="93"/>
      <c r="F851" s="93"/>
      <c r="G851" s="93"/>
      <c r="H851" s="118"/>
      <c r="I851" s="93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 ht="24.75" customHeight="1">
      <c r="A852" s="50"/>
      <c r="B852" s="93"/>
      <c r="C852" s="93"/>
      <c r="D852" s="93"/>
      <c r="E852" s="93"/>
      <c r="F852" s="93"/>
      <c r="G852" s="93"/>
      <c r="H852" s="118"/>
      <c r="I852" s="93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 ht="24.75" customHeight="1">
      <c r="A853" s="50"/>
      <c r="B853" s="93"/>
      <c r="C853" s="93"/>
      <c r="D853" s="93"/>
      <c r="E853" s="93"/>
      <c r="F853" s="93"/>
      <c r="G853" s="93"/>
      <c r="H853" s="118"/>
      <c r="I853" s="93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 ht="24.75" customHeight="1">
      <c r="A854" s="50"/>
      <c r="B854" s="93"/>
      <c r="C854" s="93"/>
      <c r="D854" s="93"/>
      <c r="E854" s="93"/>
      <c r="F854" s="93"/>
      <c r="G854" s="93"/>
      <c r="H854" s="118"/>
      <c r="I854" s="93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 ht="24.75" customHeight="1">
      <c r="A855" s="50"/>
      <c r="B855" s="93"/>
      <c r="C855" s="93"/>
      <c r="D855" s="93"/>
      <c r="E855" s="93"/>
      <c r="F855" s="93"/>
      <c r="G855" s="93"/>
      <c r="H855" s="118"/>
      <c r="I855" s="93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 ht="24.75" customHeight="1">
      <c r="A856" s="50"/>
      <c r="B856" s="93"/>
      <c r="C856" s="93"/>
      <c r="D856" s="93"/>
      <c r="E856" s="93"/>
      <c r="F856" s="93"/>
      <c r="G856" s="93"/>
      <c r="H856" s="118"/>
      <c r="I856" s="93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 ht="24.75" customHeight="1">
      <c r="A857" s="50"/>
      <c r="B857" s="93"/>
      <c r="C857" s="93"/>
      <c r="D857" s="93"/>
      <c r="E857" s="93"/>
      <c r="F857" s="93"/>
      <c r="G857" s="93"/>
      <c r="H857" s="118"/>
      <c r="I857" s="93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 ht="24.75" customHeight="1">
      <c r="A858" s="50"/>
      <c r="B858" s="93"/>
      <c r="C858" s="93"/>
      <c r="D858" s="93"/>
      <c r="E858" s="93"/>
      <c r="F858" s="93"/>
      <c r="G858" s="93"/>
      <c r="H858" s="118"/>
      <c r="I858" s="93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 ht="24.75" customHeight="1">
      <c r="A859" s="50"/>
      <c r="B859" s="93"/>
      <c r="C859" s="93"/>
      <c r="D859" s="93"/>
      <c r="E859" s="93"/>
      <c r="F859" s="93"/>
      <c r="G859" s="93"/>
      <c r="H859" s="118"/>
      <c r="I859" s="93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 ht="24.75" customHeight="1">
      <c r="A860" s="50"/>
      <c r="B860" s="93"/>
      <c r="C860" s="93"/>
      <c r="D860" s="93"/>
      <c r="E860" s="93"/>
      <c r="F860" s="93"/>
      <c r="G860" s="93"/>
      <c r="H860" s="118"/>
      <c r="I860" s="93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 ht="24.75" customHeight="1">
      <c r="A861" s="50"/>
      <c r="B861" s="93"/>
      <c r="C861" s="93"/>
      <c r="D861" s="93"/>
      <c r="E861" s="93"/>
      <c r="F861" s="93"/>
      <c r="G861" s="93"/>
      <c r="H861" s="118"/>
      <c r="I861" s="93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 ht="24.75" customHeight="1">
      <c r="A862" s="50"/>
      <c r="B862" s="93"/>
      <c r="C862" s="93"/>
      <c r="D862" s="93"/>
      <c r="E862" s="93"/>
      <c r="F862" s="93"/>
      <c r="G862" s="93"/>
      <c r="H862" s="118"/>
      <c r="I862" s="93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 ht="24.75" customHeight="1">
      <c r="A863" s="50"/>
      <c r="B863" s="93"/>
      <c r="C863" s="93"/>
      <c r="D863" s="93"/>
      <c r="E863" s="93"/>
      <c r="F863" s="93"/>
      <c r="G863" s="93"/>
      <c r="H863" s="118"/>
      <c r="I863" s="93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 ht="24.75" customHeight="1">
      <c r="A864" s="50"/>
      <c r="B864" s="93"/>
      <c r="C864" s="93"/>
      <c r="D864" s="93"/>
      <c r="E864" s="93"/>
      <c r="F864" s="93"/>
      <c r="G864" s="93"/>
      <c r="H864" s="118"/>
      <c r="I864" s="93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 ht="24.75" customHeight="1">
      <c r="A865" s="50"/>
      <c r="B865" s="93"/>
      <c r="C865" s="93"/>
      <c r="D865" s="93"/>
      <c r="E865" s="93"/>
      <c r="F865" s="93"/>
      <c r="G865" s="93"/>
      <c r="H865" s="118"/>
      <c r="I865" s="93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 ht="24.75" customHeight="1">
      <c r="A866" s="50"/>
      <c r="B866" s="93"/>
      <c r="C866" s="50"/>
      <c r="D866" s="50"/>
      <c r="E866" s="50"/>
      <c r="F866" s="50"/>
      <c r="G866" s="93"/>
      <c r="H866" s="118"/>
      <c r="I866" s="93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 ht="24.75" customHeight="1">
      <c r="A867" s="50"/>
      <c r="B867" s="93"/>
      <c r="C867" s="50"/>
      <c r="D867" s="50"/>
      <c r="E867" s="50"/>
      <c r="F867" s="50"/>
      <c r="G867" s="93"/>
      <c r="H867" s="118"/>
      <c r="I867" s="93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</row>
    <row r="868" ht="24.75" customHeight="1">
      <c r="A868" s="50"/>
      <c r="B868" s="93"/>
      <c r="C868" s="50"/>
      <c r="D868" s="50"/>
      <c r="E868" s="50"/>
      <c r="F868" s="50"/>
      <c r="G868" s="93"/>
      <c r="H868" s="118"/>
      <c r="I868" s="93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</row>
    <row r="869" ht="24.75" customHeight="1">
      <c r="A869" s="50"/>
      <c r="B869" s="93"/>
      <c r="C869" s="50"/>
      <c r="D869" s="50"/>
      <c r="E869" s="50"/>
      <c r="F869" s="50"/>
      <c r="G869" s="93"/>
      <c r="H869" s="118"/>
      <c r="I869" s="93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</row>
    <row r="870" ht="24.75" customHeight="1">
      <c r="A870" s="50"/>
      <c r="B870" s="93"/>
      <c r="C870" s="50"/>
      <c r="D870" s="50"/>
      <c r="E870" s="50"/>
      <c r="F870" s="50"/>
      <c r="G870" s="93"/>
      <c r="H870" s="118"/>
      <c r="I870" s="93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 ht="24.75" customHeight="1">
      <c r="A871" s="50"/>
      <c r="B871" s="93"/>
      <c r="C871" s="50"/>
      <c r="D871" s="50"/>
      <c r="E871" s="50"/>
      <c r="F871" s="50"/>
      <c r="G871" s="93"/>
      <c r="H871" s="118"/>
      <c r="I871" s="93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</row>
    <row r="872" ht="24.75" customHeight="1">
      <c r="A872" s="50"/>
      <c r="B872" s="93"/>
      <c r="C872" s="50"/>
      <c r="D872" s="50"/>
      <c r="E872" s="50"/>
      <c r="F872" s="50"/>
      <c r="G872" s="93"/>
      <c r="H872" s="118"/>
      <c r="I872" s="93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</row>
    <row r="873" ht="24.75" customHeight="1">
      <c r="A873" s="50"/>
      <c r="B873" s="93"/>
      <c r="C873" s="50"/>
      <c r="D873" s="50"/>
      <c r="E873" s="50"/>
      <c r="F873" s="50"/>
      <c r="G873" s="93"/>
      <c r="H873" s="118"/>
      <c r="I873" s="93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</row>
    <row r="874" ht="24.75" customHeight="1">
      <c r="A874" s="50"/>
      <c r="B874" s="93"/>
      <c r="C874" s="50"/>
      <c r="D874" s="50"/>
      <c r="E874" s="50"/>
      <c r="F874" s="50"/>
      <c r="G874" s="93"/>
      <c r="H874" s="118"/>
      <c r="I874" s="93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</row>
    <row r="875" ht="24.75" customHeight="1">
      <c r="A875" s="50"/>
      <c r="B875" s="93"/>
      <c r="C875" s="50"/>
      <c r="D875" s="50"/>
      <c r="E875" s="50"/>
      <c r="F875" s="50"/>
      <c r="G875" s="93"/>
      <c r="H875" s="118"/>
      <c r="I875" s="93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</row>
    <row r="876" ht="24.75" customHeight="1">
      <c r="A876" s="50"/>
      <c r="B876" s="93"/>
      <c r="C876" s="50"/>
      <c r="D876" s="50"/>
      <c r="E876" s="50"/>
      <c r="F876" s="50"/>
      <c r="G876" s="93"/>
      <c r="H876" s="118"/>
      <c r="I876" s="93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 ht="24.75" customHeight="1">
      <c r="A877" s="50"/>
      <c r="B877" s="93"/>
      <c r="C877" s="50"/>
      <c r="D877" s="50"/>
      <c r="E877" s="50"/>
      <c r="F877" s="50"/>
      <c r="G877" s="93"/>
      <c r="H877" s="118"/>
      <c r="I877" s="93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</row>
    <row r="878" ht="24.75" customHeight="1">
      <c r="A878" s="50"/>
      <c r="B878" s="93"/>
      <c r="C878" s="50"/>
      <c r="D878" s="50"/>
      <c r="E878" s="50"/>
      <c r="F878" s="50"/>
      <c r="G878" s="93"/>
      <c r="H878" s="118"/>
      <c r="I878" s="93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</row>
    <row r="879" ht="24.75" customHeight="1">
      <c r="A879" s="50"/>
      <c r="B879" s="93"/>
      <c r="C879" s="50"/>
      <c r="D879" s="50"/>
      <c r="E879" s="50"/>
      <c r="F879" s="50"/>
      <c r="G879" s="93"/>
      <c r="H879" s="118"/>
      <c r="I879" s="93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</row>
    <row r="880" ht="24.75" customHeight="1">
      <c r="A880" s="50"/>
      <c r="B880" s="93"/>
      <c r="C880" s="50"/>
      <c r="D880" s="50"/>
      <c r="E880" s="50"/>
      <c r="F880" s="50"/>
      <c r="G880" s="93"/>
      <c r="H880" s="118"/>
      <c r="I880" s="93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</row>
    <row r="881" ht="24.75" customHeight="1">
      <c r="A881" s="50"/>
      <c r="B881" s="93"/>
      <c r="C881" s="50"/>
      <c r="D881" s="50"/>
      <c r="E881" s="50"/>
      <c r="F881" s="50"/>
      <c r="G881" s="93"/>
      <c r="H881" s="118"/>
      <c r="I881" s="93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</row>
    <row r="882" ht="24.75" customHeight="1">
      <c r="A882" s="50"/>
      <c r="B882" s="93"/>
      <c r="C882" s="50"/>
      <c r="D882" s="50"/>
      <c r="E882" s="50"/>
      <c r="F882" s="50"/>
      <c r="G882" s="93"/>
      <c r="H882" s="118"/>
      <c r="I882" s="93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</row>
    <row r="883" ht="24.75" customHeight="1">
      <c r="A883" s="50"/>
      <c r="B883" s="93"/>
      <c r="C883" s="50"/>
      <c r="D883" s="50"/>
      <c r="E883" s="50"/>
      <c r="F883" s="50"/>
      <c r="G883" s="93"/>
      <c r="H883" s="118"/>
      <c r="I883" s="93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</row>
    <row r="884" ht="24.75" customHeight="1">
      <c r="A884" s="50"/>
      <c r="B884" s="93"/>
      <c r="C884" s="50"/>
      <c r="D884" s="50"/>
      <c r="E884" s="50"/>
      <c r="F884" s="50"/>
      <c r="G884" s="93"/>
      <c r="H884" s="118"/>
      <c r="I884" s="93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</row>
    <row r="885" ht="24.75" customHeight="1">
      <c r="A885" s="50"/>
      <c r="B885" s="93"/>
      <c r="C885" s="50"/>
      <c r="D885" s="50"/>
      <c r="E885" s="50"/>
      <c r="F885" s="50"/>
      <c r="G885" s="93"/>
      <c r="H885" s="118"/>
      <c r="I885" s="93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</row>
    <row r="886" ht="24.75" customHeight="1">
      <c r="A886" s="50"/>
      <c r="B886" s="93"/>
      <c r="C886" s="50"/>
      <c r="D886" s="50"/>
      <c r="E886" s="50"/>
      <c r="F886" s="50"/>
      <c r="G886" s="93"/>
      <c r="H886" s="118"/>
      <c r="I886" s="93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</row>
    <row r="887" ht="24.75" customHeight="1">
      <c r="A887" s="50"/>
      <c r="B887" s="93"/>
      <c r="C887" s="50"/>
      <c r="D887" s="50"/>
      <c r="E887" s="50"/>
      <c r="F887" s="50"/>
      <c r="G887" s="93"/>
      <c r="H887" s="118"/>
      <c r="I887" s="93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</row>
    <row r="888" ht="24.75" customHeight="1">
      <c r="A888" s="50"/>
      <c r="B888" s="93"/>
      <c r="C888" s="50"/>
      <c r="D888" s="50"/>
      <c r="E888" s="50"/>
      <c r="F888" s="50"/>
      <c r="G888" s="93"/>
      <c r="H888" s="118"/>
      <c r="I888" s="93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</row>
    <row r="889" ht="24.75" customHeight="1">
      <c r="A889" s="50"/>
      <c r="B889" s="93"/>
      <c r="C889" s="50"/>
      <c r="D889" s="50"/>
      <c r="E889" s="50"/>
      <c r="F889" s="50"/>
      <c r="G889" s="93"/>
      <c r="H889" s="118"/>
      <c r="I889" s="93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</row>
    <row r="890" ht="24.75" customHeight="1">
      <c r="A890" s="170"/>
      <c r="B890" s="119"/>
      <c r="C890" s="170"/>
      <c r="D890" s="170"/>
      <c r="E890" s="170"/>
      <c r="F890" s="170"/>
      <c r="G890" s="170"/>
      <c r="H890" s="120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</row>
    <row r="891" ht="24.75" customHeight="1">
      <c r="A891" s="170"/>
      <c r="B891" s="119"/>
      <c r="C891" s="170"/>
      <c r="D891" s="170"/>
      <c r="E891" s="170"/>
      <c r="F891" s="170"/>
      <c r="G891" s="170"/>
      <c r="H891" s="120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</row>
    <row r="892" ht="24.75" customHeight="1">
      <c r="A892" s="170"/>
      <c r="B892" s="119"/>
      <c r="C892" s="170"/>
      <c r="D892" s="170"/>
      <c r="E892" s="170"/>
      <c r="F892" s="170"/>
      <c r="G892" s="170"/>
      <c r="H892" s="120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</row>
    <row r="893" ht="24.75" customHeight="1">
      <c r="A893" s="170"/>
      <c r="B893" s="119"/>
      <c r="C893" s="170"/>
      <c r="D893" s="170"/>
      <c r="E893" s="170"/>
      <c r="F893" s="170"/>
      <c r="G893" s="170"/>
      <c r="H893" s="120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</row>
    <row r="894" ht="24.75" customHeight="1">
      <c r="A894" s="170"/>
      <c r="B894" s="119"/>
      <c r="C894" s="170"/>
      <c r="D894" s="170"/>
      <c r="E894" s="170"/>
      <c r="F894" s="170"/>
      <c r="G894" s="170"/>
      <c r="H894" s="120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</row>
    <row r="895" ht="24.75" customHeight="1">
      <c r="A895" s="170"/>
      <c r="B895" s="119"/>
      <c r="C895" s="170"/>
      <c r="D895" s="170"/>
      <c r="E895" s="170"/>
      <c r="F895" s="170"/>
      <c r="G895" s="170"/>
      <c r="H895" s="120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</row>
    <row r="896" ht="24.75" customHeight="1">
      <c r="A896" s="170"/>
      <c r="B896" s="119"/>
      <c r="C896" s="170"/>
      <c r="D896" s="170"/>
      <c r="E896" s="170"/>
      <c r="F896" s="170"/>
      <c r="G896" s="170"/>
      <c r="H896" s="120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</row>
    <row r="897" ht="24.75" customHeight="1">
      <c r="A897" s="170"/>
      <c r="B897" s="119"/>
      <c r="C897" s="170"/>
      <c r="D897" s="170"/>
      <c r="E897" s="170"/>
      <c r="F897" s="170"/>
      <c r="G897" s="170"/>
      <c r="H897" s="120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</row>
    <row r="898" ht="24.75" customHeight="1">
      <c r="A898" s="170"/>
      <c r="B898" s="119"/>
      <c r="C898" s="170"/>
      <c r="D898" s="170"/>
      <c r="E898" s="170"/>
      <c r="F898" s="170"/>
      <c r="G898" s="170"/>
      <c r="H898" s="120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</row>
    <row r="899" ht="24.75" customHeight="1">
      <c r="A899" s="170"/>
      <c r="B899" s="119"/>
      <c r="C899" s="170"/>
      <c r="D899" s="170"/>
      <c r="E899" s="170"/>
      <c r="F899" s="170"/>
      <c r="G899" s="170"/>
      <c r="H899" s="120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</row>
    <row r="900" ht="24.75" customHeight="1">
      <c r="A900" s="170"/>
      <c r="B900" s="119"/>
      <c r="C900" s="170"/>
      <c r="D900" s="170"/>
      <c r="E900" s="170"/>
      <c r="F900" s="170"/>
      <c r="G900" s="170"/>
      <c r="H900" s="120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</row>
    <row r="901" ht="24.75" customHeight="1">
      <c r="A901" s="170"/>
      <c r="B901" s="119"/>
      <c r="C901" s="170"/>
      <c r="D901" s="170"/>
      <c r="E901" s="170"/>
      <c r="F901" s="170"/>
      <c r="G901" s="170"/>
      <c r="H901" s="120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</row>
    <row r="902" ht="24.75" customHeight="1">
      <c r="A902" s="170"/>
      <c r="B902" s="119"/>
      <c r="C902" s="170"/>
      <c r="D902" s="170"/>
      <c r="E902" s="170"/>
      <c r="F902" s="170"/>
      <c r="G902" s="170"/>
      <c r="H902" s="120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</row>
    <row r="903" ht="24.75" customHeight="1">
      <c r="A903" s="170"/>
      <c r="B903" s="119"/>
      <c r="C903" s="170"/>
      <c r="D903" s="170"/>
      <c r="E903" s="170"/>
      <c r="F903" s="170"/>
      <c r="G903" s="170"/>
      <c r="H903" s="120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</row>
    <row r="904" ht="24.75" customHeight="1">
      <c r="A904" s="170"/>
      <c r="B904" s="119"/>
      <c r="C904" s="170"/>
      <c r="D904" s="170"/>
      <c r="E904" s="170"/>
      <c r="F904" s="170"/>
      <c r="G904" s="170"/>
      <c r="H904" s="120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</row>
    <row r="905" ht="24.75" customHeight="1">
      <c r="A905" s="170"/>
      <c r="B905" s="119"/>
      <c r="C905" s="170"/>
      <c r="D905" s="170"/>
      <c r="E905" s="170"/>
      <c r="F905" s="170"/>
      <c r="G905" s="170"/>
      <c r="H905" s="120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</row>
    <row r="906" ht="24.75" customHeight="1">
      <c r="A906" s="170"/>
      <c r="B906" s="119"/>
      <c r="C906" s="170"/>
      <c r="D906" s="170"/>
      <c r="E906" s="170"/>
      <c r="F906" s="170"/>
      <c r="G906" s="170"/>
      <c r="H906" s="120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</row>
    <row r="907" ht="24.75" customHeight="1">
      <c r="A907" s="170"/>
      <c r="B907" s="119"/>
      <c r="C907" s="170"/>
      <c r="D907" s="170"/>
      <c r="E907" s="170"/>
      <c r="F907" s="170"/>
      <c r="G907" s="170"/>
      <c r="H907" s="120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</row>
    <row r="908" ht="24.75" customHeight="1">
      <c r="A908" s="170"/>
      <c r="B908" s="119"/>
      <c r="C908" s="170"/>
      <c r="D908" s="170"/>
      <c r="E908" s="170"/>
      <c r="F908" s="170"/>
      <c r="G908" s="170"/>
      <c r="H908" s="120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</row>
    <row r="909" ht="24.75" customHeight="1">
      <c r="A909" s="170"/>
      <c r="B909" s="119"/>
      <c r="C909" s="170"/>
      <c r="D909" s="170"/>
      <c r="E909" s="170"/>
      <c r="F909" s="170"/>
      <c r="G909" s="170"/>
      <c r="H909" s="120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</row>
    <row r="910" ht="24.75" customHeight="1">
      <c r="A910" s="170"/>
      <c r="B910" s="119"/>
      <c r="C910" s="170"/>
      <c r="D910" s="170"/>
      <c r="E910" s="170"/>
      <c r="F910" s="170"/>
      <c r="G910" s="170"/>
      <c r="H910" s="120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</row>
    <row r="911" ht="24.75" customHeight="1">
      <c r="A911" s="171"/>
      <c r="B911" s="168"/>
      <c r="C911" s="171"/>
      <c r="D911" s="171"/>
      <c r="E911" s="171"/>
      <c r="F911" s="171"/>
      <c r="G911" s="171"/>
      <c r="H911" s="172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</row>
    <row r="912" ht="24.75" customHeight="1">
      <c r="A912" s="171"/>
      <c r="B912" s="168"/>
      <c r="C912" s="171"/>
      <c r="D912" s="171"/>
      <c r="E912" s="171"/>
      <c r="F912" s="171"/>
      <c r="G912" s="171"/>
      <c r="H912" s="172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</row>
    <row r="913" ht="24.75" customHeight="1">
      <c r="A913" s="171"/>
      <c r="B913" s="168"/>
      <c r="C913" s="171"/>
      <c r="D913" s="171"/>
      <c r="E913" s="171"/>
      <c r="F913" s="171"/>
      <c r="G913" s="171"/>
      <c r="H913" s="172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</row>
    <row r="914" ht="24.75" customHeight="1">
      <c r="A914" s="171"/>
      <c r="B914" s="168"/>
      <c r="C914" s="171"/>
      <c r="D914" s="171"/>
      <c r="E914" s="171"/>
      <c r="F914" s="171"/>
      <c r="G914" s="171"/>
      <c r="H914" s="172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</row>
    <row r="915" ht="24.75" customHeight="1">
      <c r="A915" s="171"/>
      <c r="B915" s="168"/>
      <c r="C915" s="171"/>
      <c r="D915" s="171"/>
      <c r="E915" s="171"/>
      <c r="F915" s="171"/>
      <c r="G915" s="171"/>
      <c r="H915" s="172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</row>
    <row r="916" ht="24.75" customHeight="1">
      <c r="A916" s="171"/>
      <c r="B916" s="168"/>
      <c r="C916" s="171"/>
      <c r="D916" s="171"/>
      <c r="E916" s="171"/>
      <c r="F916" s="171"/>
      <c r="G916" s="171"/>
      <c r="H916" s="172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</row>
    <row r="917" ht="24.75" customHeight="1">
      <c r="A917" s="171"/>
      <c r="B917" s="168"/>
      <c r="C917" s="171"/>
      <c r="D917" s="171"/>
      <c r="E917" s="171"/>
      <c r="F917" s="171"/>
      <c r="G917" s="171"/>
      <c r="H917" s="172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</row>
    <row r="918" ht="24.75" customHeight="1">
      <c r="A918" s="171"/>
      <c r="B918" s="168"/>
      <c r="C918" s="171"/>
      <c r="D918" s="171"/>
      <c r="E918" s="171"/>
      <c r="F918" s="171"/>
      <c r="G918" s="171"/>
      <c r="H918" s="172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</row>
    <row r="919" ht="24.75" customHeight="1">
      <c r="A919" s="171"/>
      <c r="B919" s="168"/>
      <c r="C919" s="171"/>
      <c r="D919" s="171"/>
      <c r="E919" s="171"/>
      <c r="F919" s="171"/>
      <c r="G919" s="171"/>
      <c r="H919" s="172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</row>
    <row r="920" ht="24.75" customHeight="1">
      <c r="A920" s="171"/>
      <c r="B920" s="168"/>
      <c r="C920" s="171"/>
      <c r="D920" s="171"/>
      <c r="E920" s="171"/>
      <c r="F920" s="171"/>
      <c r="G920" s="171"/>
      <c r="H920" s="172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</row>
    <row r="921" ht="24.75" customHeight="1">
      <c r="A921" s="171"/>
      <c r="B921" s="168"/>
      <c r="C921" s="171"/>
      <c r="D921" s="171"/>
      <c r="E921" s="171"/>
      <c r="F921" s="171"/>
      <c r="G921" s="171"/>
      <c r="H921" s="172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</row>
    <row r="922" ht="24.75" customHeight="1">
      <c r="A922" s="171"/>
      <c r="B922" s="168"/>
      <c r="C922" s="171"/>
      <c r="D922" s="171"/>
      <c r="E922" s="171"/>
      <c r="F922" s="171"/>
      <c r="G922" s="171"/>
      <c r="H922" s="172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</row>
    <row r="923" ht="24.75" customHeight="1">
      <c r="A923" s="171"/>
      <c r="B923" s="168"/>
      <c r="C923" s="171"/>
      <c r="D923" s="171"/>
      <c r="E923" s="171"/>
      <c r="F923" s="171"/>
      <c r="G923" s="171"/>
      <c r="H923" s="172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</row>
    <row r="924" ht="24.75" customHeight="1">
      <c r="A924" s="171"/>
      <c r="B924" s="168"/>
      <c r="C924" s="171"/>
      <c r="D924" s="171"/>
      <c r="E924" s="171"/>
      <c r="F924" s="171"/>
      <c r="G924" s="171"/>
      <c r="H924" s="172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</row>
    <row r="925" ht="24.75" customHeight="1">
      <c r="A925" s="171"/>
      <c r="B925" s="168"/>
      <c r="C925" s="171"/>
      <c r="D925" s="171"/>
      <c r="E925" s="171"/>
      <c r="F925" s="171"/>
      <c r="G925" s="171"/>
      <c r="H925" s="172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</row>
    <row r="926" ht="24.75" customHeight="1">
      <c r="A926" s="171"/>
      <c r="B926" s="168"/>
      <c r="C926" s="171"/>
      <c r="D926" s="171"/>
      <c r="E926" s="171"/>
      <c r="F926" s="171"/>
      <c r="G926" s="171"/>
      <c r="H926" s="172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</row>
    <row r="927" ht="24.75" customHeight="1">
      <c r="A927" s="171"/>
      <c r="B927" s="168"/>
      <c r="C927" s="171"/>
      <c r="D927" s="171"/>
      <c r="E927" s="171"/>
      <c r="F927" s="171"/>
      <c r="G927" s="171"/>
      <c r="H927" s="172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</row>
    <row r="928" ht="24.75" customHeight="1">
      <c r="A928" s="171"/>
      <c r="B928" s="168"/>
      <c r="C928" s="171"/>
      <c r="D928" s="171"/>
      <c r="E928" s="171"/>
      <c r="F928" s="171"/>
      <c r="G928" s="171"/>
      <c r="H928" s="172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</row>
    <row r="929" ht="24.75" customHeight="1">
      <c r="A929" s="171"/>
      <c r="B929" s="168"/>
      <c r="C929" s="171"/>
      <c r="D929" s="171"/>
      <c r="E929" s="171"/>
      <c r="F929" s="171"/>
      <c r="G929" s="171"/>
      <c r="H929" s="172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</row>
  </sheetData>
  <autoFilter ref="$A$1:$V$9">
    <sortState ref="A1:V9">
      <sortCondition ref="B1:B9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9.86"/>
    <col customWidth="1" min="3" max="3" width="20.43"/>
    <col customWidth="1" min="4" max="4" width="12.71"/>
    <col customWidth="1" min="5" max="5" width="17.86"/>
    <col customWidth="1" min="6" max="6" width="21.14"/>
    <col customWidth="1" min="7" max="7" width="12.86"/>
    <col customWidth="1" min="8" max="8" width="37.43"/>
    <col customWidth="1" min="9" max="9" width="39.71"/>
    <col customWidth="1" min="10" max="10" width="12.29"/>
    <col customWidth="1" min="11" max="22" width="34.86"/>
  </cols>
  <sheetData>
    <row r="1" ht="33.75" customHeight="1">
      <c r="A1" s="1" t="s">
        <v>0</v>
      </c>
      <c r="B1" s="1" t="s">
        <v>1</v>
      </c>
      <c r="C1" s="1" t="s">
        <v>2</v>
      </c>
      <c r="D1" s="173" t="s">
        <v>3</v>
      </c>
      <c r="E1" s="110" t="s">
        <v>4</v>
      </c>
      <c r="F1" s="1" t="s">
        <v>5</v>
      </c>
      <c r="G1" s="17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ht="33.75" customHeight="1">
      <c r="A2" s="14" t="s">
        <v>17</v>
      </c>
      <c r="B2" s="14">
        <v>2224.0</v>
      </c>
      <c r="C2" s="19" t="s">
        <v>273</v>
      </c>
      <c r="D2" s="175">
        <v>2.0</v>
      </c>
      <c r="E2" s="111" t="s">
        <v>274</v>
      </c>
      <c r="F2" s="14" t="s">
        <v>275</v>
      </c>
      <c r="G2" s="14">
        <v>6.0</v>
      </c>
      <c r="H2" s="176" t="s">
        <v>182</v>
      </c>
      <c r="I2" s="133"/>
      <c r="J2" s="13" t="b">
        <v>1</v>
      </c>
      <c r="K2" s="13" t="s">
        <v>266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33.75" customHeight="1">
      <c r="A3" s="14" t="s">
        <v>17</v>
      </c>
      <c r="B3" s="14">
        <v>2224.0</v>
      </c>
      <c r="C3" s="19" t="s">
        <v>276</v>
      </c>
      <c r="D3" s="175">
        <v>4.0</v>
      </c>
      <c r="E3" s="111" t="s">
        <v>274</v>
      </c>
      <c r="F3" s="14" t="s">
        <v>277</v>
      </c>
      <c r="G3" s="14">
        <v>6.0</v>
      </c>
      <c r="H3" s="176" t="s">
        <v>278</v>
      </c>
      <c r="I3" s="177" t="s">
        <v>279</v>
      </c>
      <c r="J3" s="13" t="b">
        <v>1</v>
      </c>
      <c r="K3" s="13" t="s">
        <v>266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33.75" customHeight="1">
      <c r="A4" s="14" t="s">
        <v>17</v>
      </c>
      <c r="B4" s="14">
        <v>2225.0</v>
      </c>
      <c r="C4" s="19" t="s">
        <v>280</v>
      </c>
      <c r="D4" s="175">
        <v>2.0</v>
      </c>
      <c r="E4" s="111" t="s">
        <v>274</v>
      </c>
      <c r="F4" s="14" t="s">
        <v>275</v>
      </c>
      <c r="G4" s="14">
        <v>4.0</v>
      </c>
      <c r="H4" s="176" t="s">
        <v>182</v>
      </c>
      <c r="I4" s="133"/>
      <c r="J4" s="13" t="b">
        <v>1</v>
      </c>
      <c r="K4" s="13" t="s">
        <v>266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33.75" customHeight="1">
      <c r="A5" s="14" t="s">
        <v>17</v>
      </c>
      <c r="B5" s="14" t="s">
        <v>25</v>
      </c>
      <c r="C5" s="19" t="s">
        <v>281</v>
      </c>
      <c r="D5" s="175">
        <v>7.0</v>
      </c>
      <c r="E5" s="111" t="s">
        <v>274</v>
      </c>
      <c r="F5" s="14" t="s">
        <v>275</v>
      </c>
      <c r="G5" s="14">
        <v>7.0</v>
      </c>
      <c r="H5" s="176" t="s">
        <v>282</v>
      </c>
      <c r="I5" s="133"/>
      <c r="J5" s="13" t="b">
        <v>1</v>
      </c>
      <c r="K5" s="13" t="s">
        <v>266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33.75" customHeight="1">
      <c r="A6" s="14" t="s">
        <v>17</v>
      </c>
      <c r="B6" s="14" t="s">
        <v>25</v>
      </c>
      <c r="C6" s="19" t="s">
        <v>283</v>
      </c>
      <c r="D6" s="175">
        <v>4.0</v>
      </c>
      <c r="E6" s="111" t="s">
        <v>274</v>
      </c>
      <c r="F6" s="14" t="s">
        <v>284</v>
      </c>
      <c r="G6" s="14">
        <v>6.0</v>
      </c>
      <c r="H6" s="176" t="s">
        <v>285</v>
      </c>
      <c r="I6" s="177" t="s">
        <v>279</v>
      </c>
      <c r="J6" s="13" t="b">
        <v>1</v>
      </c>
      <c r="K6" s="13" t="s">
        <v>266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33.75" customHeight="1">
      <c r="A7" s="113" t="s">
        <v>156</v>
      </c>
      <c r="B7" s="113">
        <v>2024.0</v>
      </c>
      <c r="C7" s="126" t="s">
        <v>286</v>
      </c>
      <c r="D7" s="178">
        <v>2.0</v>
      </c>
      <c r="E7" s="114" t="s">
        <v>287</v>
      </c>
      <c r="F7" s="113" t="s">
        <v>275</v>
      </c>
      <c r="G7" s="113">
        <v>6.0</v>
      </c>
      <c r="H7" s="179" t="s">
        <v>288</v>
      </c>
      <c r="I7" s="128"/>
      <c r="J7" s="13" t="b">
        <v>1</v>
      </c>
      <c r="K7" s="68" t="s">
        <v>27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>
      <c r="A8" s="113" t="s">
        <v>156</v>
      </c>
      <c r="B8" s="113">
        <v>2024.0</v>
      </c>
      <c r="C8" s="126" t="s">
        <v>289</v>
      </c>
      <c r="D8" s="178">
        <v>4.0</v>
      </c>
      <c r="E8" s="114" t="s">
        <v>287</v>
      </c>
      <c r="F8" s="113" t="s">
        <v>275</v>
      </c>
      <c r="G8" s="113">
        <v>6.0</v>
      </c>
      <c r="H8" s="179" t="s">
        <v>290</v>
      </c>
      <c r="I8" s="128"/>
      <c r="J8" s="13" t="b">
        <v>1</v>
      </c>
      <c r="K8" s="68" t="s">
        <v>266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>
      <c r="A9" s="14" t="s">
        <v>17</v>
      </c>
      <c r="B9" s="14">
        <v>2223.0</v>
      </c>
      <c r="C9" s="19" t="s">
        <v>291</v>
      </c>
      <c r="D9" s="175">
        <v>4.0</v>
      </c>
      <c r="E9" s="111" t="s">
        <v>287</v>
      </c>
      <c r="F9" s="14" t="s">
        <v>275</v>
      </c>
      <c r="G9" s="14">
        <v>8.0</v>
      </c>
      <c r="H9" s="176" t="s">
        <v>278</v>
      </c>
      <c r="I9" s="133"/>
      <c r="J9" s="13" t="b">
        <v>1</v>
      </c>
      <c r="K9" s="68" t="s">
        <v>266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ht="33.75" customHeight="1">
      <c r="A10" s="130" t="s">
        <v>170</v>
      </c>
      <c r="B10" s="130">
        <v>2326.0</v>
      </c>
      <c r="C10" s="129" t="s">
        <v>292</v>
      </c>
      <c r="D10" s="180">
        <v>4.0</v>
      </c>
      <c r="E10" s="131" t="s">
        <v>287</v>
      </c>
      <c r="F10" s="130" t="s">
        <v>275</v>
      </c>
      <c r="G10" s="130" t="s">
        <v>271</v>
      </c>
      <c r="H10" s="181" t="s">
        <v>293</v>
      </c>
      <c r="I10" s="182" t="s">
        <v>294</v>
      </c>
      <c r="J10" s="13" t="b">
        <v>1</v>
      </c>
      <c r="K10" s="68" t="s">
        <v>266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ht="33.75" customHeight="1">
      <c r="A11" s="114" t="s">
        <v>156</v>
      </c>
      <c r="B11" s="114" t="s">
        <v>25</v>
      </c>
      <c r="C11" s="183" t="s">
        <v>295</v>
      </c>
      <c r="D11" s="184">
        <v>5.0</v>
      </c>
      <c r="E11" s="114" t="s">
        <v>296</v>
      </c>
      <c r="F11" s="114" t="s">
        <v>277</v>
      </c>
      <c r="G11" s="114">
        <v>1.0</v>
      </c>
      <c r="H11" s="183" t="s">
        <v>297</v>
      </c>
      <c r="I11" s="185" t="s">
        <v>298</v>
      </c>
      <c r="J11" s="13" t="b">
        <v>1</v>
      </c>
      <c r="K11" s="68" t="s">
        <v>266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>
      <c r="A12" s="14" t="s">
        <v>17</v>
      </c>
      <c r="B12" s="14" t="s">
        <v>25</v>
      </c>
      <c r="C12" s="19" t="s">
        <v>299</v>
      </c>
      <c r="D12" s="175">
        <v>4.0</v>
      </c>
      <c r="E12" s="111" t="s">
        <v>296</v>
      </c>
      <c r="F12" s="14" t="s">
        <v>277</v>
      </c>
      <c r="G12" s="14">
        <v>4.0</v>
      </c>
      <c r="H12" s="176" t="s">
        <v>300</v>
      </c>
      <c r="I12" s="177" t="s">
        <v>298</v>
      </c>
      <c r="J12" s="13" t="b">
        <v>1</v>
      </c>
      <c r="K12" s="68" t="s">
        <v>266</v>
      </c>
      <c r="L12" s="68" t="s">
        <v>301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ht="33.75" customHeight="1">
      <c r="A13" s="14" t="s">
        <v>17</v>
      </c>
      <c r="B13" s="14" t="s">
        <v>25</v>
      </c>
      <c r="C13" s="19" t="s">
        <v>302</v>
      </c>
      <c r="D13" s="175">
        <v>4.0</v>
      </c>
      <c r="E13" s="111" t="s">
        <v>296</v>
      </c>
      <c r="F13" s="14" t="s">
        <v>277</v>
      </c>
      <c r="G13" s="14">
        <v>5.0</v>
      </c>
      <c r="H13" s="176" t="s">
        <v>303</v>
      </c>
      <c r="I13" s="177" t="s">
        <v>298</v>
      </c>
      <c r="J13" s="13" t="b">
        <v>1</v>
      </c>
      <c r="K13" s="68" t="s">
        <v>266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ht="33.75" customHeight="1">
      <c r="A14" s="130" t="s">
        <v>170</v>
      </c>
      <c r="B14" s="130">
        <v>2324.0</v>
      </c>
      <c r="C14" s="129" t="s">
        <v>304</v>
      </c>
      <c r="D14" s="180">
        <v>3.0</v>
      </c>
      <c r="E14" s="131" t="s">
        <v>305</v>
      </c>
      <c r="F14" s="130" t="s">
        <v>277</v>
      </c>
      <c r="G14" s="130" t="s">
        <v>171</v>
      </c>
      <c r="H14" s="186"/>
      <c r="I14" s="182" t="s">
        <v>306</v>
      </c>
      <c r="J14" s="13" t="b">
        <v>1</v>
      </c>
      <c r="K14" s="68" t="s">
        <v>266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ht="33.75" customHeight="1">
      <c r="A15" s="14" t="s">
        <v>17</v>
      </c>
      <c r="B15" s="14" t="s">
        <v>307</v>
      </c>
      <c r="C15" s="19" t="s">
        <v>308</v>
      </c>
      <c r="D15" s="175">
        <v>8.0</v>
      </c>
      <c r="E15" s="111" t="s">
        <v>305</v>
      </c>
      <c r="F15" s="14" t="s">
        <v>275</v>
      </c>
      <c r="G15" s="14">
        <v>7.0</v>
      </c>
      <c r="H15" s="176" t="s">
        <v>309</v>
      </c>
      <c r="I15" s="133"/>
      <c r="J15" s="13" t="b">
        <v>1</v>
      </c>
      <c r="K15" s="68" t="s">
        <v>266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ht="33.75" customHeight="1">
      <c r="A16" s="113" t="s">
        <v>156</v>
      </c>
      <c r="B16" s="113">
        <v>2025.0</v>
      </c>
      <c r="C16" s="126" t="s">
        <v>310</v>
      </c>
      <c r="D16" s="178">
        <v>4.0</v>
      </c>
      <c r="E16" s="114" t="s">
        <v>311</v>
      </c>
      <c r="F16" s="113" t="s">
        <v>277</v>
      </c>
      <c r="G16" s="113">
        <v>4.0</v>
      </c>
      <c r="H16" s="179" t="s">
        <v>312</v>
      </c>
      <c r="I16" s="185" t="s">
        <v>313</v>
      </c>
      <c r="J16" s="13" t="b">
        <v>1</v>
      </c>
      <c r="K16" s="68" t="s">
        <v>266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ht="33.75" customHeight="1">
      <c r="A17" s="113" t="s">
        <v>156</v>
      </c>
      <c r="B17" s="113">
        <v>2026.0</v>
      </c>
      <c r="C17" s="126" t="s">
        <v>314</v>
      </c>
      <c r="D17" s="178">
        <v>4.0</v>
      </c>
      <c r="E17" s="114" t="s">
        <v>311</v>
      </c>
      <c r="F17" s="113" t="s">
        <v>275</v>
      </c>
      <c r="G17" s="113">
        <v>2.0</v>
      </c>
      <c r="H17" s="179" t="s">
        <v>315</v>
      </c>
      <c r="I17" s="185" t="s">
        <v>316</v>
      </c>
      <c r="J17" s="13" t="b">
        <v>1</v>
      </c>
      <c r="K17" s="68" t="s">
        <v>266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ht="33.75" customHeight="1">
      <c r="A18" s="113" t="s">
        <v>156</v>
      </c>
      <c r="B18" s="113">
        <v>2026.0</v>
      </c>
      <c r="C18" s="126" t="s">
        <v>317</v>
      </c>
      <c r="D18" s="178">
        <v>4.0</v>
      </c>
      <c r="E18" s="114" t="s">
        <v>311</v>
      </c>
      <c r="F18" s="113" t="s">
        <v>277</v>
      </c>
      <c r="G18" s="113">
        <v>2.0</v>
      </c>
      <c r="H18" s="179" t="s">
        <v>318</v>
      </c>
      <c r="I18" s="185" t="s">
        <v>319</v>
      </c>
      <c r="J18" s="13" t="b">
        <v>1</v>
      </c>
      <c r="K18" s="68" t="s">
        <v>266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ht="33.75" customHeight="1">
      <c r="A19" s="14" t="s">
        <v>17</v>
      </c>
      <c r="B19" s="14">
        <v>2225.0</v>
      </c>
      <c r="C19" s="19" t="s">
        <v>320</v>
      </c>
      <c r="D19" s="175">
        <v>4.0</v>
      </c>
      <c r="E19" s="111" t="s">
        <v>311</v>
      </c>
      <c r="F19" s="14" t="s">
        <v>277</v>
      </c>
      <c r="G19" s="14">
        <v>4.0</v>
      </c>
      <c r="H19" s="176" t="s">
        <v>278</v>
      </c>
      <c r="I19" s="177" t="s">
        <v>321</v>
      </c>
      <c r="J19" s="13" t="b">
        <v>1</v>
      </c>
      <c r="K19" s="68" t="s">
        <v>266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0" ht="33.75" customHeight="1">
      <c r="A20" s="20" t="s">
        <v>21</v>
      </c>
      <c r="B20" s="20">
        <v>1126.0</v>
      </c>
      <c r="C20" s="123" t="s">
        <v>322</v>
      </c>
      <c r="D20" s="187">
        <v>3.0</v>
      </c>
      <c r="E20" s="54" t="s">
        <v>266</v>
      </c>
      <c r="F20" s="20" t="s">
        <v>275</v>
      </c>
      <c r="G20" s="20">
        <v>1.0</v>
      </c>
      <c r="H20" s="188" t="s">
        <v>93</v>
      </c>
      <c r="I20" s="189" t="s">
        <v>323</v>
      </c>
      <c r="J20" s="13" t="b">
        <v>1</v>
      </c>
      <c r="K20" s="68" t="s">
        <v>266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</row>
    <row r="21" ht="33.75" customHeight="1">
      <c r="A21" s="113" t="s">
        <v>156</v>
      </c>
      <c r="B21" s="113">
        <v>2024.0</v>
      </c>
      <c r="C21" s="126" t="s">
        <v>324</v>
      </c>
      <c r="D21" s="178">
        <v>2.0</v>
      </c>
      <c r="E21" s="114" t="s">
        <v>266</v>
      </c>
      <c r="F21" s="113" t="s">
        <v>275</v>
      </c>
      <c r="G21" s="113">
        <v>6.0</v>
      </c>
      <c r="H21" s="179" t="s">
        <v>312</v>
      </c>
      <c r="I21" s="185" t="s">
        <v>323</v>
      </c>
      <c r="J21" s="13" t="b">
        <v>1</v>
      </c>
      <c r="K21" s="68" t="s">
        <v>266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</row>
    <row r="22" ht="33.75" customHeight="1">
      <c r="A22" s="113" t="s">
        <v>156</v>
      </c>
      <c r="B22" s="113">
        <v>2026.0</v>
      </c>
      <c r="C22" s="126" t="s">
        <v>325</v>
      </c>
      <c r="D22" s="178">
        <v>4.0</v>
      </c>
      <c r="E22" s="114" t="s">
        <v>266</v>
      </c>
      <c r="F22" s="113" t="s">
        <v>284</v>
      </c>
      <c r="G22" s="113">
        <v>2.0</v>
      </c>
      <c r="H22" s="179" t="s">
        <v>290</v>
      </c>
      <c r="I22" s="185" t="s">
        <v>326</v>
      </c>
      <c r="J22" s="13" t="b">
        <v>1</v>
      </c>
      <c r="K22" s="68" t="s">
        <v>266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</row>
    <row r="23" ht="33.75" customHeight="1">
      <c r="A23" s="130" t="s">
        <v>170</v>
      </c>
      <c r="B23" s="130">
        <v>2325.0</v>
      </c>
      <c r="C23" s="129" t="s">
        <v>327</v>
      </c>
      <c r="D23" s="180">
        <v>4.0</v>
      </c>
      <c r="E23" s="131" t="s">
        <v>266</v>
      </c>
      <c r="F23" s="130" t="s">
        <v>284</v>
      </c>
      <c r="G23" s="130" t="s">
        <v>328</v>
      </c>
      <c r="H23" s="181" t="s">
        <v>293</v>
      </c>
      <c r="I23" s="182" t="s">
        <v>329</v>
      </c>
      <c r="J23" s="13" t="b">
        <v>1</v>
      </c>
      <c r="K23" s="68" t="s">
        <v>266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</row>
    <row r="24" ht="33.75" customHeight="1">
      <c r="A24" s="130" t="s">
        <v>170</v>
      </c>
      <c r="B24" s="130">
        <v>2326.0</v>
      </c>
      <c r="C24" s="129" t="s">
        <v>330</v>
      </c>
      <c r="D24" s="180">
        <v>2.0</v>
      </c>
      <c r="E24" s="131" t="s">
        <v>266</v>
      </c>
      <c r="F24" s="130" t="s">
        <v>275</v>
      </c>
      <c r="G24" s="130" t="s">
        <v>271</v>
      </c>
      <c r="H24" s="181" t="s">
        <v>331</v>
      </c>
      <c r="I24" s="182" t="s">
        <v>323</v>
      </c>
      <c r="J24" s="13" t="b">
        <v>1</v>
      </c>
      <c r="K24" s="68" t="s">
        <v>266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</row>
    <row r="25">
      <c r="A25" s="113" t="s">
        <v>156</v>
      </c>
      <c r="B25" s="113">
        <v>2026.0</v>
      </c>
      <c r="C25" s="126" t="s">
        <v>332</v>
      </c>
      <c r="D25" s="178">
        <v>5.0</v>
      </c>
      <c r="E25" s="114" t="s">
        <v>333</v>
      </c>
      <c r="F25" s="113" t="s">
        <v>277</v>
      </c>
      <c r="G25" s="113">
        <v>2.0</v>
      </c>
      <c r="H25" s="179" t="s">
        <v>334</v>
      </c>
      <c r="I25" s="185" t="s">
        <v>335</v>
      </c>
      <c r="J25" s="13" t="b">
        <v>1</v>
      </c>
      <c r="K25" s="68" t="s">
        <v>266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</row>
    <row r="26" ht="33.75" customHeight="1">
      <c r="A26" s="14" t="s">
        <v>17</v>
      </c>
      <c r="B26" s="14">
        <v>2223.0</v>
      </c>
      <c r="C26" s="19" t="s">
        <v>336</v>
      </c>
      <c r="D26" s="175">
        <v>2.0</v>
      </c>
      <c r="E26" s="111" t="s">
        <v>333</v>
      </c>
      <c r="F26" s="14" t="s">
        <v>275</v>
      </c>
      <c r="G26" s="14">
        <v>8.0</v>
      </c>
      <c r="H26" s="176" t="s">
        <v>337</v>
      </c>
      <c r="I26" s="133"/>
      <c r="J26" s="13" t="b">
        <v>1</v>
      </c>
      <c r="K26" s="68" t="s">
        <v>266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</row>
    <row r="27" ht="33.75" customHeight="1">
      <c r="A27" s="14" t="s">
        <v>17</v>
      </c>
      <c r="B27" s="14">
        <v>2225.0</v>
      </c>
      <c r="C27" s="19" t="s">
        <v>338</v>
      </c>
      <c r="D27" s="175">
        <v>4.0</v>
      </c>
      <c r="E27" s="111" t="s">
        <v>333</v>
      </c>
      <c r="F27" s="14" t="s">
        <v>277</v>
      </c>
      <c r="G27" s="14">
        <v>4.0</v>
      </c>
      <c r="H27" s="176" t="s">
        <v>339</v>
      </c>
      <c r="I27" s="177" t="s">
        <v>340</v>
      </c>
      <c r="J27" s="13" t="b">
        <v>1</v>
      </c>
      <c r="K27" s="68" t="s">
        <v>266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</row>
    <row r="28" ht="33.75" customHeight="1">
      <c r="A28" s="14" t="s">
        <v>17</v>
      </c>
      <c r="B28" s="111">
        <v>2226.0</v>
      </c>
      <c r="C28" s="19" t="s">
        <v>341</v>
      </c>
      <c r="D28" s="175">
        <v>5.0</v>
      </c>
      <c r="E28" s="111" t="s">
        <v>333</v>
      </c>
      <c r="F28" s="14" t="s">
        <v>275</v>
      </c>
      <c r="G28" s="14">
        <v>2.0</v>
      </c>
      <c r="H28" s="176" t="s">
        <v>342</v>
      </c>
      <c r="I28" s="177" t="s">
        <v>335</v>
      </c>
      <c r="J28" s="13" t="b">
        <v>1</v>
      </c>
      <c r="K28" s="68" t="s">
        <v>266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</row>
    <row r="29" ht="33.75" customHeight="1">
      <c r="A29" s="14" t="s">
        <v>17</v>
      </c>
      <c r="B29" s="14">
        <v>2225.0</v>
      </c>
      <c r="C29" s="19" t="s">
        <v>343</v>
      </c>
      <c r="D29" s="175">
        <v>5.0</v>
      </c>
      <c r="E29" s="111" t="s">
        <v>344</v>
      </c>
      <c r="F29" s="14" t="s">
        <v>275</v>
      </c>
      <c r="G29" s="14">
        <v>4.0</v>
      </c>
      <c r="H29" s="176" t="s">
        <v>309</v>
      </c>
      <c r="I29" s="133"/>
      <c r="J29" s="13" t="b">
        <v>1</v>
      </c>
      <c r="K29" s="68" t="s">
        <v>266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</row>
    <row r="30" ht="33.75" customHeight="1">
      <c r="A30" s="14" t="s">
        <v>17</v>
      </c>
      <c r="B30" s="14">
        <v>2226.0</v>
      </c>
      <c r="C30" s="19" t="s">
        <v>345</v>
      </c>
      <c r="D30" s="175">
        <v>5.0</v>
      </c>
      <c r="E30" s="111" t="s">
        <v>344</v>
      </c>
      <c r="F30" s="14" t="s">
        <v>275</v>
      </c>
      <c r="G30" s="14">
        <v>2.0</v>
      </c>
      <c r="H30" s="176" t="s">
        <v>309</v>
      </c>
      <c r="I30" s="133"/>
      <c r="J30" s="13" t="b">
        <v>1</v>
      </c>
      <c r="K30" s="68" t="s">
        <v>266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</row>
    <row r="31" ht="33.75" customHeight="1">
      <c r="A31" s="130" t="s">
        <v>170</v>
      </c>
      <c r="B31" s="130">
        <v>2324.0</v>
      </c>
      <c r="C31" s="129" t="s">
        <v>346</v>
      </c>
      <c r="D31" s="180">
        <v>3.0</v>
      </c>
      <c r="E31" s="131" t="s">
        <v>344</v>
      </c>
      <c r="F31" s="131" t="s">
        <v>277</v>
      </c>
      <c r="G31" s="130" t="s">
        <v>171</v>
      </c>
      <c r="H31" s="186"/>
      <c r="I31" s="182" t="s">
        <v>347</v>
      </c>
      <c r="J31" s="13" t="b">
        <v>1</v>
      </c>
      <c r="K31" s="68" t="s">
        <v>266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</row>
    <row r="32" ht="33.75" customHeight="1">
      <c r="A32" s="14" t="s">
        <v>17</v>
      </c>
      <c r="B32" s="14" t="s">
        <v>25</v>
      </c>
      <c r="C32" s="19" t="s">
        <v>348</v>
      </c>
      <c r="D32" s="175">
        <v>3.0</v>
      </c>
      <c r="E32" s="111" t="s">
        <v>344</v>
      </c>
      <c r="F32" s="14" t="s">
        <v>277</v>
      </c>
      <c r="G32" s="14">
        <v>3.0</v>
      </c>
      <c r="H32" s="176" t="s">
        <v>349</v>
      </c>
      <c r="I32" s="177" t="s">
        <v>350</v>
      </c>
      <c r="J32" s="13" t="b">
        <v>1</v>
      </c>
      <c r="K32" s="68" t="s">
        <v>266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</row>
    <row r="33" ht="33.75" customHeight="1">
      <c r="A33" s="14" t="s">
        <v>17</v>
      </c>
      <c r="B33" s="14">
        <v>2225.0</v>
      </c>
      <c r="C33" s="19" t="s">
        <v>351</v>
      </c>
      <c r="D33" s="175">
        <v>5.0</v>
      </c>
      <c r="E33" s="111" t="s">
        <v>352</v>
      </c>
      <c r="F33" s="14" t="s">
        <v>284</v>
      </c>
      <c r="G33" s="14">
        <v>4.0</v>
      </c>
      <c r="H33" s="176" t="s">
        <v>342</v>
      </c>
      <c r="I33" s="177" t="s">
        <v>353</v>
      </c>
      <c r="J33" s="13" t="b">
        <v>1</v>
      </c>
      <c r="K33" s="68" t="s">
        <v>266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</row>
    <row r="34" ht="33.75" customHeight="1">
      <c r="A34" s="14" t="s">
        <v>17</v>
      </c>
      <c r="B34" s="14">
        <v>2226.0</v>
      </c>
      <c r="C34" s="19" t="s">
        <v>354</v>
      </c>
      <c r="D34" s="190">
        <v>3.0</v>
      </c>
      <c r="E34" s="111" t="s">
        <v>352</v>
      </c>
      <c r="F34" s="14" t="s">
        <v>284</v>
      </c>
      <c r="G34" s="14">
        <v>2.0</v>
      </c>
      <c r="H34" s="176" t="s">
        <v>162</v>
      </c>
      <c r="I34" s="177" t="s">
        <v>355</v>
      </c>
      <c r="J34" s="13" t="b">
        <v>1</v>
      </c>
      <c r="K34" s="68" t="s">
        <v>266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</row>
    <row r="35" ht="33.75" customHeight="1">
      <c r="A35" s="130" t="s">
        <v>170</v>
      </c>
      <c r="B35" s="130">
        <v>2325.0</v>
      </c>
      <c r="C35" s="129" t="s">
        <v>356</v>
      </c>
      <c r="D35" s="180">
        <v>4.0</v>
      </c>
      <c r="E35" s="131" t="s">
        <v>352</v>
      </c>
      <c r="F35" s="130" t="s">
        <v>284</v>
      </c>
      <c r="G35" s="130" t="s">
        <v>328</v>
      </c>
      <c r="H35" s="191" t="s">
        <v>357</v>
      </c>
      <c r="I35" s="182" t="s">
        <v>355</v>
      </c>
      <c r="J35" s="13" t="b">
        <v>1</v>
      </c>
      <c r="K35" s="68" t="s">
        <v>266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 ht="33.75" customHeight="1">
      <c r="A36" s="130" t="s">
        <v>170</v>
      </c>
      <c r="B36" s="130">
        <v>2326.0</v>
      </c>
      <c r="C36" s="129" t="s">
        <v>358</v>
      </c>
      <c r="D36" s="180">
        <v>4.0</v>
      </c>
      <c r="E36" s="131" t="s">
        <v>352</v>
      </c>
      <c r="F36" s="131" t="s">
        <v>284</v>
      </c>
      <c r="G36" s="130" t="s">
        <v>271</v>
      </c>
      <c r="H36" s="191" t="s">
        <v>359</v>
      </c>
      <c r="I36" s="182" t="s">
        <v>355</v>
      </c>
      <c r="J36" s="13" t="b">
        <v>1</v>
      </c>
      <c r="K36" s="68" t="s">
        <v>266</v>
      </c>
      <c r="L36" s="68" t="s">
        <v>360</v>
      </c>
      <c r="M36" s="57"/>
      <c r="N36" s="57"/>
      <c r="O36" s="57"/>
      <c r="P36" s="57"/>
      <c r="Q36" s="57"/>
      <c r="R36" s="57"/>
      <c r="S36" s="57"/>
      <c r="T36" s="57"/>
      <c r="U36" s="57"/>
      <c r="V36" s="57"/>
    </row>
    <row r="37" ht="33.75" customHeight="1">
      <c r="A37" s="14" t="s">
        <v>17</v>
      </c>
      <c r="B37" s="14">
        <v>2223.0</v>
      </c>
      <c r="C37" s="19" t="s">
        <v>361</v>
      </c>
      <c r="D37" s="175">
        <v>2.0</v>
      </c>
      <c r="E37" s="111" t="s">
        <v>362</v>
      </c>
      <c r="F37" s="14" t="s">
        <v>275</v>
      </c>
      <c r="G37" s="14">
        <v>8.0</v>
      </c>
      <c r="H37" s="176" t="s">
        <v>182</v>
      </c>
      <c r="I37" s="133"/>
      <c r="J37" s="13" t="b">
        <v>1</v>
      </c>
      <c r="K37" s="68" t="s">
        <v>266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</row>
    <row r="38" ht="33.75" customHeight="1">
      <c r="A38" s="14" t="s">
        <v>17</v>
      </c>
      <c r="B38" s="14">
        <v>2224.0</v>
      </c>
      <c r="C38" s="19" t="s">
        <v>363</v>
      </c>
      <c r="D38" s="175">
        <v>6.0</v>
      </c>
      <c r="E38" s="111" t="s">
        <v>362</v>
      </c>
      <c r="F38" s="14" t="s">
        <v>275</v>
      </c>
      <c r="G38" s="14">
        <v>6.0</v>
      </c>
      <c r="H38" s="176" t="s">
        <v>309</v>
      </c>
      <c r="I38" s="133"/>
      <c r="J38" s="13" t="b">
        <v>1</v>
      </c>
      <c r="K38" s="68" t="s">
        <v>266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  <row r="39" ht="33.75" customHeight="1">
      <c r="A39" s="130" t="s">
        <v>170</v>
      </c>
      <c r="B39" s="130">
        <v>2324.0</v>
      </c>
      <c r="C39" s="129" t="s">
        <v>364</v>
      </c>
      <c r="D39" s="180">
        <v>2.0</v>
      </c>
      <c r="E39" s="131" t="s">
        <v>362</v>
      </c>
      <c r="F39" s="131" t="s">
        <v>275</v>
      </c>
      <c r="G39" s="130" t="s">
        <v>171</v>
      </c>
      <c r="H39" s="186"/>
      <c r="I39" s="132"/>
      <c r="J39" s="13" t="b">
        <v>1</v>
      </c>
      <c r="K39" s="68" t="s">
        <v>266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</row>
    <row r="40" ht="33.75" customHeight="1">
      <c r="A40" s="14" t="s">
        <v>17</v>
      </c>
      <c r="B40" s="14" t="s">
        <v>25</v>
      </c>
      <c r="C40" s="19" t="s">
        <v>365</v>
      </c>
      <c r="D40" s="175">
        <v>5.0</v>
      </c>
      <c r="E40" s="111" t="s">
        <v>362</v>
      </c>
      <c r="F40" s="111" t="s">
        <v>277</v>
      </c>
      <c r="G40" s="14">
        <v>6.0</v>
      </c>
      <c r="H40" s="176" t="s">
        <v>366</v>
      </c>
      <c r="I40" s="133"/>
      <c r="J40" s="13" t="b">
        <v>1</v>
      </c>
      <c r="K40" s="68" t="s">
        <v>266</v>
      </c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</row>
    <row r="41" ht="33.75" customHeight="1">
      <c r="A41" s="14" t="s">
        <v>17</v>
      </c>
      <c r="B41" s="14">
        <v>2224.0</v>
      </c>
      <c r="C41" s="19" t="s">
        <v>367</v>
      </c>
      <c r="D41" s="175">
        <v>3.0</v>
      </c>
      <c r="E41" s="111" t="s">
        <v>368</v>
      </c>
      <c r="F41" s="14" t="s">
        <v>275</v>
      </c>
      <c r="G41" s="14">
        <v>6.0</v>
      </c>
      <c r="H41" s="176" t="s">
        <v>162</v>
      </c>
      <c r="I41" s="177" t="s">
        <v>369</v>
      </c>
      <c r="J41" s="13" t="b">
        <v>1</v>
      </c>
      <c r="K41" s="68" t="s">
        <v>266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</row>
    <row r="42" ht="33.75" customHeight="1">
      <c r="A42" s="14" t="s">
        <v>17</v>
      </c>
      <c r="B42" s="14">
        <v>2225.0</v>
      </c>
      <c r="C42" s="19" t="s">
        <v>370</v>
      </c>
      <c r="D42" s="175">
        <v>5.0</v>
      </c>
      <c r="E42" s="111" t="s">
        <v>368</v>
      </c>
      <c r="F42" s="14" t="s">
        <v>277</v>
      </c>
      <c r="G42" s="14">
        <v>4.0</v>
      </c>
      <c r="H42" s="176" t="s">
        <v>371</v>
      </c>
      <c r="I42" s="177" t="s">
        <v>372</v>
      </c>
      <c r="J42" s="13" t="b">
        <v>1</v>
      </c>
      <c r="K42" s="68" t="s">
        <v>266</v>
      </c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</row>
    <row r="43" ht="33.75" customHeight="1">
      <c r="A43" s="130" t="s">
        <v>170</v>
      </c>
      <c r="B43" s="130">
        <v>2325.0</v>
      </c>
      <c r="C43" s="129" t="s">
        <v>373</v>
      </c>
      <c r="D43" s="180">
        <v>4.0</v>
      </c>
      <c r="E43" s="131" t="s">
        <v>368</v>
      </c>
      <c r="F43" s="130" t="s">
        <v>277</v>
      </c>
      <c r="G43" s="130" t="s">
        <v>328</v>
      </c>
      <c r="H43" s="181" t="s">
        <v>293</v>
      </c>
      <c r="I43" s="182" t="s">
        <v>374</v>
      </c>
      <c r="J43" s="13" t="b">
        <v>1</v>
      </c>
      <c r="K43" s="68" t="s">
        <v>266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</row>
    <row r="44" ht="33.75" customHeight="1">
      <c r="A44" s="130" t="s">
        <v>170</v>
      </c>
      <c r="B44" s="130">
        <v>2326.0</v>
      </c>
      <c r="C44" s="129" t="s">
        <v>375</v>
      </c>
      <c r="D44" s="180">
        <v>4.0</v>
      </c>
      <c r="E44" s="131" t="s">
        <v>368</v>
      </c>
      <c r="F44" s="130" t="s">
        <v>277</v>
      </c>
      <c r="G44" s="130" t="s">
        <v>271</v>
      </c>
      <c r="H44" s="181" t="s">
        <v>293</v>
      </c>
      <c r="I44" s="182" t="s">
        <v>374</v>
      </c>
      <c r="J44" s="13" t="b">
        <v>1</v>
      </c>
      <c r="K44" s="68" t="s">
        <v>266</v>
      </c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</row>
    <row r="45" ht="33.75" customHeight="1">
      <c r="A45" s="113" t="s">
        <v>156</v>
      </c>
      <c r="B45" s="113">
        <v>2025.0</v>
      </c>
      <c r="C45" s="126" t="s">
        <v>376</v>
      </c>
      <c r="D45" s="178">
        <v>4.0</v>
      </c>
      <c r="E45" s="114" t="s">
        <v>377</v>
      </c>
      <c r="F45" s="113" t="s">
        <v>275</v>
      </c>
      <c r="G45" s="113">
        <v>4.0</v>
      </c>
      <c r="H45" s="179" t="s">
        <v>315</v>
      </c>
      <c r="I45" s="128"/>
      <c r="J45" s="13" t="b">
        <v>1</v>
      </c>
      <c r="K45" s="68" t="s">
        <v>266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</row>
    <row r="46" ht="33.75" customHeight="1">
      <c r="A46" s="14" t="s">
        <v>17</v>
      </c>
      <c r="B46" s="14">
        <v>2224.0</v>
      </c>
      <c r="C46" s="19" t="s">
        <v>378</v>
      </c>
      <c r="D46" s="175">
        <v>4.0</v>
      </c>
      <c r="E46" s="111" t="s">
        <v>377</v>
      </c>
      <c r="F46" s="14" t="s">
        <v>284</v>
      </c>
      <c r="G46" s="14">
        <v>6.0</v>
      </c>
      <c r="H46" s="176" t="s">
        <v>278</v>
      </c>
      <c r="I46" s="133"/>
      <c r="J46" s="13" t="b">
        <v>1</v>
      </c>
      <c r="K46" s="68" t="s">
        <v>266</v>
      </c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</row>
    <row r="47" ht="33.75" customHeight="1">
      <c r="A47" s="130" t="s">
        <v>170</v>
      </c>
      <c r="B47" s="130">
        <v>2324.0</v>
      </c>
      <c r="C47" s="129" t="s">
        <v>379</v>
      </c>
      <c r="D47" s="180">
        <v>3.0</v>
      </c>
      <c r="E47" s="131" t="s">
        <v>377</v>
      </c>
      <c r="F47" s="130" t="s">
        <v>284</v>
      </c>
      <c r="G47" s="130" t="s">
        <v>171</v>
      </c>
      <c r="H47" s="186"/>
      <c r="I47" s="182"/>
      <c r="J47" s="13" t="b">
        <v>1</v>
      </c>
      <c r="K47" s="68" t="s">
        <v>266</v>
      </c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</row>
    <row r="48" ht="33.75" customHeight="1">
      <c r="A48" s="130" t="s">
        <v>170</v>
      </c>
      <c r="B48" s="130">
        <v>2325.0</v>
      </c>
      <c r="C48" s="129" t="s">
        <v>380</v>
      </c>
      <c r="D48" s="180">
        <v>4.0</v>
      </c>
      <c r="E48" s="131" t="s">
        <v>377</v>
      </c>
      <c r="F48" s="130" t="s">
        <v>275</v>
      </c>
      <c r="G48" s="130" t="s">
        <v>328</v>
      </c>
      <c r="H48" s="181" t="s">
        <v>293</v>
      </c>
      <c r="I48" s="132"/>
      <c r="J48" s="13" t="b">
        <v>1</v>
      </c>
      <c r="K48" s="68" t="s">
        <v>266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</row>
    <row r="49" ht="33.75" customHeight="1">
      <c r="A49" s="93"/>
      <c r="B49" s="93"/>
      <c r="C49" s="93"/>
      <c r="D49" s="192"/>
      <c r="E49" s="93"/>
      <c r="F49" s="59" t="s">
        <v>381</v>
      </c>
      <c r="G49" s="59" t="s">
        <v>381</v>
      </c>
      <c r="H49" s="50"/>
      <c r="I49" s="93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 ht="33.75" customHeight="1">
      <c r="A50" s="93"/>
      <c r="B50" s="59" t="s">
        <v>146</v>
      </c>
      <c r="C50" s="93">
        <f>(SUM(D2:D48)-G50-G51)/10</f>
        <v>15.8</v>
      </c>
      <c r="D50" s="192"/>
      <c r="E50" s="93"/>
      <c r="F50" s="193">
        <f t="shared" ref="F50:F61" si="1">SUMIF($E$2:$E$50,H50,$D$2:$D$50)</f>
        <v>13</v>
      </c>
      <c r="G50" s="193">
        <f>SUMIF($E$2:E$50,"*André*",$D$2:$D$50)</f>
        <v>13</v>
      </c>
      <c r="H50" s="62" t="s">
        <v>296</v>
      </c>
      <c r="I50" s="93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 ht="33.75" customHeight="1">
      <c r="A51" s="93"/>
      <c r="B51" s="93"/>
      <c r="C51" s="93"/>
      <c r="D51" s="192"/>
      <c r="E51" s="93"/>
      <c r="F51" s="193">
        <f t="shared" si="1"/>
        <v>11</v>
      </c>
      <c r="G51" s="193">
        <f>SUMIF(E$2:E$50,"*Aurelio*",D$2:D$50)</f>
        <v>11</v>
      </c>
      <c r="H51" s="62" t="s">
        <v>305</v>
      </c>
      <c r="I51" s="9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 ht="33.75" customHeight="1">
      <c r="A52" s="93"/>
      <c r="B52" s="93"/>
      <c r="C52" s="93"/>
      <c r="D52" s="192"/>
      <c r="E52" s="93"/>
      <c r="F52" s="193">
        <f t="shared" si="1"/>
        <v>14</v>
      </c>
      <c r="G52" s="193">
        <f>SUMIF(E$2:E$50,"*Cláudia*",D$2:D$50)</f>
        <v>14</v>
      </c>
      <c r="H52" s="62" t="s">
        <v>287</v>
      </c>
      <c r="I52" s="9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 ht="33.75" customHeight="1">
      <c r="A53" s="93"/>
      <c r="B53" s="59"/>
      <c r="C53" s="93"/>
      <c r="D53" s="192"/>
      <c r="E53" s="93"/>
      <c r="F53" s="193">
        <f t="shared" si="1"/>
        <v>19</v>
      </c>
      <c r="G53" s="193">
        <f>SUMIF(E$2:E$50,"*Alan*",D$2:D$50)</f>
        <v>19</v>
      </c>
      <c r="H53" s="62" t="s">
        <v>274</v>
      </c>
      <c r="I53" s="9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33.75" customHeight="1">
      <c r="A54" s="93"/>
      <c r="B54" s="93"/>
      <c r="C54" s="93"/>
      <c r="D54" s="192"/>
      <c r="E54" s="93"/>
      <c r="F54" s="193">
        <f t="shared" si="1"/>
        <v>16</v>
      </c>
      <c r="G54" s="193">
        <f>SUMIF(E$2:E$50,"*Jean*",D$2:D$50)</f>
        <v>16</v>
      </c>
      <c r="H54" s="62" t="s">
        <v>311</v>
      </c>
      <c r="I54" s="93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33.75" customHeight="1">
      <c r="A55" s="93"/>
      <c r="B55" s="93"/>
      <c r="C55" s="93"/>
      <c r="D55" s="192"/>
      <c r="E55" s="93"/>
      <c r="F55" s="193">
        <f t="shared" si="1"/>
        <v>15</v>
      </c>
      <c r="G55" s="193">
        <f>SUMIF(E$2:E$50,"*Leandro*",D$2:D$50)</f>
        <v>15</v>
      </c>
      <c r="H55" s="62" t="s">
        <v>266</v>
      </c>
      <c r="I55" s="93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33.75" customHeight="1">
      <c r="A56" s="93"/>
      <c r="B56" s="93"/>
      <c r="C56" s="93"/>
      <c r="D56" s="192"/>
      <c r="E56" s="93"/>
      <c r="F56" s="193">
        <f t="shared" si="1"/>
        <v>16</v>
      </c>
      <c r="G56" s="193">
        <f>SUMIF(E$2:E$50,"*Lucas*",D$2:D$50)</f>
        <v>16</v>
      </c>
      <c r="H56" s="62" t="s">
        <v>333</v>
      </c>
      <c r="I56" s="93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33.75" customHeight="1">
      <c r="A57" s="93"/>
      <c r="B57" s="93"/>
      <c r="C57" s="93"/>
      <c r="D57" s="192"/>
      <c r="E57" s="93"/>
      <c r="F57" s="193">
        <f t="shared" si="1"/>
        <v>16</v>
      </c>
      <c r="G57" s="193">
        <f>SUMIF(E$2:E$50,"*Patrik*",D$2:D$50)</f>
        <v>16</v>
      </c>
      <c r="H57" s="62" t="s">
        <v>352</v>
      </c>
      <c r="I57" s="93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33.75" customHeight="1">
      <c r="A58" s="93"/>
      <c r="B58" s="93"/>
      <c r="C58" s="93"/>
      <c r="D58" s="192"/>
      <c r="E58" s="93"/>
      <c r="F58" s="193">
        <f t="shared" si="1"/>
        <v>16</v>
      </c>
      <c r="G58" s="193">
        <f>SUMIF(E$2:E$50,"*Roberto*",D$2:D$50)</f>
        <v>16</v>
      </c>
      <c r="H58" s="62" t="s">
        <v>368</v>
      </c>
      <c r="I58" s="9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33.75" customHeight="1">
      <c r="A59" s="93"/>
      <c r="B59" s="93"/>
      <c r="C59" s="93"/>
      <c r="D59" s="192"/>
      <c r="E59" s="93"/>
      <c r="F59" s="193">
        <f t="shared" si="1"/>
        <v>15</v>
      </c>
      <c r="G59" s="193">
        <f>SUMIF(E$2:E$50,"*Yujuan*",D$2:D$50)</f>
        <v>15</v>
      </c>
      <c r="H59" s="62" t="s">
        <v>377</v>
      </c>
      <c r="I59" s="9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33.75" customHeight="1">
      <c r="A60" s="93"/>
      <c r="B60" s="93"/>
      <c r="C60" s="93"/>
      <c r="D60" s="192"/>
      <c r="E60" s="93"/>
      <c r="F60" s="193">
        <f t="shared" si="1"/>
        <v>16</v>
      </c>
      <c r="G60" s="193">
        <f>SUMIF(E$2:E$50,"*Murilo*",D$2:D$50)</f>
        <v>16</v>
      </c>
      <c r="H60" s="62" t="s">
        <v>344</v>
      </c>
      <c r="I60" s="93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33.75" customHeight="1">
      <c r="A61" s="93"/>
      <c r="B61" s="93"/>
      <c r="C61" s="93"/>
      <c r="D61" s="192"/>
      <c r="E61" s="59" t="s">
        <v>382</v>
      </c>
      <c r="F61" s="193">
        <f t="shared" si="1"/>
        <v>15</v>
      </c>
      <c r="G61" s="193">
        <f>SUMIF(E$2:E$50,"*PSS*",D$2:D$50)</f>
        <v>15</v>
      </c>
      <c r="H61" s="62" t="s">
        <v>362</v>
      </c>
      <c r="I61" s="93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33.75" customHeight="1">
      <c r="A62" s="93"/>
      <c r="B62" s="93"/>
      <c r="C62" s="93"/>
      <c r="D62" s="192"/>
      <c r="E62" s="93"/>
      <c r="F62" s="93"/>
      <c r="G62" s="193"/>
      <c r="H62" s="50"/>
      <c r="I62" s="93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33.75" customHeight="1">
      <c r="A63" s="93"/>
      <c r="B63" s="93"/>
      <c r="C63" s="93"/>
      <c r="D63" s="192"/>
      <c r="E63" s="93"/>
      <c r="F63" s="93"/>
      <c r="G63" s="193"/>
      <c r="H63" s="50"/>
      <c r="I63" s="93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33.75" customHeight="1">
      <c r="A64" s="93"/>
      <c r="B64" s="93"/>
      <c r="C64" s="93"/>
      <c r="D64" s="192"/>
      <c r="E64" s="93"/>
      <c r="F64" s="93"/>
      <c r="G64" s="193"/>
      <c r="H64" s="50"/>
      <c r="I64" s="9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33.75" customHeight="1">
      <c r="A65" s="93"/>
      <c r="B65" s="93"/>
      <c r="C65" s="93"/>
      <c r="D65" s="192"/>
      <c r="E65" s="93"/>
      <c r="F65" s="93"/>
      <c r="G65" s="193"/>
      <c r="H65" s="50"/>
      <c r="I65" s="9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33.75" customHeight="1">
      <c r="A66" s="93"/>
      <c r="B66" s="93"/>
      <c r="C66" s="93"/>
      <c r="D66" s="192"/>
      <c r="E66" s="93"/>
      <c r="F66" s="93"/>
      <c r="G66" s="193"/>
      <c r="H66" s="50"/>
      <c r="I66" s="93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33.75" customHeight="1">
      <c r="A67" s="93"/>
      <c r="B67" s="93"/>
      <c r="C67" s="93"/>
      <c r="D67" s="192"/>
      <c r="E67" s="93"/>
      <c r="F67" s="93"/>
      <c r="G67" s="193"/>
      <c r="H67" s="50"/>
      <c r="I67" s="93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33.75" customHeight="1">
      <c r="A68" s="93"/>
      <c r="B68" s="93"/>
      <c r="C68" s="93"/>
      <c r="D68" s="192"/>
      <c r="E68" s="93"/>
      <c r="F68" s="93"/>
      <c r="G68" s="193"/>
      <c r="H68" s="50"/>
      <c r="I68" s="93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33.75" customHeight="1">
      <c r="A69" s="93"/>
      <c r="B69" s="93"/>
      <c r="C69" s="93"/>
      <c r="D69" s="192"/>
      <c r="E69" s="93"/>
      <c r="F69" s="93"/>
      <c r="G69" s="193"/>
      <c r="H69" s="50"/>
      <c r="I69" s="93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33.75" customHeight="1">
      <c r="A70" s="93"/>
      <c r="B70" s="93"/>
      <c r="C70" s="93"/>
      <c r="D70" s="192"/>
      <c r="E70" s="93"/>
      <c r="F70" s="93"/>
      <c r="G70" s="193"/>
      <c r="H70" s="50"/>
      <c r="I70" s="9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33.75" customHeight="1">
      <c r="A71" s="93"/>
      <c r="B71" s="93"/>
      <c r="C71" s="93"/>
      <c r="D71" s="192"/>
      <c r="E71" s="93"/>
      <c r="F71" s="93"/>
      <c r="G71" s="193"/>
      <c r="H71" s="50"/>
      <c r="I71" s="9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33.75" customHeight="1">
      <c r="A72" s="93"/>
      <c r="B72" s="93"/>
      <c r="C72" s="93"/>
      <c r="D72" s="192"/>
      <c r="E72" s="93"/>
      <c r="F72" s="93"/>
      <c r="G72" s="193"/>
      <c r="H72" s="50"/>
      <c r="I72" s="93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33.75" customHeight="1">
      <c r="A73" s="93"/>
      <c r="B73" s="93"/>
      <c r="C73" s="93"/>
      <c r="D73" s="192"/>
      <c r="E73" s="93"/>
      <c r="F73" s="93"/>
      <c r="G73" s="193"/>
      <c r="H73" s="50"/>
      <c r="I73" s="93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33.75" customHeight="1">
      <c r="A74" s="93"/>
      <c r="B74" s="93"/>
      <c r="C74" s="93"/>
      <c r="D74" s="192"/>
      <c r="E74" s="93"/>
      <c r="F74" s="93"/>
      <c r="G74" s="193"/>
      <c r="H74" s="50"/>
      <c r="I74" s="93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33.75" customHeight="1">
      <c r="A75" s="93"/>
      <c r="B75" s="93"/>
      <c r="C75" s="93"/>
      <c r="D75" s="192"/>
      <c r="E75" s="93"/>
      <c r="F75" s="93"/>
      <c r="G75" s="193"/>
      <c r="H75" s="50"/>
      <c r="I75" s="93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33.75" customHeight="1">
      <c r="A76" s="93"/>
      <c r="B76" s="93"/>
      <c r="C76" s="93"/>
      <c r="D76" s="192"/>
      <c r="E76" s="93"/>
      <c r="F76" s="93"/>
      <c r="G76" s="193"/>
      <c r="H76" s="50"/>
      <c r="I76" s="9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33.75" customHeight="1">
      <c r="A77" s="93"/>
      <c r="B77" s="93"/>
      <c r="C77" s="93"/>
      <c r="D77" s="192"/>
      <c r="E77" s="93"/>
      <c r="F77" s="93"/>
      <c r="G77" s="193"/>
      <c r="H77" s="50"/>
      <c r="I77" s="9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33.75" customHeight="1">
      <c r="A78" s="93"/>
      <c r="B78" s="93"/>
      <c r="C78" s="93"/>
      <c r="D78" s="192"/>
      <c r="E78" s="93"/>
      <c r="F78" s="93"/>
      <c r="G78" s="193"/>
      <c r="H78" s="50"/>
      <c r="I78" s="93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33.75" customHeight="1">
      <c r="A79" s="93"/>
      <c r="B79" s="93"/>
      <c r="C79" s="93"/>
      <c r="D79" s="192"/>
      <c r="E79" s="93"/>
      <c r="F79" s="93"/>
      <c r="G79" s="193"/>
      <c r="H79" s="50"/>
      <c r="I79" s="93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33.75" customHeight="1">
      <c r="A80" s="93"/>
      <c r="B80" s="93"/>
      <c r="C80" s="93"/>
      <c r="D80" s="192"/>
      <c r="E80" s="93"/>
      <c r="F80" s="93"/>
      <c r="G80" s="193"/>
      <c r="H80" s="50"/>
      <c r="I80" s="93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33.75" customHeight="1">
      <c r="A81" s="93"/>
      <c r="B81" s="93"/>
      <c r="C81" s="93"/>
      <c r="D81" s="192"/>
      <c r="E81" s="93"/>
      <c r="F81" s="93"/>
      <c r="G81" s="193"/>
      <c r="H81" s="50"/>
      <c r="I81" s="93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33.75" customHeight="1">
      <c r="A82" s="93"/>
      <c r="B82" s="93"/>
      <c r="C82" s="93"/>
      <c r="D82" s="192"/>
      <c r="E82" s="93"/>
      <c r="F82" s="93"/>
      <c r="G82" s="193"/>
      <c r="H82" s="50"/>
      <c r="I82" s="9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33.75" customHeight="1">
      <c r="A83" s="93"/>
      <c r="B83" s="93"/>
      <c r="C83" s="93"/>
      <c r="D83" s="192"/>
      <c r="E83" s="93"/>
      <c r="F83" s="93"/>
      <c r="G83" s="193"/>
      <c r="H83" s="50"/>
      <c r="I83" s="9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33.75" customHeight="1">
      <c r="A84" s="93"/>
      <c r="B84" s="93"/>
      <c r="C84" s="93"/>
      <c r="D84" s="192"/>
      <c r="E84" s="93"/>
      <c r="F84" s="93"/>
      <c r="G84" s="193"/>
      <c r="H84" s="50"/>
      <c r="I84" s="93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33.75" customHeight="1">
      <c r="A85" s="93"/>
      <c r="B85" s="93"/>
      <c r="C85" s="93"/>
      <c r="D85" s="192"/>
      <c r="E85" s="93"/>
      <c r="F85" s="93"/>
      <c r="G85" s="193"/>
      <c r="H85" s="50"/>
      <c r="I85" s="93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33.75" customHeight="1">
      <c r="A86" s="93"/>
      <c r="B86" s="93"/>
      <c r="C86" s="93"/>
      <c r="D86" s="192"/>
      <c r="E86" s="93"/>
      <c r="F86" s="93"/>
      <c r="G86" s="193"/>
      <c r="H86" s="50"/>
      <c r="I86" s="93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33.75" customHeight="1">
      <c r="A87" s="93"/>
      <c r="B87" s="93"/>
      <c r="C87" s="93"/>
      <c r="D87" s="192"/>
      <c r="E87" s="93"/>
      <c r="F87" s="93"/>
      <c r="G87" s="193"/>
      <c r="H87" s="50"/>
      <c r="I87" s="93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33.75" customHeight="1">
      <c r="A88" s="93"/>
      <c r="B88" s="93"/>
      <c r="C88" s="93"/>
      <c r="D88" s="192"/>
      <c r="E88" s="93"/>
      <c r="F88" s="93"/>
      <c r="G88" s="193"/>
      <c r="H88" s="50"/>
      <c r="I88" s="93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33.75" customHeight="1">
      <c r="A89" s="93"/>
      <c r="B89" s="93"/>
      <c r="C89" s="93"/>
      <c r="D89" s="192"/>
      <c r="E89" s="93"/>
      <c r="F89" s="93"/>
      <c r="G89" s="193"/>
      <c r="H89" s="50"/>
      <c r="I89" s="93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33.75" customHeight="1">
      <c r="A90" s="93"/>
      <c r="B90" s="93"/>
      <c r="C90" s="93"/>
      <c r="D90" s="192"/>
      <c r="E90" s="93"/>
      <c r="F90" s="93"/>
      <c r="G90" s="193"/>
      <c r="H90" s="50"/>
      <c r="I90" s="93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33.75" customHeight="1">
      <c r="A91" s="93"/>
      <c r="B91" s="93"/>
      <c r="C91" s="93"/>
      <c r="D91" s="192"/>
      <c r="E91" s="93"/>
      <c r="F91" s="93"/>
      <c r="G91" s="193"/>
      <c r="H91" s="50"/>
      <c r="I91" s="93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33.75" customHeight="1">
      <c r="A92" s="93"/>
      <c r="B92" s="93"/>
      <c r="C92" s="93"/>
      <c r="D92" s="192"/>
      <c r="E92" s="93"/>
      <c r="F92" s="93"/>
      <c r="G92" s="193"/>
      <c r="H92" s="50"/>
      <c r="I92" s="93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33.75" customHeight="1">
      <c r="A93" s="93"/>
      <c r="B93" s="93"/>
      <c r="C93" s="93"/>
      <c r="D93" s="192"/>
      <c r="E93" s="93"/>
      <c r="F93" s="93"/>
      <c r="G93" s="193"/>
      <c r="H93" s="50"/>
      <c r="I93" s="93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33.75" customHeight="1">
      <c r="A94" s="93"/>
      <c r="B94" s="93"/>
      <c r="C94" s="93"/>
      <c r="D94" s="192"/>
      <c r="E94" s="93"/>
      <c r="F94" s="93"/>
      <c r="G94" s="193"/>
      <c r="H94" s="50"/>
      <c r="I94" s="93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33.75" customHeight="1">
      <c r="A95" s="93"/>
      <c r="B95" s="93"/>
      <c r="C95" s="93"/>
      <c r="D95" s="192"/>
      <c r="E95" s="93"/>
      <c r="F95" s="93"/>
      <c r="G95" s="193"/>
      <c r="H95" s="50"/>
      <c r="I95" s="93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33.75" customHeight="1">
      <c r="A96" s="93"/>
      <c r="B96" s="93"/>
      <c r="C96" s="93"/>
      <c r="D96" s="192"/>
      <c r="E96" s="93"/>
      <c r="F96" s="93"/>
      <c r="G96" s="193"/>
      <c r="H96" s="50"/>
      <c r="I96" s="93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33.75" customHeight="1">
      <c r="A97" s="93"/>
      <c r="B97" s="93"/>
      <c r="C97" s="93"/>
      <c r="D97" s="192"/>
      <c r="E97" s="93"/>
      <c r="F97" s="93"/>
      <c r="G97" s="193"/>
      <c r="H97" s="50"/>
      <c r="I97" s="93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33.75" customHeight="1">
      <c r="A98" s="93"/>
      <c r="B98" s="93"/>
      <c r="C98" s="93"/>
      <c r="D98" s="192"/>
      <c r="E98" s="93"/>
      <c r="F98" s="93"/>
      <c r="G98" s="193"/>
      <c r="H98" s="50"/>
      <c r="I98" s="93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33.75" customHeight="1">
      <c r="A99" s="93"/>
      <c r="B99" s="93"/>
      <c r="C99" s="93"/>
      <c r="D99" s="192"/>
      <c r="E99" s="93"/>
      <c r="F99" s="93"/>
      <c r="G99" s="193"/>
      <c r="H99" s="50"/>
      <c r="I99" s="93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33.75" customHeight="1">
      <c r="A100" s="93"/>
      <c r="B100" s="93"/>
      <c r="C100" s="93"/>
      <c r="D100" s="192"/>
      <c r="E100" s="93"/>
      <c r="F100" s="93"/>
      <c r="G100" s="193"/>
      <c r="H100" s="50"/>
      <c r="I100" s="93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33.75" customHeight="1">
      <c r="A101" s="93"/>
      <c r="B101" s="93"/>
      <c r="C101" s="93"/>
      <c r="D101" s="192"/>
      <c r="E101" s="93"/>
      <c r="F101" s="93"/>
      <c r="G101" s="193"/>
      <c r="H101" s="50"/>
      <c r="I101" s="93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33.75" customHeight="1">
      <c r="A102" s="93"/>
      <c r="B102" s="93"/>
      <c r="C102" s="93"/>
      <c r="D102" s="192"/>
      <c r="E102" s="93"/>
      <c r="F102" s="93"/>
      <c r="G102" s="193"/>
      <c r="H102" s="50"/>
      <c r="I102" s="9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33.75" customHeight="1">
      <c r="A103" s="93"/>
      <c r="B103" s="93"/>
      <c r="C103" s="93"/>
      <c r="D103" s="192"/>
      <c r="E103" s="93"/>
      <c r="F103" s="93"/>
      <c r="G103" s="193"/>
      <c r="H103" s="50"/>
      <c r="I103" s="93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33.75" customHeight="1">
      <c r="A104" s="93"/>
      <c r="B104" s="93"/>
      <c r="C104" s="93"/>
      <c r="D104" s="192"/>
      <c r="E104" s="93"/>
      <c r="F104" s="93"/>
      <c r="G104" s="193"/>
      <c r="H104" s="50"/>
      <c r="I104" s="93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33.75" customHeight="1">
      <c r="A105" s="93"/>
      <c r="B105" s="93"/>
      <c r="C105" s="93"/>
      <c r="D105" s="192"/>
      <c r="E105" s="93"/>
      <c r="F105" s="93"/>
      <c r="G105" s="193"/>
      <c r="H105" s="50"/>
      <c r="I105" s="93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33.75" customHeight="1">
      <c r="A106" s="93"/>
      <c r="B106" s="93"/>
      <c r="C106" s="93"/>
      <c r="D106" s="192"/>
      <c r="E106" s="93"/>
      <c r="F106" s="93"/>
      <c r="G106" s="193"/>
      <c r="H106" s="50"/>
      <c r="I106" s="93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33.75" customHeight="1">
      <c r="A107" s="93"/>
      <c r="B107" s="93"/>
      <c r="C107" s="93"/>
      <c r="D107" s="192"/>
      <c r="E107" s="93"/>
      <c r="F107" s="93"/>
      <c r="G107" s="193"/>
      <c r="H107" s="50"/>
      <c r="I107" s="93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33.75" customHeight="1">
      <c r="A108" s="93"/>
      <c r="B108" s="93"/>
      <c r="C108" s="93"/>
      <c r="D108" s="192"/>
      <c r="E108" s="93"/>
      <c r="F108" s="93"/>
      <c r="G108" s="193"/>
      <c r="H108" s="50"/>
      <c r="I108" s="93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33.75" customHeight="1">
      <c r="A109" s="93"/>
      <c r="B109" s="93"/>
      <c r="C109" s="93"/>
      <c r="D109" s="192"/>
      <c r="E109" s="93"/>
      <c r="F109" s="93"/>
      <c r="G109" s="193"/>
      <c r="H109" s="50"/>
      <c r="I109" s="93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33.75" customHeight="1">
      <c r="A110" s="93"/>
      <c r="B110" s="93"/>
      <c r="C110" s="93"/>
      <c r="D110" s="192"/>
      <c r="E110" s="93"/>
      <c r="F110" s="93"/>
      <c r="G110" s="193"/>
      <c r="H110" s="50"/>
      <c r="I110" s="93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33.75" customHeight="1">
      <c r="A111" s="93"/>
      <c r="B111" s="93"/>
      <c r="C111" s="93"/>
      <c r="D111" s="192"/>
      <c r="E111" s="93"/>
      <c r="F111" s="93"/>
      <c r="G111" s="193"/>
      <c r="H111" s="50"/>
      <c r="I111" s="93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33.75" customHeight="1">
      <c r="A112" s="93"/>
      <c r="B112" s="93"/>
      <c r="C112" s="93"/>
      <c r="D112" s="192"/>
      <c r="E112" s="93"/>
      <c r="F112" s="93"/>
      <c r="G112" s="193"/>
      <c r="H112" s="50"/>
      <c r="I112" s="93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33.75" customHeight="1">
      <c r="A113" s="93"/>
      <c r="B113" s="93"/>
      <c r="C113" s="93"/>
      <c r="D113" s="192"/>
      <c r="E113" s="93"/>
      <c r="F113" s="93"/>
      <c r="G113" s="193"/>
      <c r="H113" s="50"/>
      <c r="I113" s="93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33.75" customHeight="1">
      <c r="A114" s="93"/>
      <c r="B114" s="93"/>
      <c r="C114" s="93"/>
      <c r="D114" s="192"/>
      <c r="E114" s="93"/>
      <c r="F114" s="93"/>
      <c r="G114" s="193"/>
      <c r="H114" s="50"/>
      <c r="I114" s="93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33.75" customHeight="1">
      <c r="A115" s="93"/>
      <c r="B115" s="93"/>
      <c r="C115" s="93"/>
      <c r="D115" s="192"/>
      <c r="E115" s="93"/>
      <c r="F115" s="93"/>
      <c r="G115" s="193"/>
      <c r="H115" s="50"/>
      <c r="I115" s="93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33.75" customHeight="1">
      <c r="A116" s="93"/>
      <c r="B116" s="93"/>
      <c r="C116" s="93"/>
      <c r="D116" s="192"/>
      <c r="E116" s="93"/>
      <c r="F116" s="93"/>
      <c r="G116" s="193"/>
      <c r="H116" s="50"/>
      <c r="I116" s="93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33.75" customHeight="1">
      <c r="A117" s="93"/>
      <c r="B117" s="93"/>
      <c r="C117" s="93"/>
      <c r="D117" s="192"/>
      <c r="E117" s="93"/>
      <c r="F117" s="93"/>
      <c r="G117" s="193"/>
      <c r="H117" s="50"/>
      <c r="I117" s="93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33.75" customHeight="1">
      <c r="A118" s="93"/>
      <c r="B118" s="93"/>
      <c r="C118" s="93"/>
      <c r="D118" s="192"/>
      <c r="E118" s="93"/>
      <c r="F118" s="93"/>
      <c r="G118" s="193"/>
      <c r="H118" s="50"/>
      <c r="I118" s="93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33.75" customHeight="1">
      <c r="A119" s="93"/>
      <c r="B119" s="93"/>
      <c r="C119" s="93"/>
      <c r="D119" s="192"/>
      <c r="E119" s="93"/>
      <c r="F119" s="93"/>
      <c r="G119" s="193"/>
      <c r="H119" s="50"/>
      <c r="I119" s="93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33.75" customHeight="1">
      <c r="A120" s="93"/>
      <c r="B120" s="93"/>
      <c r="C120" s="93"/>
      <c r="D120" s="192"/>
      <c r="E120" s="93"/>
      <c r="F120" s="93"/>
      <c r="G120" s="193"/>
      <c r="H120" s="50"/>
      <c r="I120" s="9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33.75" customHeight="1">
      <c r="A121" s="93"/>
      <c r="B121" s="93"/>
      <c r="C121" s="93"/>
      <c r="D121" s="192"/>
      <c r="E121" s="93"/>
      <c r="F121" s="93"/>
      <c r="G121" s="193"/>
      <c r="H121" s="50"/>
      <c r="I121" s="93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33.75" customHeight="1">
      <c r="A122" s="93"/>
      <c r="B122" s="93"/>
      <c r="C122" s="93"/>
      <c r="D122" s="192"/>
      <c r="E122" s="93"/>
      <c r="F122" s="93"/>
      <c r="G122" s="193"/>
      <c r="H122" s="50"/>
      <c r="I122" s="93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33.75" customHeight="1">
      <c r="A123" s="93"/>
      <c r="B123" s="93"/>
      <c r="C123" s="93"/>
      <c r="D123" s="192"/>
      <c r="E123" s="93"/>
      <c r="F123" s="93"/>
      <c r="G123" s="193"/>
      <c r="H123" s="50"/>
      <c r="I123" s="93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33.75" customHeight="1">
      <c r="A124" s="93"/>
      <c r="B124" s="93"/>
      <c r="C124" s="93"/>
      <c r="D124" s="192"/>
      <c r="E124" s="93"/>
      <c r="F124" s="93"/>
      <c r="G124" s="193"/>
      <c r="H124" s="50"/>
      <c r="I124" s="93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33.75" customHeight="1">
      <c r="A125" s="93"/>
      <c r="B125" s="93"/>
      <c r="C125" s="93"/>
      <c r="D125" s="192"/>
      <c r="E125" s="93"/>
      <c r="F125" s="93"/>
      <c r="G125" s="193"/>
      <c r="H125" s="50"/>
      <c r="I125" s="93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33.75" customHeight="1">
      <c r="A126" s="93"/>
      <c r="B126" s="93"/>
      <c r="C126" s="93"/>
      <c r="D126" s="192"/>
      <c r="E126" s="93"/>
      <c r="F126" s="93"/>
      <c r="G126" s="193"/>
      <c r="H126" s="50"/>
      <c r="I126" s="93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33.75" customHeight="1">
      <c r="A127" s="93"/>
      <c r="B127" s="93"/>
      <c r="C127" s="93"/>
      <c r="D127" s="192"/>
      <c r="E127" s="93"/>
      <c r="F127" s="93"/>
      <c r="G127" s="193"/>
      <c r="H127" s="50"/>
      <c r="I127" s="93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33.75" customHeight="1">
      <c r="A128" s="93"/>
      <c r="B128" s="93"/>
      <c r="C128" s="93"/>
      <c r="D128" s="192"/>
      <c r="E128" s="93"/>
      <c r="F128" s="93"/>
      <c r="G128" s="193"/>
      <c r="H128" s="50"/>
      <c r="I128" s="93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33.75" customHeight="1">
      <c r="A129" s="93"/>
      <c r="B129" s="93"/>
      <c r="C129" s="93"/>
      <c r="D129" s="192"/>
      <c r="E129" s="93"/>
      <c r="F129" s="93"/>
      <c r="G129" s="193"/>
      <c r="H129" s="50"/>
      <c r="I129" s="9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33.75" customHeight="1">
      <c r="A130" s="93"/>
      <c r="B130" s="93"/>
      <c r="C130" s="93"/>
      <c r="D130" s="192"/>
      <c r="E130" s="93"/>
      <c r="F130" s="93"/>
      <c r="G130" s="193"/>
      <c r="H130" s="50"/>
      <c r="I130" s="93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33.75" customHeight="1">
      <c r="A131" s="93"/>
      <c r="B131" s="93"/>
      <c r="C131" s="93"/>
      <c r="D131" s="192"/>
      <c r="E131" s="93"/>
      <c r="F131" s="93"/>
      <c r="G131" s="193"/>
      <c r="H131" s="50"/>
      <c r="I131" s="93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33.75" customHeight="1">
      <c r="A132" s="93"/>
      <c r="B132" s="93"/>
      <c r="C132" s="93"/>
      <c r="D132" s="192"/>
      <c r="E132" s="93"/>
      <c r="F132" s="93"/>
      <c r="G132" s="193"/>
      <c r="H132" s="50"/>
      <c r="I132" s="93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33.75" customHeight="1">
      <c r="A133" s="93"/>
      <c r="B133" s="93"/>
      <c r="C133" s="93"/>
      <c r="D133" s="192"/>
      <c r="E133" s="93"/>
      <c r="F133" s="93"/>
      <c r="G133" s="193"/>
      <c r="H133" s="50"/>
      <c r="I133" s="93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33.75" customHeight="1">
      <c r="A134" s="93"/>
      <c r="B134" s="93"/>
      <c r="C134" s="93"/>
      <c r="D134" s="192"/>
      <c r="E134" s="93"/>
      <c r="F134" s="93"/>
      <c r="G134" s="193"/>
      <c r="H134" s="50"/>
      <c r="I134" s="93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33.75" customHeight="1">
      <c r="A135" s="93"/>
      <c r="B135" s="93"/>
      <c r="C135" s="93"/>
      <c r="D135" s="192"/>
      <c r="E135" s="93"/>
      <c r="F135" s="93"/>
      <c r="G135" s="193"/>
      <c r="H135" s="50"/>
      <c r="I135" s="9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33.75" customHeight="1">
      <c r="A136" s="93"/>
      <c r="B136" s="93"/>
      <c r="C136" s="93"/>
      <c r="D136" s="192"/>
      <c r="E136" s="93"/>
      <c r="F136" s="93"/>
      <c r="G136" s="193"/>
      <c r="H136" s="50"/>
      <c r="I136" s="93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33.75" customHeight="1">
      <c r="A137" s="93"/>
      <c r="B137" s="93"/>
      <c r="C137" s="93"/>
      <c r="D137" s="192"/>
      <c r="E137" s="93"/>
      <c r="F137" s="93"/>
      <c r="G137" s="193"/>
      <c r="H137" s="50"/>
      <c r="I137" s="9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33.75" customHeight="1">
      <c r="A138" s="93"/>
      <c r="B138" s="93"/>
      <c r="C138" s="93"/>
      <c r="D138" s="192"/>
      <c r="E138" s="93"/>
      <c r="F138" s="93"/>
      <c r="G138" s="193"/>
      <c r="H138" s="50"/>
      <c r="I138" s="93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33.75" customHeight="1">
      <c r="A139" s="93"/>
      <c r="B139" s="93"/>
      <c r="C139" s="93"/>
      <c r="D139" s="192"/>
      <c r="E139" s="93"/>
      <c r="F139" s="93"/>
      <c r="G139" s="193"/>
      <c r="H139" s="50"/>
      <c r="I139" s="93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33.75" customHeight="1">
      <c r="A140" s="93"/>
      <c r="B140" s="93"/>
      <c r="C140" s="93"/>
      <c r="D140" s="192"/>
      <c r="E140" s="93"/>
      <c r="F140" s="93"/>
      <c r="G140" s="193"/>
      <c r="H140" s="50"/>
      <c r="I140" s="93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33.75" customHeight="1">
      <c r="A141" s="93"/>
      <c r="B141" s="93"/>
      <c r="C141" s="93"/>
      <c r="D141" s="192"/>
      <c r="E141" s="93"/>
      <c r="F141" s="93"/>
      <c r="G141" s="193"/>
      <c r="H141" s="50"/>
      <c r="I141" s="93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33.75" customHeight="1">
      <c r="A142" s="93"/>
      <c r="B142" s="93"/>
      <c r="C142" s="93"/>
      <c r="D142" s="192"/>
      <c r="E142" s="93"/>
      <c r="F142" s="93"/>
      <c r="G142" s="193"/>
      <c r="H142" s="50"/>
      <c r="I142" s="93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33.75" customHeight="1">
      <c r="A143" s="93"/>
      <c r="B143" s="93"/>
      <c r="C143" s="93"/>
      <c r="D143" s="192"/>
      <c r="E143" s="93"/>
      <c r="F143" s="93"/>
      <c r="G143" s="193"/>
      <c r="H143" s="50"/>
      <c r="I143" s="93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33.75" customHeight="1">
      <c r="A144" s="93"/>
      <c r="B144" s="93"/>
      <c r="C144" s="93"/>
      <c r="D144" s="192"/>
      <c r="E144" s="93"/>
      <c r="F144" s="93"/>
      <c r="G144" s="193"/>
      <c r="H144" s="50"/>
      <c r="I144" s="93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33.75" customHeight="1">
      <c r="A145" s="93"/>
      <c r="B145" s="93"/>
      <c r="C145" s="93"/>
      <c r="D145" s="192"/>
      <c r="E145" s="93"/>
      <c r="F145" s="93"/>
      <c r="G145" s="193"/>
      <c r="H145" s="50"/>
      <c r="I145" s="93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33.75" customHeight="1">
      <c r="A146" s="93"/>
      <c r="B146" s="93"/>
      <c r="C146" s="93"/>
      <c r="D146" s="192"/>
      <c r="E146" s="93"/>
      <c r="F146" s="93"/>
      <c r="G146" s="193"/>
      <c r="H146" s="50"/>
      <c r="I146" s="93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33.75" customHeight="1">
      <c r="A147" s="93"/>
      <c r="B147" s="93"/>
      <c r="C147" s="93"/>
      <c r="D147" s="192"/>
      <c r="E147" s="93"/>
      <c r="F147" s="93"/>
      <c r="G147" s="193"/>
      <c r="H147" s="50"/>
      <c r="I147" s="93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33.75" customHeight="1">
      <c r="A148" s="93"/>
      <c r="B148" s="93"/>
      <c r="C148" s="93"/>
      <c r="D148" s="192"/>
      <c r="E148" s="93"/>
      <c r="F148" s="93"/>
      <c r="G148" s="193"/>
      <c r="H148" s="50"/>
      <c r="I148" s="93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33.75" customHeight="1">
      <c r="A149" s="93"/>
      <c r="B149" s="93"/>
      <c r="C149" s="93"/>
      <c r="D149" s="192"/>
      <c r="E149" s="93"/>
      <c r="F149" s="93"/>
      <c r="G149" s="193"/>
      <c r="H149" s="50"/>
      <c r="I149" s="93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33.75" customHeight="1">
      <c r="A150" s="93"/>
      <c r="B150" s="93"/>
      <c r="C150" s="93"/>
      <c r="D150" s="192"/>
      <c r="E150" s="93"/>
      <c r="F150" s="93"/>
      <c r="G150" s="193"/>
      <c r="H150" s="50"/>
      <c r="I150" s="93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33.75" customHeight="1">
      <c r="A151" s="93"/>
      <c r="B151" s="93"/>
      <c r="C151" s="93"/>
      <c r="D151" s="192"/>
      <c r="E151" s="93"/>
      <c r="F151" s="93"/>
      <c r="G151" s="193"/>
      <c r="H151" s="50"/>
      <c r="I151" s="93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33.75" customHeight="1">
      <c r="A152" s="93"/>
      <c r="B152" s="93"/>
      <c r="C152" s="93"/>
      <c r="D152" s="192"/>
      <c r="E152" s="93"/>
      <c r="F152" s="93"/>
      <c r="G152" s="193"/>
      <c r="H152" s="50"/>
      <c r="I152" s="93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33.75" customHeight="1">
      <c r="A153" s="93"/>
      <c r="B153" s="93"/>
      <c r="C153" s="93"/>
      <c r="D153" s="192"/>
      <c r="E153" s="93"/>
      <c r="F153" s="93"/>
      <c r="G153" s="193"/>
      <c r="H153" s="50"/>
      <c r="I153" s="93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33.75" customHeight="1">
      <c r="A154" s="93"/>
      <c r="B154" s="93"/>
      <c r="C154" s="93"/>
      <c r="D154" s="192"/>
      <c r="E154" s="93"/>
      <c r="F154" s="93"/>
      <c r="G154" s="193"/>
      <c r="H154" s="50"/>
      <c r="I154" s="93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33.75" customHeight="1">
      <c r="A155" s="93"/>
      <c r="B155" s="93"/>
      <c r="C155" s="93"/>
      <c r="D155" s="192"/>
      <c r="E155" s="93"/>
      <c r="F155" s="93"/>
      <c r="G155" s="193"/>
      <c r="H155" s="50"/>
      <c r="I155" s="93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33.75" customHeight="1">
      <c r="A156" s="93"/>
      <c r="B156" s="93"/>
      <c r="C156" s="93"/>
      <c r="D156" s="192"/>
      <c r="E156" s="93"/>
      <c r="F156" s="93"/>
      <c r="G156" s="193"/>
      <c r="H156" s="50"/>
      <c r="I156" s="93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33.75" customHeight="1">
      <c r="A157" s="93"/>
      <c r="B157" s="93"/>
      <c r="C157" s="93"/>
      <c r="D157" s="192"/>
      <c r="E157" s="93"/>
      <c r="F157" s="93"/>
      <c r="G157" s="193"/>
      <c r="H157" s="50"/>
      <c r="I157" s="93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33.75" customHeight="1">
      <c r="A158" s="93"/>
      <c r="B158" s="93"/>
      <c r="C158" s="93"/>
      <c r="D158" s="192"/>
      <c r="E158" s="93"/>
      <c r="F158" s="93"/>
      <c r="G158" s="193"/>
      <c r="H158" s="50"/>
      <c r="I158" s="93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33.75" customHeight="1">
      <c r="A159" s="93"/>
      <c r="B159" s="93"/>
      <c r="C159" s="93"/>
      <c r="D159" s="192"/>
      <c r="E159" s="93"/>
      <c r="F159" s="93"/>
      <c r="G159" s="193"/>
      <c r="H159" s="50"/>
      <c r="I159" s="93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33.75" customHeight="1">
      <c r="A160" s="93"/>
      <c r="B160" s="93"/>
      <c r="C160" s="93"/>
      <c r="D160" s="192"/>
      <c r="E160" s="93"/>
      <c r="F160" s="93"/>
      <c r="G160" s="193"/>
      <c r="H160" s="50"/>
      <c r="I160" s="93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33.75" customHeight="1">
      <c r="A161" s="93"/>
      <c r="B161" s="93"/>
      <c r="C161" s="93"/>
      <c r="D161" s="192"/>
      <c r="E161" s="93"/>
      <c r="F161" s="93"/>
      <c r="G161" s="193"/>
      <c r="H161" s="50"/>
      <c r="I161" s="93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33.75" customHeight="1">
      <c r="A162" s="93"/>
      <c r="B162" s="93"/>
      <c r="C162" s="93"/>
      <c r="D162" s="192"/>
      <c r="E162" s="93"/>
      <c r="F162" s="93"/>
      <c r="G162" s="193"/>
      <c r="H162" s="50"/>
      <c r="I162" s="93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33.75" customHeight="1">
      <c r="A163" s="93"/>
      <c r="B163" s="93"/>
      <c r="C163" s="93"/>
      <c r="D163" s="192"/>
      <c r="E163" s="93"/>
      <c r="F163" s="93"/>
      <c r="G163" s="193"/>
      <c r="H163" s="50"/>
      <c r="I163" s="93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33.75" customHeight="1">
      <c r="A164" s="93"/>
      <c r="B164" s="93"/>
      <c r="C164" s="93"/>
      <c r="D164" s="192"/>
      <c r="E164" s="93"/>
      <c r="F164" s="93"/>
      <c r="G164" s="193"/>
      <c r="H164" s="50"/>
      <c r="I164" s="93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33.75" customHeight="1">
      <c r="A165" s="93"/>
      <c r="B165" s="93"/>
      <c r="C165" s="93"/>
      <c r="D165" s="192"/>
      <c r="E165" s="93"/>
      <c r="F165" s="93"/>
      <c r="G165" s="193"/>
      <c r="H165" s="50"/>
      <c r="I165" s="93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33.75" customHeight="1">
      <c r="A166" s="93"/>
      <c r="B166" s="93"/>
      <c r="C166" s="93"/>
      <c r="D166" s="192"/>
      <c r="E166" s="93"/>
      <c r="F166" s="93"/>
      <c r="G166" s="193"/>
      <c r="H166" s="50"/>
      <c r="I166" s="93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33.75" customHeight="1">
      <c r="A167" s="93"/>
      <c r="B167" s="93"/>
      <c r="C167" s="93"/>
      <c r="D167" s="192"/>
      <c r="E167" s="93"/>
      <c r="F167" s="93"/>
      <c r="G167" s="193"/>
      <c r="H167" s="50"/>
      <c r="I167" s="93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33.75" customHeight="1">
      <c r="A168" s="93"/>
      <c r="B168" s="93"/>
      <c r="C168" s="93"/>
      <c r="D168" s="192"/>
      <c r="E168" s="93"/>
      <c r="F168" s="93"/>
      <c r="G168" s="193"/>
      <c r="H168" s="50"/>
      <c r="I168" s="93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33.75" customHeight="1">
      <c r="A169" s="93"/>
      <c r="B169" s="93"/>
      <c r="C169" s="93"/>
      <c r="D169" s="192"/>
      <c r="E169" s="93"/>
      <c r="F169" s="93"/>
      <c r="G169" s="193"/>
      <c r="H169" s="50"/>
      <c r="I169" s="93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33.75" customHeight="1">
      <c r="A170" s="93"/>
      <c r="B170" s="93"/>
      <c r="C170" s="93"/>
      <c r="D170" s="192"/>
      <c r="E170" s="93"/>
      <c r="F170" s="93"/>
      <c r="G170" s="193"/>
      <c r="H170" s="50"/>
      <c r="I170" s="93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33.75" customHeight="1">
      <c r="A171" s="93"/>
      <c r="B171" s="93"/>
      <c r="C171" s="93"/>
      <c r="D171" s="192"/>
      <c r="E171" s="93"/>
      <c r="F171" s="93"/>
      <c r="G171" s="193"/>
      <c r="H171" s="50"/>
      <c r="I171" s="93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33.75" customHeight="1">
      <c r="A172" s="93"/>
      <c r="B172" s="93"/>
      <c r="C172" s="93"/>
      <c r="D172" s="192"/>
      <c r="E172" s="93"/>
      <c r="F172" s="93"/>
      <c r="G172" s="193"/>
      <c r="H172" s="50"/>
      <c r="I172" s="93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33.75" customHeight="1">
      <c r="A173" s="93"/>
      <c r="B173" s="93"/>
      <c r="C173" s="93"/>
      <c r="D173" s="192"/>
      <c r="E173" s="93"/>
      <c r="F173" s="93"/>
      <c r="G173" s="193"/>
      <c r="H173" s="50"/>
      <c r="I173" s="93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33.75" customHeight="1">
      <c r="A174" s="93"/>
      <c r="B174" s="93"/>
      <c r="C174" s="93"/>
      <c r="D174" s="192"/>
      <c r="E174" s="93"/>
      <c r="F174" s="93"/>
      <c r="G174" s="193"/>
      <c r="H174" s="50"/>
      <c r="I174" s="93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33.75" customHeight="1">
      <c r="A175" s="93"/>
      <c r="B175" s="93"/>
      <c r="C175" s="93"/>
      <c r="D175" s="192"/>
      <c r="E175" s="93"/>
      <c r="F175" s="93"/>
      <c r="G175" s="193"/>
      <c r="H175" s="50"/>
      <c r="I175" s="93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33.75" customHeight="1">
      <c r="A176" s="93"/>
      <c r="B176" s="93"/>
      <c r="C176" s="93"/>
      <c r="D176" s="192"/>
      <c r="E176" s="93"/>
      <c r="F176" s="93"/>
      <c r="G176" s="193"/>
      <c r="H176" s="50"/>
      <c r="I176" s="93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33.75" customHeight="1">
      <c r="A177" s="93"/>
      <c r="B177" s="93"/>
      <c r="C177" s="93"/>
      <c r="D177" s="192"/>
      <c r="E177" s="93"/>
      <c r="F177" s="93"/>
      <c r="G177" s="193"/>
      <c r="H177" s="50"/>
      <c r="I177" s="93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33.75" customHeight="1">
      <c r="A178" s="93"/>
      <c r="B178" s="93"/>
      <c r="C178" s="93"/>
      <c r="D178" s="192"/>
      <c r="E178" s="93"/>
      <c r="F178" s="93"/>
      <c r="G178" s="193"/>
      <c r="H178" s="50"/>
      <c r="I178" s="93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33.75" customHeight="1">
      <c r="A179" s="93"/>
      <c r="B179" s="93"/>
      <c r="C179" s="93"/>
      <c r="D179" s="192"/>
      <c r="E179" s="93"/>
      <c r="F179" s="93"/>
      <c r="G179" s="193"/>
      <c r="H179" s="50"/>
      <c r="I179" s="93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33.75" customHeight="1">
      <c r="A180" s="93"/>
      <c r="B180" s="93"/>
      <c r="C180" s="93"/>
      <c r="D180" s="192"/>
      <c r="E180" s="93"/>
      <c r="F180" s="93"/>
      <c r="G180" s="193"/>
      <c r="H180" s="50"/>
      <c r="I180" s="93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33.75" customHeight="1">
      <c r="A181" s="93"/>
      <c r="B181" s="93"/>
      <c r="C181" s="93"/>
      <c r="D181" s="192"/>
      <c r="E181" s="93"/>
      <c r="F181" s="93"/>
      <c r="G181" s="193"/>
      <c r="H181" s="50"/>
      <c r="I181" s="93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33.75" customHeight="1">
      <c r="A182" s="93"/>
      <c r="B182" s="93"/>
      <c r="C182" s="93"/>
      <c r="D182" s="192"/>
      <c r="E182" s="93"/>
      <c r="F182" s="93"/>
      <c r="G182" s="193"/>
      <c r="H182" s="50"/>
      <c r="I182" s="93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33.75" customHeight="1">
      <c r="A183" s="93"/>
      <c r="B183" s="93"/>
      <c r="C183" s="93"/>
      <c r="D183" s="192"/>
      <c r="E183" s="93"/>
      <c r="F183" s="93"/>
      <c r="G183" s="193"/>
      <c r="H183" s="50"/>
      <c r="I183" s="93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33.75" customHeight="1">
      <c r="A184" s="93"/>
      <c r="B184" s="93"/>
      <c r="C184" s="93"/>
      <c r="D184" s="192"/>
      <c r="E184" s="93"/>
      <c r="F184" s="93"/>
      <c r="G184" s="193"/>
      <c r="H184" s="50"/>
      <c r="I184" s="93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33.75" customHeight="1">
      <c r="A185" s="93"/>
      <c r="B185" s="93"/>
      <c r="C185" s="93"/>
      <c r="D185" s="192"/>
      <c r="E185" s="93"/>
      <c r="F185" s="93"/>
      <c r="G185" s="193"/>
      <c r="H185" s="50"/>
      <c r="I185" s="93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33.75" customHeight="1">
      <c r="A186" s="93"/>
      <c r="B186" s="93"/>
      <c r="C186" s="93"/>
      <c r="D186" s="192"/>
      <c r="E186" s="93"/>
      <c r="F186" s="93"/>
      <c r="G186" s="193"/>
      <c r="H186" s="50"/>
      <c r="I186" s="93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33.75" customHeight="1">
      <c r="A187" s="93"/>
      <c r="B187" s="93"/>
      <c r="C187" s="93"/>
      <c r="D187" s="192"/>
      <c r="E187" s="93"/>
      <c r="F187" s="93"/>
      <c r="G187" s="193"/>
      <c r="H187" s="50"/>
      <c r="I187" s="93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33.75" customHeight="1">
      <c r="A188" s="93"/>
      <c r="B188" s="93"/>
      <c r="C188" s="93"/>
      <c r="D188" s="192"/>
      <c r="E188" s="93"/>
      <c r="F188" s="93"/>
      <c r="G188" s="193"/>
      <c r="H188" s="50"/>
      <c r="I188" s="93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33.75" customHeight="1">
      <c r="A189" s="93"/>
      <c r="B189" s="93"/>
      <c r="C189" s="93"/>
      <c r="D189" s="192"/>
      <c r="E189" s="93"/>
      <c r="F189" s="93"/>
      <c r="G189" s="193"/>
      <c r="H189" s="50"/>
      <c r="I189" s="93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33.75" customHeight="1">
      <c r="A190" s="93"/>
      <c r="B190" s="93"/>
      <c r="C190" s="93"/>
      <c r="D190" s="192"/>
      <c r="E190" s="93"/>
      <c r="F190" s="93"/>
      <c r="G190" s="193"/>
      <c r="H190" s="50"/>
      <c r="I190" s="93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33.75" customHeight="1">
      <c r="A191" s="93"/>
      <c r="B191" s="93"/>
      <c r="C191" s="93"/>
      <c r="D191" s="192"/>
      <c r="E191" s="93"/>
      <c r="F191" s="93"/>
      <c r="G191" s="193"/>
      <c r="H191" s="50"/>
      <c r="I191" s="93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33.75" customHeight="1">
      <c r="A192" s="93"/>
      <c r="B192" s="93"/>
      <c r="C192" s="93"/>
      <c r="D192" s="192"/>
      <c r="E192" s="93"/>
      <c r="F192" s="93"/>
      <c r="G192" s="193"/>
      <c r="H192" s="50"/>
      <c r="I192" s="93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33.75" customHeight="1">
      <c r="A193" s="93"/>
      <c r="B193" s="93"/>
      <c r="C193" s="93"/>
      <c r="D193" s="192"/>
      <c r="E193" s="93"/>
      <c r="F193" s="93"/>
      <c r="G193" s="193"/>
      <c r="H193" s="50"/>
      <c r="I193" s="93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33.75" customHeight="1">
      <c r="A194" s="93"/>
      <c r="B194" s="93"/>
      <c r="C194" s="93"/>
      <c r="D194" s="192"/>
      <c r="E194" s="93"/>
      <c r="F194" s="93"/>
      <c r="G194" s="193"/>
      <c r="H194" s="50"/>
      <c r="I194" s="93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33.75" customHeight="1">
      <c r="A195" s="93"/>
      <c r="B195" s="93"/>
      <c r="C195" s="93"/>
      <c r="D195" s="192"/>
      <c r="E195" s="93"/>
      <c r="F195" s="93"/>
      <c r="G195" s="193"/>
      <c r="H195" s="50"/>
      <c r="I195" s="93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33.75" customHeight="1">
      <c r="A196" s="93"/>
      <c r="B196" s="93"/>
      <c r="C196" s="93"/>
      <c r="D196" s="192"/>
      <c r="E196" s="93"/>
      <c r="F196" s="93"/>
      <c r="G196" s="193"/>
      <c r="H196" s="50"/>
      <c r="I196" s="93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33.75" customHeight="1">
      <c r="A197" s="93"/>
      <c r="B197" s="93"/>
      <c r="C197" s="93"/>
      <c r="D197" s="192"/>
      <c r="E197" s="93"/>
      <c r="F197" s="93"/>
      <c r="G197" s="193"/>
      <c r="H197" s="50"/>
      <c r="I197" s="93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33.75" customHeight="1">
      <c r="A198" s="93"/>
      <c r="B198" s="93"/>
      <c r="C198" s="93"/>
      <c r="D198" s="192"/>
      <c r="E198" s="93"/>
      <c r="F198" s="93"/>
      <c r="G198" s="193"/>
      <c r="H198" s="50"/>
      <c r="I198" s="93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33.75" customHeight="1">
      <c r="A199" s="93"/>
      <c r="B199" s="93"/>
      <c r="C199" s="93"/>
      <c r="D199" s="192"/>
      <c r="E199" s="93"/>
      <c r="F199" s="93"/>
      <c r="G199" s="193"/>
      <c r="H199" s="50"/>
      <c r="I199" s="93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33.75" customHeight="1">
      <c r="A200" s="93"/>
      <c r="B200" s="93"/>
      <c r="C200" s="93"/>
      <c r="D200" s="192"/>
      <c r="E200" s="93"/>
      <c r="F200" s="93"/>
      <c r="G200" s="193"/>
      <c r="H200" s="50"/>
      <c r="I200" s="93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33.75" customHeight="1">
      <c r="A201" s="93"/>
      <c r="B201" s="93"/>
      <c r="C201" s="93"/>
      <c r="D201" s="192"/>
      <c r="E201" s="93"/>
      <c r="F201" s="93"/>
      <c r="G201" s="193"/>
      <c r="H201" s="50"/>
      <c r="I201" s="93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33.75" customHeight="1">
      <c r="A202" s="93"/>
      <c r="B202" s="93"/>
      <c r="C202" s="93"/>
      <c r="D202" s="192"/>
      <c r="E202" s="93"/>
      <c r="F202" s="93"/>
      <c r="G202" s="193"/>
      <c r="H202" s="50"/>
      <c r="I202" s="93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33.75" customHeight="1">
      <c r="A203" s="93"/>
      <c r="B203" s="93"/>
      <c r="C203" s="93"/>
      <c r="D203" s="192"/>
      <c r="E203" s="93"/>
      <c r="F203" s="93"/>
      <c r="G203" s="193"/>
      <c r="H203" s="50"/>
      <c r="I203" s="93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33.75" customHeight="1">
      <c r="A204" s="93"/>
      <c r="B204" s="93"/>
      <c r="C204" s="93"/>
      <c r="D204" s="192"/>
      <c r="E204" s="93"/>
      <c r="F204" s="93"/>
      <c r="G204" s="193"/>
      <c r="H204" s="50"/>
      <c r="I204" s="93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33.75" customHeight="1">
      <c r="A205" s="93"/>
      <c r="B205" s="93"/>
      <c r="C205" s="93"/>
      <c r="D205" s="192"/>
      <c r="E205" s="93"/>
      <c r="F205" s="93"/>
      <c r="G205" s="193"/>
      <c r="H205" s="50"/>
      <c r="I205" s="93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33.75" customHeight="1">
      <c r="A206" s="93"/>
      <c r="B206" s="93"/>
      <c r="C206" s="93"/>
      <c r="D206" s="192"/>
      <c r="E206" s="93"/>
      <c r="F206" s="93"/>
      <c r="G206" s="193"/>
      <c r="H206" s="50"/>
      <c r="I206" s="93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33.75" customHeight="1">
      <c r="A207" s="93"/>
      <c r="B207" s="93"/>
      <c r="C207" s="93"/>
      <c r="D207" s="192"/>
      <c r="E207" s="93"/>
      <c r="F207" s="93"/>
      <c r="G207" s="193"/>
      <c r="H207" s="50"/>
      <c r="I207" s="93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33.75" customHeight="1">
      <c r="A208" s="93"/>
      <c r="B208" s="93"/>
      <c r="C208" s="93"/>
      <c r="D208" s="192"/>
      <c r="E208" s="93"/>
      <c r="F208" s="93"/>
      <c r="G208" s="193"/>
      <c r="H208" s="50"/>
      <c r="I208" s="93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33.75" customHeight="1">
      <c r="A209" s="93"/>
      <c r="B209" s="93"/>
      <c r="C209" s="93"/>
      <c r="D209" s="192"/>
      <c r="E209" s="93"/>
      <c r="F209" s="93"/>
      <c r="G209" s="193"/>
      <c r="H209" s="50"/>
      <c r="I209" s="93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33.75" customHeight="1">
      <c r="A210" s="93"/>
      <c r="B210" s="93"/>
      <c r="C210" s="93"/>
      <c r="D210" s="192"/>
      <c r="E210" s="93"/>
      <c r="F210" s="93"/>
      <c r="G210" s="193"/>
      <c r="H210" s="50"/>
      <c r="I210" s="93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33.75" customHeight="1">
      <c r="A211" s="93"/>
      <c r="B211" s="93"/>
      <c r="C211" s="93"/>
      <c r="D211" s="192"/>
      <c r="E211" s="93"/>
      <c r="F211" s="93"/>
      <c r="G211" s="193"/>
      <c r="H211" s="50"/>
      <c r="I211" s="93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33.75" customHeight="1">
      <c r="A212" s="93"/>
      <c r="B212" s="93"/>
      <c r="C212" s="93"/>
      <c r="D212" s="192"/>
      <c r="E212" s="93"/>
      <c r="F212" s="93"/>
      <c r="G212" s="193"/>
      <c r="H212" s="50"/>
      <c r="I212" s="93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33.75" customHeight="1">
      <c r="A213" s="93"/>
      <c r="B213" s="93"/>
      <c r="C213" s="93"/>
      <c r="D213" s="192"/>
      <c r="E213" s="93"/>
      <c r="F213" s="93"/>
      <c r="G213" s="193"/>
      <c r="H213" s="50"/>
      <c r="I213" s="93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33.75" customHeight="1">
      <c r="A214" s="93"/>
      <c r="B214" s="93"/>
      <c r="C214" s="93"/>
      <c r="D214" s="192"/>
      <c r="E214" s="93"/>
      <c r="F214" s="93"/>
      <c r="G214" s="193"/>
      <c r="H214" s="50"/>
      <c r="I214" s="93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33.75" customHeight="1">
      <c r="A215" s="93"/>
      <c r="B215" s="93"/>
      <c r="C215" s="93"/>
      <c r="D215" s="192"/>
      <c r="E215" s="93"/>
      <c r="F215" s="93"/>
      <c r="G215" s="193"/>
      <c r="H215" s="50"/>
      <c r="I215" s="93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33.75" customHeight="1">
      <c r="A216" s="93"/>
      <c r="B216" s="93"/>
      <c r="C216" s="93"/>
      <c r="D216" s="192"/>
      <c r="E216" s="93"/>
      <c r="F216" s="93"/>
      <c r="G216" s="193"/>
      <c r="H216" s="50"/>
      <c r="I216" s="93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33.75" customHeight="1">
      <c r="A217" s="93"/>
      <c r="B217" s="93"/>
      <c r="C217" s="93"/>
      <c r="D217" s="192"/>
      <c r="E217" s="93"/>
      <c r="F217" s="93"/>
      <c r="G217" s="193"/>
      <c r="H217" s="50"/>
      <c r="I217" s="93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33.75" customHeight="1">
      <c r="A218" s="93"/>
      <c r="B218" s="93"/>
      <c r="C218" s="93"/>
      <c r="D218" s="192"/>
      <c r="E218" s="93"/>
      <c r="F218" s="93"/>
      <c r="G218" s="193"/>
      <c r="H218" s="50"/>
      <c r="I218" s="93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33.75" customHeight="1">
      <c r="A219" s="93"/>
      <c r="B219" s="93"/>
      <c r="C219" s="93"/>
      <c r="D219" s="192"/>
      <c r="E219" s="93"/>
      <c r="F219" s="93"/>
      <c r="G219" s="193"/>
      <c r="H219" s="50"/>
      <c r="I219" s="93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33.75" customHeight="1">
      <c r="A220" s="93"/>
      <c r="B220" s="93"/>
      <c r="C220" s="93"/>
      <c r="D220" s="192"/>
      <c r="E220" s="93"/>
      <c r="F220" s="93"/>
      <c r="G220" s="193"/>
      <c r="H220" s="50"/>
      <c r="I220" s="93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33.75" customHeight="1">
      <c r="A221" s="93"/>
      <c r="B221" s="93"/>
      <c r="C221" s="93"/>
      <c r="D221" s="192"/>
      <c r="E221" s="93"/>
      <c r="F221" s="93"/>
      <c r="G221" s="193"/>
      <c r="H221" s="50"/>
      <c r="I221" s="93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33.75" customHeight="1">
      <c r="A222" s="93"/>
      <c r="B222" s="93"/>
      <c r="C222" s="93"/>
      <c r="D222" s="192"/>
      <c r="E222" s="93"/>
      <c r="F222" s="93"/>
      <c r="G222" s="193"/>
      <c r="H222" s="50"/>
      <c r="I222" s="93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33.75" customHeight="1">
      <c r="A223" s="93"/>
      <c r="B223" s="93"/>
      <c r="C223" s="93"/>
      <c r="D223" s="192"/>
      <c r="E223" s="93"/>
      <c r="F223" s="93"/>
      <c r="G223" s="193"/>
      <c r="H223" s="50"/>
      <c r="I223" s="93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33.75" customHeight="1">
      <c r="A224" s="93"/>
      <c r="B224" s="93"/>
      <c r="C224" s="93"/>
      <c r="D224" s="192"/>
      <c r="E224" s="93"/>
      <c r="F224" s="93"/>
      <c r="G224" s="193"/>
      <c r="H224" s="50"/>
      <c r="I224" s="93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33.75" customHeight="1">
      <c r="A225" s="93"/>
      <c r="B225" s="93"/>
      <c r="C225" s="93"/>
      <c r="D225" s="192"/>
      <c r="E225" s="93"/>
      <c r="F225" s="93"/>
      <c r="G225" s="193"/>
      <c r="H225" s="50"/>
      <c r="I225" s="93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33.75" customHeight="1">
      <c r="A226" s="93"/>
      <c r="B226" s="93"/>
      <c r="C226" s="93"/>
      <c r="D226" s="192"/>
      <c r="E226" s="93"/>
      <c r="F226" s="93"/>
      <c r="G226" s="193"/>
      <c r="H226" s="50"/>
      <c r="I226" s="93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33.75" customHeight="1">
      <c r="A227" s="93"/>
      <c r="B227" s="93"/>
      <c r="C227" s="93"/>
      <c r="D227" s="192"/>
      <c r="E227" s="93"/>
      <c r="F227" s="93"/>
      <c r="G227" s="193"/>
      <c r="H227" s="50"/>
      <c r="I227" s="93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33.75" customHeight="1">
      <c r="A228" s="93"/>
      <c r="B228" s="93"/>
      <c r="C228" s="93"/>
      <c r="D228" s="192"/>
      <c r="E228" s="93"/>
      <c r="F228" s="93"/>
      <c r="G228" s="193"/>
      <c r="H228" s="50"/>
      <c r="I228" s="93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33.75" customHeight="1">
      <c r="A229" s="93"/>
      <c r="B229" s="93"/>
      <c r="C229" s="93"/>
      <c r="D229" s="192"/>
      <c r="E229" s="93"/>
      <c r="F229" s="93"/>
      <c r="G229" s="193"/>
      <c r="H229" s="50"/>
      <c r="I229" s="93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33.75" customHeight="1">
      <c r="A230" s="93"/>
      <c r="B230" s="93"/>
      <c r="C230" s="93"/>
      <c r="D230" s="192"/>
      <c r="E230" s="93"/>
      <c r="F230" s="93"/>
      <c r="G230" s="193"/>
      <c r="H230" s="50"/>
      <c r="I230" s="93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33.75" customHeight="1">
      <c r="A231" s="93"/>
      <c r="B231" s="93"/>
      <c r="C231" s="93"/>
      <c r="D231" s="192"/>
      <c r="E231" s="93"/>
      <c r="F231" s="93"/>
      <c r="G231" s="193"/>
      <c r="H231" s="50"/>
      <c r="I231" s="93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33.75" customHeight="1">
      <c r="A232" s="93"/>
      <c r="B232" s="93"/>
      <c r="C232" s="93"/>
      <c r="D232" s="192"/>
      <c r="E232" s="93"/>
      <c r="F232" s="93"/>
      <c r="G232" s="193"/>
      <c r="H232" s="50"/>
      <c r="I232" s="93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33.75" customHeight="1">
      <c r="A233" s="93"/>
      <c r="B233" s="93"/>
      <c r="C233" s="93"/>
      <c r="D233" s="192"/>
      <c r="E233" s="93"/>
      <c r="F233" s="93"/>
      <c r="G233" s="193"/>
      <c r="H233" s="50"/>
      <c r="I233" s="93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33.75" customHeight="1">
      <c r="A234" s="93"/>
      <c r="B234" s="93"/>
      <c r="C234" s="93"/>
      <c r="D234" s="192"/>
      <c r="E234" s="93"/>
      <c r="F234" s="93"/>
      <c r="G234" s="193"/>
      <c r="H234" s="50"/>
      <c r="I234" s="93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33.75" customHeight="1">
      <c r="A235" s="93"/>
      <c r="B235" s="93"/>
      <c r="C235" s="93"/>
      <c r="D235" s="192"/>
      <c r="E235" s="93"/>
      <c r="F235" s="93"/>
      <c r="G235" s="193"/>
      <c r="H235" s="50"/>
      <c r="I235" s="93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33.75" customHeight="1">
      <c r="A236" s="93"/>
      <c r="B236" s="93"/>
      <c r="C236" s="93"/>
      <c r="D236" s="192"/>
      <c r="E236" s="93"/>
      <c r="F236" s="93"/>
      <c r="G236" s="193"/>
      <c r="H236" s="50"/>
      <c r="I236" s="93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33.75" customHeight="1">
      <c r="A237" s="93"/>
      <c r="B237" s="93"/>
      <c r="C237" s="93"/>
      <c r="D237" s="192"/>
      <c r="E237" s="93"/>
      <c r="F237" s="93"/>
      <c r="G237" s="193"/>
      <c r="H237" s="50"/>
      <c r="I237" s="93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33.75" customHeight="1">
      <c r="A238" s="93"/>
      <c r="B238" s="93"/>
      <c r="C238" s="93"/>
      <c r="D238" s="192"/>
      <c r="E238" s="93"/>
      <c r="F238" s="93"/>
      <c r="G238" s="193"/>
      <c r="H238" s="50"/>
      <c r="I238" s="93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33.75" customHeight="1">
      <c r="A239" s="93"/>
      <c r="B239" s="93"/>
      <c r="C239" s="93"/>
      <c r="D239" s="192"/>
      <c r="E239" s="93"/>
      <c r="F239" s="93"/>
      <c r="G239" s="193"/>
      <c r="H239" s="50"/>
      <c r="I239" s="93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33.75" customHeight="1">
      <c r="A240" s="93"/>
      <c r="B240" s="93"/>
      <c r="C240" s="93"/>
      <c r="D240" s="192"/>
      <c r="E240" s="93"/>
      <c r="F240" s="93"/>
      <c r="G240" s="193"/>
      <c r="H240" s="50"/>
      <c r="I240" s="93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33.75" customHeight="1">
      <c r="A241" s="93"/>
      <c r="B241" s="93"/>
      <c r="C241" s="93"/>
      <c r="D241" s="192"/>
      <c r="E241" s="93"/>
      <c r="F241" s="93"/>
      <c r="G241" s="193"/>
      <c r="H241" s="50"/>
      <c r="I241" s="93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33.75" customHeight="1">
      <c r="A242" s="93"/>
      <c r="B242" s="93"/>
      <c r="C242" s="93"/>
      <c r="D242" s="192"/>
      <c r="E242" s="93"/>
      <c r="F242" s="93"/>
      <c r="G242" s="193"/>
      <c r="H242" s="50"/>
      <c r="I242" s="93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33.75" customHeight="1">
      <c r="A243" s="93"/>
      <c r="B243" s="93"/>
      <c r="C243" s="93"/>
      <c r="D243" s="192"/>
      <c r="E243" s="93"/>
      <c r="F243" s="93"/>
      <c r="G243" s="193"/>
      <c r="H243" s="50"/>
      <c r="I243" s="93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33.75" customHeight="1">
      <c r="A244" s="93"/>
      <c r="B244" s="93"/>
      <c r="C244" s="93"/>
      <c r="D244" s="192"/>
      <c r="E244" s="93"/>
      <c r="F244" s="93"/>
      <c r="G244" s="193"/>
      <c r="H244" s="50"/>
      <c r="I244" s="93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33.75" customHeight="1">
      <c r="A245" s="93"/>
      <c r="B245" s="93"/>
      <c r="C245" s="93"/>
      <c r="D245" s="192"/>
      <c r="E245" s="93"/>
      <c r="F245" s="93"/>
      <c r="G245" s="193"/>
      <c r="H245" s="50"/>
      <c r="I245" s="93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33.75" customHeight="1">
      <c r="A246" s="93"/>
      <c r="B246" s="93"/>
      <c r="C246" s="93"/>
      <c r="D246" s="192"/>
      <c r="E246" s="93"/>
      <c r="F246" s="93"/>
      <c r="G246" s="193"/>
      <c r="H246" s="50"/>
      <c r="I246" s="93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33.75" customHeight="1">
      <c r="A247" s="93"/>
      <c r="B247" s="93"/>
      <c r="C247" s="93"/>
      <c r="D247" s="192"/>
      <c r="E247" s="93"/>
      <c r="F247" s="93"/>
      <c r="G247" s="193"/>
      <c r="H247" s="50"/>
      <c r="I247" s="93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33.75" customHeight="1">
      <c r="A248" s="93"/>
      <c r="B248" s="93"/>
      <c r="C248" s="93"/>
      <c r="D248" s="192"/>
      <c r="E248" s="93"/>
      <c r="F248" s="93"/>
      <c r="G248" s="193"/>
      <c r="H248" s="50"/>
      <c r="I248" s="93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33.75" customHeight="1">
      <c r="A249" s="93"/>
      <c r="B249" s="93"/>
      <c r="C249" s="93"/>
      <c r="D249" s="192"/>
      <c r="E249" s="93"/>
      <c r="F249" s="93"/>
      <c r="G249" s="193"/>
      <c r="H249" s="50"/>
      <c r="I249" s="93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33.75" customHeight="1">
      <c r="A250" s="93"/>
      <c r="B250" s="93"/>
      <c r="C250" s="93"/>
      <c r="D250" s="192"/>
      <c r="E250" s="93"/>
      <c r="F250" s="93"/>
      <c r="G250" s="193"/>
      <c r="H250" s="50"/>
      <c r="I250" s="93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33.75" customHeight="1">
      <c r="A251" s="93"/>
      <c r="B251" s="93"/>
      <c r="C251" s="93"/>
      <c r="D251" s="192"/>
      <c r="E251" s="93"/>
      <c r="F251" s="93"/>
      <c r="G251" s="193"/>
      <c r="H251" s="50"/>
      <c r="I251" s="93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33.75" customHeight="1">
      <c r="A252" s="93"/>
      <c r="B252" s="93"/>
      <c r="C252" s="93"/>
      <c r="D252" s="192"/>
      <c r="E252" s="93"/>
      <c r="F252" s="93"/>
      <c r="G252" s="193"/>
      <c r="H252" s="50"/>
      <c r="I252" s="93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33.75" customHeight="1">
      <c r="A253" s="93"/>
      <c r="B253" s="93"/>
      <c r="C253" s="93"/>
      <c r="D253" s="192"/>
      <c r="E253" s="93"/>
      <c r="F253" s="93"/>
      <c r="G253" s="193"/>
      <c r="H253" s="50"/>
      <c r="I253" s="93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33.75" customHeight="1">
      <c r="A254" s="93"/>
      <c r="B254" s="93"/>
      <c r="C254" s="93"/>
      <c r="D254" s="192"/>
      <c r="E254" s="93"/>
      <c r="F254" s="93"/>
      <c r="G254" s="193"/>
      <c r="H254" s="50"/>
      <c r="I254" s="93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33.75" customHeight="1">
      <c r="A255" s="93"/>
      <c r="B255" s="93"/>
      <c r="C255" s="93"/>
      <c r="D255" s="192"/>
      <c r="E255" s="93"/>
      <c r="F255" s="93"/>
      <c r="G255" s="193"/>
      <c r="H255" s="50"/>
      <c r="I255" s="93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33.75" customHeight="1">
      <c r="A256" s="93"/>
      <c r="B256" s="93"/>
      <c r="C256" s="93"/>
      <c r="D256" s="192"/>
      <c r="E256" s="93"/>
      <c r="F256" s="93"/>
      <c r="G256" s="193"/>
      <c r="H256" s="50"/>
      <c r="I256" s="93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33.75" customHeight="1">
      <c r="A257" s="93"/>
      <c r="B257" s="93"/>
      <c r="C257" s="93"/>
      <c r="D257" s="192"/>
      <c r="E257" s="93"/>
      <c r="F257" s="93"/>
      <c r="G257" s="193"/>
      <c r="H257" s="50"/>
      <c r="I257" s="93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33.75" customHeight="1">
      <c r="A258" s="93"/>
      <c r="B258" s="93"/>
      <c r="C258" s="93"/>
      <c r="D258" s="192"/>
      <c r="E258" s="93"/>
      <c r="F258" s="93"/>
      <c r="G258" s="193"/>
      <c r="H258" s="50"/>
      <c r="I258" s="93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33.75" customHeight="1">
      <c r="A259" s="93"/>
      <c r="B259" s="93"/>
      <c r="C259" s="93"/>
      <c r="D259" s="192"/>
      <c r="E259" s="93"/>
      <c r="F259" s="93"/>
      <c r="G259" s="193"/>
      <c r="H259" s="50"/>
      <c r="I259" s="93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33.75" customHeight="1">
      <c r="A260" s="93"/>
      <c r="B260" s="93"/>
      <c r="C260" s="93"/>
      <c r="D260" s="192"/>
      <c r="E260" s="93"/>
      <c r="F260" s="93"/>
      <c r="G260" s="193"/>
      <c r="H260" s="50"/>
      <c r="I260" s="93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33.75" customHeight="1">
      <c r="A261" s="93"/>
      <c r="B261" s="93"/>
      <c r="C261" s="93"/>
      <c r="D261" s="192"/>
      <c r="E261" s="93"/>
      <c r="F261" s="93"/>
      <c r="G261" s="193"/>
      <c r="H261" s="50"/>
      <c r="I261" s="93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33.75" customHeight="1">
      <c r="A262" s="93"/>
      <c r="B262" s="93"/>
      <c r="C262" s="93"/>
      <c r="D262" s="192"/>
      <c r="E262" s="93"/>
      <c r="F262" s="93"/>
      <c r="G262" s="193"/>
      <c r="H262" s="50"/>
      <c r="I262" s="93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33.75" customHeight="1">
      <c r="A263" s="93"/>
      <c r="B263" s="93"/>
      <c r="C263" s="93"/>
      <c r="D263" s="192"/>
      <c r="E263" s="93"/>
      <c r="F263" s="93"/>
      <c r="G263" s="193"/>
      <c r="H263" s="50"/>
      <c r="I263" s="93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33.75" customHeight="1">
      <c r="A264" s="93"/>
      <c r="B264" s="93"/>
      <c r="C264" s="93"/>
      <c r="D264" s="192"/>
      <c r="E264" s="93"/>
      <c r="F264" s="93"/>
      <c r="G264" s="193"/>
      <c r="H264" s="50"/>
      <c r="I264" s="93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33.75" customHeight="1">
      <c r="A265" s="93"/>
      <c r="B265" s="93"/>
      <c r="C265" s="93"/>
      <c r="D265" s="192"/>
      <c r="E265" s="93"/>
      <c r="F265" s="93"/>
      <c r="G265" s="193"/>
      <c r="H265" s="50"/>
      <c r="I265" s="93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33.75" customHeight="1">
      <c r="A266" s="93"/>
      <c r="B266" s="93"/>
      <c r="C266" s="93"/>
      <c r="D266" s="192"/>
      <c r="E266" s="93"/>
      <c r="F266" s="93"/>
      <c r="G266" s="193"/>
      <c r="H266" s="50"/>
      <c r="I266" s="93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33.75" customHeight="1">
      <c r="A267" s="93"/>
      <c r="B267" s="93"/>
      <c r="C267" s="93"/>
      <c r="D267" s="192"/>
      <c r="E267" s="93"/>
      <c r="F267" s="93"/>
      <c r="G267" s="193"/>
      <c r="H267" s="50"/>
      <c r="I267" s="93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33.75" customHeight="1">
      <c r="A268" s="93"/>
      <c r="B268" s="93"/>
      <c r="C268" s="93"/>
      <c r="D268" s="192"/>
      <c r="E268" s="93"/>
      <c r="F268" s="93"/>
      <c r="G268" s="193"/>
      <c r="H268" s="50"/>
      <c r="I268" s="93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33.75" customHeight="1">
      <c r="A269" s="93"/>
      <c r="B269" s="93"/>
      <c r="C269" s="93"/>
      <c r="D269" s="192"/>
      <c r="E269" s="93"/>
      <c r="F269" s="93"/>
      <c r="G269" s="193"/>
      <c r="H269" s="50"/>
      <c r="I269" s="93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33.75" customHeight="1">
      <c r="A270" s="93"/>
      <c r="B270" s="93"/>
      <c r="C270" s="93"/>
      <c r="D270" s="192"/>
      <c r="E270" s="93"/>
      <c r="F270" s="93"/>
      <c r="G270" s="193"/>
      <c r="H270" s="50"/>
      <c r="I270" s="93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33.75" customHeight="1">
      <c r="A271" s="93"/>
      <c r="B271" s="93"/>
      <c r="C271" s="93"/>
      <c r="D271" s="192"/>
      <c r="E271" s="93"/>
      <c r="F271" s="93"/>
      <c r="G271" s="193"/>
      <c r="H271" s="50"/>
      <c r="I271" s="93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33.75" customHeight="1">
      <c r="A272" s="93"/>
      <c r="B272" s="93"/>
      <c r="C272" s="93"/>
      <c r="D272" s="192"/>
      <c r="E272" s="93"/>
      <c r="F272" s="93"/>
      <c r="G272" s="193"/>
      <c r="H272" s="50"/>
      <c r="I272" s="93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33.75" customHeight="1">
      <c r="A273" s="93"/>
      <c r="B273" s="93"/>
      <c r="C273" s="93"/>
      <c r="D273" s="192"/>
      <c r="E273" s="93"/>
      <c r="F273" s="93"/>
      <c r="G273" s="193"/>
      <c r="H273" s="50"/>
      <c r="I273" s="93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33.75" customHeight="1">
      <c r="A274" s="93"/>
      <c r="B274" s="93"/>
      <c r="C274" s="93"/>
      <c r="D274" s="192"/>
      <c r="E274" s="93"/>
      <c r="F274" s="93"/>
      <c r="G274" s="193"/>
      <c r="H274" s="50"/>
      <c r="I274" s="93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33.75" customHeight="1">
      <c r="A275" s="93"/>
      <c r="B275" s="93"/>
      <c r="C275" s="93"/>
      <c r="D275" s="192"/>
      <c r="E275" s="93"/>
      <c r="F275" s="93"/>
      <c r="G275" s="193"/>
      <c r="H275" s="50"/>
      <c r="I275" s="93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33.75" customHeight="1">
      <c r="A276" s="93"/>
      <c r="B276" s="93"/>
      <c r="C276" s="93"/>
      <c r="D276" s="192"/>
      <c r="E276" s="93"/>
      <c r="F276" s="93"/>
      <c r="G276" s="193"/>
      <c r="H276" s="50"/>
      <c r="I276" s="93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33.75" customHeight="1">
      <c r="A277" s="93"/>
      <c r="B277" s="93"/>
      <c r="C277" s="93"/>
      <c r="D277" s="192"/>
      <c r="E277" s="93"/>
      <c r="F277" s="93"/>
      <c r="G277" s="193"/>
      <c r="H277" s="50"/>
      <c r="I277" s="93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33.75" customHeight="1">
      <c r="A278" s="93"/>
      <c r="B278" s="93"/>
      <c r="C278" s="93"/>
      <c r="D278" s="192"/>
      <c r="E278" s="93"/>
      <c r="F278" s="93"/>
      <c r="G278" s="193"/>
      <c r="H278" s="50"/>
      <c r="I278" s="93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33.75" customHeight="1">
      <c r="A279" s="93"/>
      <c r="B279" s="93"/>
      <c r="C279" s="93"/>
      <c r="D279" s="192"/>
      <c r="E279" s="93"/>
      <c r="F279" s="93"/>
      <c r="G279" s="193"/>
      <c r="H279" s="50"/>
      <c r="I279" s="93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33.75" customHeight="1">
      <c r="A280" s="93"/>
      <c r="B280" s="93"/>
      <c r="C280" s="93"/>
      <c r="D280" s="192"/>
      <c r="E280" s="93"/>
      <c r="F280" s="93"/>
      <c r="G280" s="193"/>
      <c r="H280" s="50"/>
      <c r="I280" s="93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33.75" customHeight="1">
      <c r="A281" s="93"/>
      <c r="B281" s="93"/>
      <c r="C281" s="93"/>
      <c r="D281" s="192"/>
      <c r="E281" s="93"/>
      <c r="F281" s="93"/>
      <c r="G281" s="193"/>
      <c r="H281" s="50"/>
      <c r="I281" s="93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33.75" customHeight="1">
      <c r="A282" s="93"/>
      <c r="B282" s="93"/>
      <c r="C282" s="93"/>
      <c r="D282" s="192"/>
      <c r="E282" s="93"/>
      <c r="F282" s="93"/>
      <c r="G282" s="193"/>
      <c r="H282" s="50"/>
      <c r="I282" s="93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33.75" customHeight="1">
      <c r="A283" s="93"/>
      <c r="B283" s="93"/>
      <c r="C283" s="93"/>
      <c r="D283" s="192"/>
      <c r="E283" s="93"/>
      <c r="F283" s="93"/>
      <c r="G283" s="193"/>
      <c r="H283" s="50"/>
      <c r="I283" s="93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33.75" customHeight="1">
      <c r="A284" s="93"/>
      <c r="B284" s="93"/>
      <c r="C284" s="93"/>
      <c r="D284" s="192"/>
      <c r="E284" s="93"/>
      <c r="F284" s="93"/>
      <c r="G284" s="193"/>
      <c r="H284" s="50"/>
      <c r="I284" s="93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33.75" customHeight="1">
      <c r="A285" s="93"/>
      <c r="B285" s="93"/>
      <c r="C285" s="93"/>
      <c r="D285" s="192"/>
      <c r="E285" s="93"/>
      <c r="F285" s="93"/>
      <c r="G285" s="193"/>
      <c r="H285" s="50"/>
      <c r="I285" s="93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33.75" customHeight="1">
      <c r="A286" s="93"/>
      <c r="B286" s="93"/>
      <c r="C286" s="93"/>
      <c r="D286" s="192"/>
      <c r="E286" s="93"/>
      <c r="F286" s="93"/>
      <c r="G286" s="193"/>
      <c r="H286" s="50"/>
      <c r="I286" s="93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33.75" customHeight="1">
      <c r="A287" s="93"/>
      <c r="B287" s="93"/>
      <c r="C287" s="93"/>
      <c r="D287" s="192"/>
      <c r="E287" s="93"/>
      <c r="F287" s="93"/>
      <c r="G287" s="193"/>
      <c r="H287" s="50"/>
      <c r="I287" s="93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33.75" customHeight="1">
      <c r="A288" s="93"/>
      <c r="B288" s="93"/>
      <c r="C288" s="93"/>
      <c r="D288" s="192"/>
      <c r="E288" s="93"/>
      <c r="F288" s="93"/>
      <c r="G288" s="193"/>
      <c r="H288" s="50"/>
      <c r="I288" s="93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33.75" customHeight="1">
      <c r="A289" s="93"/>
      <c r="B289" s="93"/>
      <c r="C289" s="93"/>
      <c r="D289" s="192"/>
      <c r="E289" s="93"/>
      <c r="F289" s="93"/>
      <c r="G289" s="193"/>
      <c r="H289" s="50"/>
      <c r="I289" s="93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33.75" customHeight="1">
      <c r="A290" s="93"/>
      <c r="B290" s="93"/>
      <c r="C290" s="93"/>
      <c r="D290" s="192"/>
      <c r="E290" s="93"/>
      <c r="F290" s="93"/>
      <c r="G290" s="193"/>
      <c r="H290" s="50"/>
      <c r="I290" s="93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33.75" customHeight="1">
      <c r="A291" s="93"/>
      <c r="B291" s="93"/>
      <c r="C291" s="93"/>
      <c r="D291" s="192"/>
      <c r="E291" s="93"/>
      <c r="F291" s="93"/>
      <c r="G291" s="193"/>
      <c r="H291" s="50"/>
      <c r="I291" s="93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33.75" customHeight="1">
      <c r="A292" s="93"/>
      <c r="B292" s="93"/>
      <c r="C292" s="93"/>
      <c r="D292" s="192"/>
      <c r="E292" s="93"/>
      <c r="F292" s="93"/>
      <c r="G292" s="193"/>
      <c r="H292" s="50"/>
      <c r="I292" s="93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33.75" customHeight="1">
      <c r="A293" s="93"/>
      <c r="B293" s="93"/>
      <c r="C293" s="93"/>
      <c r="D293" s="192"/>
      <c r="E293" s="93"/>
      <c r="F293" s="93"/>
      <c r="G293" s="193"/>
      <c r="H293" s="50"/>
      <c r="I293" s="93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33.75" customHeight="1">
      <c r="A294" s="93"/>
      <c r="B294" s="93"/>
      <c r="C294" s="93"/>
      <c r="D294" s="192"/>
      <c r="E294" s="93"/>
      <c r="F294" s="93"/>
      <c r="G294" s="193"/>
      <c r="H294" s="50"/>
      <c r="I294" s="93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33.75" customHeight="1">
      <c r="A295" s="93"/>
      <c r="B295" s="93"/>
      <c r="C295" s="93"/>
      <c r="D295" s="192"/>
      <c r="E295" s="93"/>
      <c r="F295" s="93"/>
      <c r="G295" s="193"/>
      <c r="H295" s="50"/>
      <c r="I295" s="93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33.75" customHeight="1">
      <c r="A296" s="93"/>
      <c r="B296" s="93"/>
      <c r="C296" s="93"/>
      <c r="D296" s="192"/>
      <c r="E296" s="93"/>
      <c r="F296" s="93"/>
      <c r="G296" s="193"/>
      <c r="H296" s="50"/>
      <c r="I296" s="93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33.75" customHeight="1">
      <c r="A297" s="93"/>
      <c r="B297" s="93"/>
      <c r="C297" s="93"/>
      <c r="D297" s="192"/>
      <c r="E297" s="93"/>
      <c r="F297" s="93"/>
      <c r="G297" s="193"/>
      <c r="H297" s="50"/>
      <c r="I297" s="93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33.75" customHeight="1">
      <c r="A298" s="93"/>
      <c r="B298" s="93"/>
      <c r="C298" s="93"/>
      <c r="D298" s="192"/>
      <c r="E298" s="93"/>
      <c r="F298" s="93"/>
      <c r="G298" s="193"/>
      <c r="H298" s="50"/>
      <c r="I298" s="93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33.75" customHeight="1">
      <c r="A299" s="93"/>
      <c r="B299" s="93"/>
      <c r="C299" s="93"/>
      <c r="D299" s="192"/>
      <c r="E299" s="93"/>
      <c r="F299" s="93"/>
      <c r="G299" s="193"/>
      <c r="H299" s="50"/>
      <c r="I299" s="93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33.75" customHeight="1">
      <c r="A300" s="93"/>
      <c r="B300" s="93"/>
      <c r="C300" s="93"/>
      <c r="D300" s="192"/>
      <c r="E300" s="93"/>
      <c r="F300" s="93"/>
      <c r="G300" s="193"/>
      <c r="H300" s="50"/>
      <c r="I300" s="93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33.75" customHeight="1">
      <c r="A301" s="93"/>
      <c r="B301" s="93"/>
      <c r="C301" s="93"/>
      <c r="D301" s="192"/>
      <c r="E301" s="93"/>
      <c r="F301" s="93"/>
      <c r="G301" s="193"/>
      <c r="H301" s="50"/>
      <c r="I301" s="93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33.75" customHeight="1">
      <c r="A302" s="93"/>
      <c r="B302" s="93"/>
      <c r="C302" s="93"/>
      <c r="D302" s="192"/>
      <c r="E302" s="93"/>
      <c r="F302" s="93"/>
      <c r="G302" s="193"/>
      <c r="H302" s="50"/>
      <c r="I302" s="93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33.75" customHeight="1">
      <c r="A303" s="93"/>
      <c r="B303" s="93"/>
      <c r="C303" s="93"/>
      <c r="D303" s="192"/>
      <c r="E303" s="93"/>
      <c r="F303" s="93"/>
      <c r="G303" s="193"/>
      <c r="H303" s="50"/>
      <c r="I303" s="93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33.75" customHeight="1">
      <c r="A304" s="93"/>
      <c r="B304" s="93"/>
      <c r="C304" s="93"/>
      <c r="D304" s="192"/>
      <c r="E304" s="93"/>
      <c r="F304" s="93"/>
      <c r="G304" s="193"/>
      <c r="H304" s="50"/>
      <c r="I304" s="93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33.75" customHeight="1">
      <c r="A305" s="93"/>
      <c r="B305" s="93"/>
      <c r="C305" s="93"/>
      <c r="D305" s="192"/>
      <c r="E305" s="93"/>
      <c r="F305" s="93"/>
      <c r="G305" s="193"/>
      <c r="H305" s="50"/>
      <c r="I305" s="93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33.75" customHeight="1">
      <c r="A306" s="93"/>
      <c r="B306" s="93"/>
      <c r="C306" s="93"/>
      <c r="D306" s="192"/>
      <c r="E306" s="93"/>
      <c r="F306" s="93"/>
      <c r="G306" s="193"/>
      <c r="H306" s="50"/>
      <c r="I306" s="93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33.75" customHeight="1">
      <c r="A307" s="93"/>
      <c r="B307" s="93"/>
      <c r="C307" s="93"/>
      <c r="D307" s="192"/>
      <c r="E307" s="93"/>
      <c r="F307" s="93"/>
      <c r="G307" s="193"/>
      <c r="H307" s="50"/>
      <c r="I307" s="93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33.75" customHeight="1">
      <c r="A308" s="93"/>
      <c r="B308" s="93"/>
      <c r="C308" s="93"/>
      <c r="D308" s="192"/>
      <c r="E308" s="93"/>
      <c r="F308" s="93"/>
      <c r="G308" s="193"/>
      <c r="H308" s="50"/>
      <c r="I308" s="93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33.75" customHeight="1">
      <c r="A309" s="93"/>
      <c r="B309" s="93"/>
      <c r="C309" s="93"/>
      <c r="D309" s="192"/>
      <c r="E309" s="93"/>
      <c r="F309" s="93"/>
      <c r="G309" s="193"/>
      <c r="H309" s="50"/>
      <c r="I309" s="93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33.75" customHeight="1">
      <c r="A310" s="93"/>
      <c r="B310" s="93"/>
      <c r="C310" s="93"/>
      <c r="D310" s="192"/>
      <c r="E310" s="93"/>
      <c r="F310" s="93"/>
      <c r="G310" s="193"/>
      <c r="H310" s="50"/>
      <c r="I310" s="93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33.75" customHeight="1">
      <c r="A311" s="93"/>
      <c r="B311" s="93"/>
      <c r="C311" s="93"/>
      <c r="D311" s="192"/>
      <c r="E311" s="93"/>
      <c r="F311" s="93"/>
      <c r="G311" s="193"/>
      <c r="H311" s="50"/>
      <c r="I311" s="93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33.75" customHeight="1">
      <c r="A312" s="93"/>
      <c r="B312" s="93"/>
      <c r="C312" s="93"/>
      <c r="D312" s="192"/>
      <c r="E312" s="93"/>
      <c r="F312" s="93"/>
      <c r="G312" s="193"/>
      <c r="H312" s="50"/>
      <c r="I312" s="93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33.75" customHeight="1">
      <c r="A313" s="93"/>
      <c r="B313" s="93"/>
      <c r="C313" s="93"/>
      <c r="D313" s="192"/>
      <c r="E313" s="93"/>
      <c r="F313" s="93"/>
      <c r="G313" s="193"/>
      <c r="H313" s="50"/>
      <c r="I313" s="93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33.75" customHeight="1">
      <c r="A314" s="93"/>
      <c r="B314" s="93"/>
      <c r="C314" s="93"/>
      <c r="D314" s="192"/>
      <c r="E314" s="93"/>
      <c r="F314" s="93"/>
      <c r="G314" s="193"/>
      <c r="H314" s="50"/>
      <c r="I314" s="93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33.75" customHeight="1">
      <c r="A315" s="93"/>
      <c r="B315" s="93"/>
      <c r="C315" s="93"/>
      <c r="D315" s="192"/>
      <c r="E315" s="93"/>
      <c r="F315" s="93"/>
      <c r="G315" s="193"/>
      <c r="H315" s="50"/>
      <c r="I315" s="93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33.75" customHeight="1">
      <c r="A316" s="93"/>
      <c r="B316" s="93"/>
      <c r="C316" s="93"/>
      <c r="D316" s="192"/>
      <c r="E316" s="93"/>
      <c r="F316" s="93"/>
      <c r="G316" s="193"/>
      <c r="H316" s="50"/>
      <c r="I316" s="93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33.75" customHeight="1">
      <c r="A317" s="93"/>
      <c r="B317" s="93"/>
      <c r="C317" s="93"/>
      <c r="D317" s="192"/>
      <c r="E317" s="93"/>
      <c r="F317" s="93"/>
      <c r="G317" s="193"/>
      <c r="H317" s="50"/>
      <c r="I317" s="93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33.75" customHeight="1">
      <c r="A318" s="93"/>
      <c r="B318" s="93"/>
      <c r="C318" s="93"/>
      <c r="D318" s="192"/>
      <c r="E318" s="93"/>
      <c r="F318" s="93"/>
      <c r="G318" s="193"/>
      <c r="H318" s="50"/>
      <c r="I318" s="93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33.75" customHeight="1">
      <c r="A319" s="93"/>
      <c r="B319" s="93"/>
      <c r="C319" s="93"/>
      <c r="D319" s="192"/>
      <c r="E319" s="93"/>
      <c r="F319" s="93"/>
      <c r="G319" s="193"/>
      <c r="H319" s="50"/>
      <c r="I319" s="93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33.75" customHeight="1">
      <c r="A320" s="93"/>
      <c r="B320" s="93"/>
      <c r="C320" s="93"/>
      <c r="D320" s="192"/>
      <c r="E320" s="93"/>
      <c r="F320" s="93"/>
      <c r="G320" s="193"/>
      <c r="H320" s="50"/>
      <c r="I320" s="93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33.75" customHeight="1">
      <c r="A321" s="93"/>
      <c r="B321" s="93"/>
      <c r="C321" s="93"/>
      <c r="D321" s="192"/>
      <c r="E321" s="93"/>
      <c r="F321" s="93"/>
      <c r="G321" s="193"/>
      <c r="H321" s="50"/>
      <c r="I321" s="93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33.75" customHeight="1">
      <c r="A322" s="93"/>
      <c r="B322" s="93"/>
      <c r="C322" s="93"/>
      <c r="D322" s="192"/>
      <c r="E322" s="93"/>
      <c r="F322" s="93"/>
      <c r="G322" s="193"/>
      <c r="H322" s="50"/>
      <c r="I322" s="93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33.75" customHeight="1">
      <c r="A323" s="93"/>
      <c r="B323" s="93"/>
      <c r="C323" s="93"/>
      <c r="D323" s="192"/>
      <c r="E323" s="93"/>
      <c r="F323" s="93"/>
      <c r="G323" s="193"/>
      <c r="H323" s="50"/>
      <c r="I323" s="93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33.75" customHeight="1">
      <c r="A324" s="93"/>
      <c r="B324" s="93"/>
      <c r="C324" s="93"/>
      <c r="D324" s="192"/>
      <c r="E324" s="93"/>
      <c r="F324" s="93"/>
      <c r="G324" s="193"/>
      <c r="H324" s="50"/>
      <c r="I324" s="93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33.75" customHeight="1">
      <c r="A325" s="93"/>
      <c r="B325" s="93"/>
      <c r="C325" s="93"/>
      <c r="D325" s="192"/>
      <c r="E325" s="93"/>
      <c r="F325" s="93"/>
      <c r="G325" s="193"/>
      <c r="H325" s="50"/>
      <c r="I325" s="93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33.75" customHeight="1">
      <c r="A326" s="93"/>
      <c r="B326" s="93"/>
      <c r="C326" s="93"/>
      <c r="D326" s="192"/>
      <c r="E326" s="93"/>
      <c r="F326" s="93"/>
      <c r="G326" s="193"/>
      <c r="H326" s="50"/>
      <c r="I326" s="93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33.75" customHeight="1">
      <c r="A327" s="93"/>
      <c r="B327" s="93"/>
      <c r="C327" s="93"/>
      <c r="D327" s="192"/>
      <c r="E327" s="93"/>
      <c r="F327" s="93"/>
      <c r="G327" s="193"/>
      <c r="H327" s="50"/>
      <c r="I327" s="93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33.75" customHeight="1">
      <c r="A328" s="93"/>
      <c r="B328" s="93"/>
      <c r="C328" s="93"/>
      <c r="D328" s="192"/>
      <c r="E328" s="93"/>
      <c r="F328" s="93"/>
      <c r="G328" s="193"/>
      <c r="H328" s="50"/>
      <c r="I328" s="93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33.75" customHeight="1">
      <c r="A329" s="93"/>
      <c r="B329" s="93"/>
      <c r="C329" s="93"/>
      <c r="D329" s="192"/>
      <c r="E329" s="93"/>
      <c r="F329" s="93"/>
      <c r="G329" s="193"/>
      <c r="H329" s="50"/>
      <c r="I329" s="93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33.75" customHeight="1">
      <c r="A330" s="93"/>
      <c r="B330" s="93"/>
      <c r="C330" s="93"/>
      <c r="D330" s="192"/>
      <c r="E330" s="93"/>
      <c r="F330" s="93"/>
      <c r="G330" s="193"/>
      <c r="H330" s="50"/>
      <c r="I330" s="93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33.75" customHeight="1">
      <c r="A331" s="93"/>
      <c r="B331" s="93"/>
      <c r="C331" s="93"/>
      <c r="D331" s="192"/>
      <c r="E331" s="93"/>
      <c r="F331" s="93"/>
      <c r="G331" s="193"/>
      <c r="H331" s="50"/>
      <c r="I331" s="93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33.75" customHeight="1">
      <c r="A332" s="93"/>
      <c r="B332" s="93"/>
      <c r="C332" s="93"/>
      <c r="D332" s="192"/>
      <c r="E332" s="93"/>
      <c r="F332" s="93"/>
      <c r="G332" s="193"/>
      <c r="H332" s="50"/>
      <c r="I332" s="93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33.75" customHeight="1">
      <c r="A333" s="93"/>
      <c r="B333" s="93"/>
      <c r="C333" s="93"/>
      <c r="D333" s="192"/>
      <c r="E333" s="93"/>
      <c r="F333" s="93"/>
      <c r="G333" s="193"/>
      <c r="H333" s="50"/>
      <c r="I333" s="93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33.75" customHeight="1">
      <c r="A334" s="93"/>
      <c r="B334" s="93"/>
      <c r="C334" s="93"/>
      <c r="D334" s="192"/>
      <c r="E334" s="93"/>
      <c r="F334" s="93"/>
      <c r="G334" s="193"/>
      <c r="H334" s="50"/>
      <c r="I334" s="93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33.75" customHeight="1">
      <c r="A335" s="93"/>
      <c r="B335" s="93"/>
      <c r="C335" s="93"/>
      <c r="D335" s="192"/>
      <c r="E335" s="93"/>
      <c r="F335" s="93"/>
      <c r="G335" s="193"/>
      <c r="H335" s="50"/>
      <c r="I335" s="93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33.75" customHeight="1">
      <c r="A336" s="93"/>
      <c r="B336" s="93"/>
      <c r="C336" s="93"/>
      <c r="D336" s="192"/>
      <c r="E336" s="93"/>
      <c r="F336" s="93"/>
      <c r="G336" s="193"/>
      <c r="H336" s="50"/>
      <c r="I336" s="93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33.75" customHeight="1">
      <c r="A337" s="93"/>
      <c r="B337" s="93"/>
      <c r="C337" s="93"/>
      <c r="D337" s="192"/>
      <c r="E337" s="93"/>
      <c r="F337" s="93"/>
      <c r="G337" s="193"/>
      <c r="H337" s="50"/>
      <c r="I337" s="93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33.75" customHeight="1">
      <c r="A338" s="93"/>
      <c r="B338" s="93"/>
      <c r="C338" s="93"/>
      <c r="D338" s="192"/>
      <c r="E338" s="93"/>
      <c r="F338" s="93"/>
      <c r="G338" s="193"/>
      <c r="H338" s="50"/>
      <c r="I338" s="93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33.75" customHeight="1">
      <c r="A339" s="93"/>
      <c r="B339" s="93"/>
      <c r="C339" s="93"/>
      <c r="D339" s="192"/>
      <c r="E339" s="93"/>
      <c r="F339" s="93"/>
      <c r="G339" s="193"/>
      <c r="H339" s="50"/>
      <c r="I339" s="93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33.75" customHeight="1">
      <c r="A340" s="93"/>
      <c r="B340" s="93"/>
      <c r="C340" s="93"/>
      <c r="D340" s="192"/>
      <c r="E340" s="93"/>
      <c r="F340" s="93"/>
      <c r="G340" s="193"/>
      <c r="H340" s="50"/>
      <c r="I340" s="93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33.75" customHeight="1">
      <c r="A341" s="93"/>
      <c r="B341" s="93"/>
      <c r="C341" s="93"/>
      <c r="D341" s="192"/>
      <c r="E341" s="93"/>
      <c r="F341" s="93"/>
      <c r="G341" s="193"/>
      <c r="H341" s="50"/>
      <c r="I341" s="93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33.75" customHeight="1">
      <c r="A342" s="93"/>
      <c r="B342" s="93"/>
      <c r="C342" s="93"/>
      <c r="D342" s="192"/>
      <c r="E342" s="93"/>
      <c r="F342" s="93"/>
      <c r="G342" s="193"/>
      <c r="H342" s="50"/>
      <c r="I342" s="93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33.75" customHeight="1">
      <c r="A343" s="93"/>
      <c r="B343" s="93"/>
      <c r="C343" s="93"/>
      <c r="D343" s="192"/>
      <c r="E343" s="93"/>
      <c r="F343" s="93"/>
      <c r="G343" s="193"/>
      <c r="H343" s="50"/>
      <c r="I343" s="93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33.75" customHeight="1">
      <c r="A344" s="93"/>
      <c r="B344" s="93"/>
      <c r="C344" s="93"/>
      <c r="D344" s="192"/>
      <c r="E344" s="93"/>
      <c r="F344" s="93"/>
      <c r="G344" s="193"/>
      <c r="H344" s="50"/>
      <c r="I344" s="93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33.75" customHeight="1">
      <c r="A345" s="93"/>
      <c r="B345" s="93"/>
      <c r="C345" s="93"/>
      <c r="D345" s="192"/>
      <c r="E345" s="93"/>
      <c r="F345" s="93"/>
      <c r="G345" s="193"/>
      <c r="H345" s="50"/>
      <c r="I345" s="93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33.75" customHeight="1">
      <c r="A346" s="93"/>
      <c r="B346" s="93"/>
      <c r="C346" s="93"/>
      <c r="D346" s="192"/>
      <c r="E346" s="93"/>
      <c r="F346" s="93"/>
      <c r="G346" s="193"/>
      <c r="H346" s="50"/>
      <c r="I346" s="93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33.75" customHeight="1">
      <c r="A347" s="93"/>
      <c r="B347" s="93"/>
      <c r="C347" s="93"/>
      <c r="D347" s="192"/>
      <c r="E347" s="93"/>
      <c r="F347" s="93"/>
      <c r="G347" s="193"/>
      <c r="H347" s="50"/>
      <c r="I347" s="93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33.75" customHeight="1">
      <c r="A348" s="93"/>
      <c r="B348" s="93"/>
      <c r="C348" s="93"/>
      <c r="D348" s="192"/>
      <c r="E348" s="93"/>
      <c r="F348" s="93"/>
      <c r="G348" s="193"/>
      <c r="H348" s="50"/>
      <c r="I348" s="93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33.75" customHeight="1">
      <c r="A349" s="93"/>
      <c r="B349" s="93"/>
      <c r="C349" s="93"/>
      <c r="D349" s="192"/>
      <c r="E349" s="93"/>
      <c r="F349" s="93"/>
      <c r="G349" s="193"/>
      <c r="H349" s="50"/>
      <c r="I349" s="93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33.75" customHeight="1">
      <c r="A350" s="93"/>
      <c r="B350" s="93"/>
      <c r="C350" s="93"/>
      <c r="D350" s="192"/>
      <c r="E350" s="93"/>
      <c r="F350" s="93"/>
      <c r="G350" s="193"/>
      <c r="H350" s="50"/>
      <c r="I350" s="93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33.75" customHeight="1">
      <c r="A351" s="93"/>
      <c r="B351" s="93"/>
      <c r="C351" s="93"/>
      <c r="D351" s="192"/>
      <c r="E351" s="93"/>
      <c r="F351" s="93"/>
      <c r="G351" s="193"/>
      <c r="H351" s="50"/>
      <c r="I351" s="93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33.75" customHeight="1">
      <c r="A352" s="93"/>
      <c r="B352" s="93"/>
      <c r="C352" s="93"/>
      <c r="D352" s="192"/>
      <c r="E352" s="93"/>
      <c r="F352" s="93"/>
      <c r="G352" s="193"/>
      <c r="H352" s="50"/>
      <c r="I352" s="93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33.75" customHeight="1">
      <c r="A353" s="93"/>
      <c r="B353" s="93"/>
      <c r="C353" s="93"/>
      <c r="D353" s="192"/>
      <c r="E353" s="93"/>
      <c r="F353" s="93"/>
      <c r="G353" s="193"/>
      <c r="H353" s="50"/>
      <c r="I353" s="93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33.75" customHeight="1">
      <c r="A354" s="93"/>
      <c r="B354" s="93"/>
      <c r="C354" s="93"/>
      <c r="D354" s="192"/>
      <c r="E354" s="93"/>
      <c r="F354" s="93"/>
      <c r="G354" s="193"/>
      <c r="H354" s="50"/>
      <c r="I354" s="93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33.75" customHeight="1">
      <c r="A355" s="93"/>
      <c r="B355" s="93"/>
      <c r="C355" s="93"/>
      <c r="D355" s="192"/>
      <c r="E355" s="93"/>
      <c r="F355" s="93"/>
      <c r="G355" s="193"/>
      <c r="H355" s="50"/>
      <c r="I355" s="93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33.75" customHeight="1">
      <c r="A356" s="93"/>
      <c r="B356" s="93"/>
      <c r="C356" s="93"/>
      <c r="D356" s="192"/>
      <c r="E356" s="93"/>
      <c r="F356" s="93"/>
      <c r="G356" s="193"/>
      <c r="H356" s="50"/>
      <c r="I356" s="93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33.75" customHeight="1">
      <c r="A357" s="93"/>
      <c r="B357" s="93"/>
      <c r="C357" s="93"/>
      <c r="D357" s="192"/>
      <c r="E357" s="93"/>
      <c r="F357" s="93"/>
      <c r="G357" s="193"/>
      <c r="H357" s="50"/>
      <c r="I357" s="93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33.75" customHeight="1">
      <c r="A358" s="93"/>
      <c r="B358" s="93"/>
      <c r="C358" s="93"/>
      <c r="D358" s="192"/>
      <c r="E358" s="93"/>
      <c r="F358" s="93"/>
      <c r="G358" s="193"/>
      <c r="H358" s="50"/>
      <c r="I358" s="93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33.75" customHeight="1">
      <c r="A359" s="93"/>
      <c r="B359" s="93"/>
      <c r="C359" s="93"/>
      <c r="D359" s="192"/>
      <c r="E359" s="93"/>
      <c r="F359" s="93"/>
      <c r="G359" s="193"/>
      <c r="H359" s="50"/>
      <c r="I359" s="93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33.75" customHeight="1">
      <c r="A360" s="93"/>
      <c r="B360" s="93"/>
      <c r="C360" s="93"/>
      <c r="D360" s="192"/>
      <c r="E360" s="93"/>
      <c r="F360" s="93"/>
      <c r="G360" s="193"/>
      <c r="H360" s="50"/>
      <c r="I360" s="93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33.75" customHeight="1">
      <c r="A361" s="93"/>
      <c r="B361" s="93"/>
      <c r="C361" s="93"/>
      <c r="D361" s="192"/>
      <c r="E361" s="93"/>
      <c r="F361" s="93"/>
      <c r="G361" s="193"/>
      <c r="H361" s="50"/>
      <c r="I361" s="93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33.75" customHeight="1">
      <c r="A362" s="93"/>
      <c r="B362" s="93"/>
      <c r="C362" s="93"/>
      <c r="D362" s="192"/>
      <c r="E362" s="93"/>
      <c r="F362" s="93"/>
      <c r="G362" s="193"/>
      <c r="H362" s="50"/>
      <c r="I362" s="93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33.75" customHeight="1">
      <c r="A363" s="93"/>
      <c r="B363" s="93"/>
      <c r="C363" s="93"/>
      <c r="D363" s="192"/>
      <c r="E363" s="93"/>
      <c r="F363" s="93"/>
      <c r="G363" s="193"/>
      <c r="H363" s="50"/>
      <c r="I363" s="93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33.75" customHeight="1">
      <c r="A364" s="93"/>
      <c r="B364" s="93"/>
      <c r="C364" s="93"/>
      <c r="D364" s="192"/>
      <c r="E364" s="93"/>
      <c r="F364" s="93"/>
      <c r="G364" s="193"/>
      <c r="H364" s="50"/>
      <c r="I364" s="93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33.75" customHeight="1">
      <c r="A365" s="93"/>
      <c r="B365" s="93"/>
      <c r="C365" s="93"/>
      <c r="D365" s="192"/>
      <c r="E365" s="93"/>
      <c r="F365" s="93"/>
      <c r="G365" s="193"/>
      <c r="H365" s="50"/>
      <c r="I365" s="93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33.75" customHeight="1">
      <c r="A366" s="93"/>
      <c r="B366" s="93"/>
      <c r="C366" s="93"/>
      <c r="D366" s="192"/>
      <c r="E366" s="93"/>
      <c r="F366" s="93"/>
      <c r="G366" s="193"/>
      <c r="H366" s="50"/>
      <c r="I366" s="93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33.75" customHeight="1">
      <c r="A367" s="93"/>
      <c r="B367" s="93"/>
      <c r="C367" s="93"/>
      <c r="D367" s="192"/>
      <c r="E367" s="93"/>
      <c r="F367" s="93"/>
      <c r="G367" s="193"/>
      <c r="H367" s="50"/>
      <c r="I367" s="93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33.75" customHeight="1">
      <c r="A368" s="93"/>
      <c r="B368" s="93"/>
      <c r="C368" s="93"/>
      <c r="D368" s="192"/>
      <c r="E368" s="93"/>
      <c r="F368" s="93"/>
      <c r="G368" s="193"/>
      <c r="H368" s="50"/>
      <c r="I368" s="93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33.75" customHeight="1">
      <c r="A369" s="93"/>
      <c r="B369" s="93"/>
      <c r="C369" s="93"/>
      <c r="D369" s="192"/>
      <c r="E369" s="93"/>
      <c r="F369" s="93"/>
      <c r="G369" s="193"/>
      <c r="H369" s="50"/>
      <c r="I369" s="93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33.75" customHeight="1">
      <c r="A370" s="93"/>
      <c r="B370" s="93"/>
      <c r="C370" s="93"/>
      <c r="D370" s="192"/>
      <c r="E370" s="93"/>
      <c r="F370" s="93"/>
      <c r="G370" s="193"/>
      <c r="H370" s="50"/>
      <c r="I370" s="93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33.75" customHeight="1">
      <c r="A371" s="93"/>
      <c r="B371" s="93"/>
      <c r="C371" s="93"/>
      <c r="D371" s="192"/>
      <c r="E371" s="93"/>
      <c r="F371" s="93"/>
      <c r="G371" s="193"/>
      <c r="H371" s="50"/>
      <c r="I371" s="93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33.75" customHeight="1">
      <c r="A372" s="93"/>
      <c r="B372" s="93"/>
      <c r="C372" s="93"/>
      <c r="D372" s="192"/>
      <c r="E372" s="93"/>
      <c r="F372" s="93"/>
      <c r="G372" s="193"/>
      <c r="H372" s="50"/>
      <c r="I372" s="93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33.75" customHeight="1">
      <c r="A373" s="93"/>
      <c r="B373" s="93"/>
      <c r="C373" s="93"/>
      <c r="D373" s="192"/>
      <c r="E373" s="93"/>
      <c r="F373" s="93"/>
      <c r="G373" s="193"/>
      <c r="H373" s="50"/>
      <c r="I373" s="93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33.75" customHeight="1">
      <c r="A374" s="93"/>
      <c r="B374" s="93"/>
      <c r="C374" s="93"/>
      <c r="D374" s="192"/>
      <c r="E374" s="93"/>
      <c r="F374" s="93"/>
      <c r="G374" s="193"/>
      <c r="H374" s="50"/>
      <c r="I374" s="93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33.75" customHeight="1">
      <c r="A375" s="93"/>
      <c r="B375" s="93"/>
      <c r="C375" s="93"/>
      <c r="D375" s="192"/>
      <c r="E375" s="93"/>
      <c r="F375" s="93"/>
      <c r="G375" s="193"/>
      <c r="H375" s="50"/>
      <c r="I375" s="93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33.75" customHeight="1">
      <c r="A376" s="93"/>
      <c r="B376" s="93"/>
      <c r="C376" s="93"/>
      <c r="D376" s="192"/>
      <c r="E376" s="93"/>
      <c r="F376" s="93"/>
      <c r="G376" s="193"/>
      <c r="H376" s="50"/>
      <c r="I376" s="93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33.75" customHeight="1">
      <c r="A377" s="93"/>
      <c r="B377" s="93"/>
      <c r="C377" s="93"/>
      <c r="D377" s="192"/>
      <c r="E377" s="93"/>
      <c r="F377" s="93"/>
      <c r="G377" s="193"/>
      <c r="H377" s="50"/>
      <c r="I377" s="93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33.75" customHeight="1">
      <c r="A378" s="93"/>
      <c r="B378" s="93"/>
      <c r="C378" s="93"/>
      <c r="D378" s="192"/>
      <c r="E378" s="93"/>
      <c r="F378" s="93"/>
      <c r="G378" s="193"/>
      <c r="H378" s="50"/>
      <c r="I378" s="93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33.75" customHeight="1">
      <c r="A379" s="93"/>
      <c r="B379" s="93"/>
      <c r="C379" s="93"/>
      <c r="D379" s="192"/>
      <c r="E379" s="93"/>
      <c r="F379" s="93"/>
      <c r="G379" s="193"/>
      <c r="H379" s="50"/>
      <c r="I379" s="93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33.75" customHeight="1">
      <c r="A380" s="93"/>
      <c r="B380" s="93"/>
      <c r="C380" s="93"/>
      <c r="D380" s="192"/>
      <c r="E380" s="93"/>
      <c r="F380" s="93"/>
      <c r="G380" s="193"/>
      <c r="H380" s="50"/>
      <c r="I380" s="93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33.75" customHeight="1">
      <c r="A381" s="93"/>
      <c r="B381" s="93"/>
      <c r="C381" s="93"/>
      <c r="D381" s="192"/>
      <c r="E381" s="93"/>
      <c r="F381" s="93"/>
      <c r="G381" s="193"/>
      <c r="H381" s="50"/>
      <c r="I381" s="93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33.75" customHeight="1">
      <c r="A382" s="93"/>
      <c r="B382" s="93"/>
      <c r="C382" s="93"/>
      <c r="D382" s="192"/>
      <c r="E382" s="93"/>
      <c r="F382" s="93"/>
      <c r="G382" s="193"/>
      <c r="H382" s="50"/>
      <c r="I382" s="93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33.75" customHeight="1">
      <c r="A383" s="93"/>
      <c r="B383" s="93"/>
      <c r="C383" s="93"/>
      <c r="D383" s="192"/>
      <c r="E383" s="93"/>
      <c r="F383" s="93"/>
      <c r="G383" s="193"/>
      <c r="H383" s="50"/>
      <c r="I383" s="93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33.75" customHeight="1">
      <c r="A384" s="93"/>
      <c r="B384" s="93"/>
      <c r="C384" s="93"/>
      <c r="D384" s="192"/>
      <c r="E384" s="93"/>
      <c r="F384" s="93"/>
      <c r="G384" s="193"/>
      <c r="H384" s="50"/>
      <c r="I384" s="93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33.75" customHeight="1">
      <c r="A385" s="93"/>
      <c r="B385" s="93"/>
      <c r="C385" s="93"/>
      <c r="D385" s="192"/>
      <c r="E385" s="93"/>
      <c r="F385" s="93"/>
      <c r="G385" s="193"/>
      <c r="H385" s="50"/>
      <c r="I385" s="93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33.75" customHeight="1">
      <c r="A386" s="93"/>
      <c r="B386" s="93"/>
      <c r="C386" s="93"/>
      <c r="D386" s="192"/>
      <c r="E386" s="93"/>
      <c r="F386" s="93"/>
      <c r="G386" s="193"/>
      <c r="H386" s="50"/>
      <c r="I386" s="93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33.75" customHeight="1">
      <c r="A387" s="93"/>
      <c r="B387" s="93"/>
      <c r="C387" s="93"/>
      <c r="D387" s="192"/>
      <c r="E387" s="93"/>
      <c r="F387" s="93"/>
      <c r="G387" s="193"/>
      <c r="H387" s="50"/>
      <c r="I387" s="93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33.75" customHeight="1">
      <c r="A388" s="93"/>
      <c r="B388" s="93"/>
      <c r="C388" s="93"/>
      <c r="D388" s="192"/>
      <c r="E388" s="93"/>
      <c r="F388" s="93"/>
      <c r="G388" s="193"/>
      <c r="H388" s="50"/>
      <c r="I388" s="93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33.75" customHeight="1">
      <c r="A389" s="93"/>
      <c r="B389" s="93"/>
      <c r="C389" s="93"/>
      <c r="D389" s="192"/>
      <c r="E389" s="93"/>
      <c r="F389" s="93"/>
      <c r="G389" s="193"/>
      <c r="H389" s="50"/>
      <c r="I389" s="93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33.75" customHeight="1">
      <c r="A390" s="93"/>
      <c r="B390" s="93"/>
      <c r="C390" s="93"/>
      <c r="D390" s="192"/>
      <c r="E390" s="93"/>
      <c r="F390" s="93"/>
      <c r="G390" s="193"/>
      <c r="H390" s="50"/>
      <c r="I390" s="93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33.75" customHeight="1">
      <c r="A391" s="93"/>
      <c r="B391" s="93"/>
      <c r="C391" s="93"/>
      <c r="D391" s="192"/>
      <c r="E391" s="93"/>
      <c r="F391" s="93"/>
      <c r="G391" s="193"/>
      <c r="H391" s="50"/>
      <c r="I391" s="93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33.75" customHeight="1">
      <c r="A392" s="93"/>
      <c r="B392" s="93"/>
      <c r="C392" s="93"/>
      <c r="D392" s="192"/>
      <c r="E392" s="93"/>
      <c r="F392" s="93"/>
      <c r="G392" s="193"/>
      <c r="H392" s="50"/>
      <c r="I392" s="93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33.75" customHeight="1">
      <c r="A393" s="93"/>
      <c r="B393" s="93"/>
      <c r="C393" s="93"/>
      <c r="D393" s="192"/>
      <c r="E393" s="93"/>
      <c r="F393" s="93"/>
      <c r="G393" s="193"/>
      <c r="H393" s="50"/>
      <c r="I393" s="93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33.75" customHeight="1">
      <c r="A394" s="93"/>
      <c r="B394" s="93"/>
      <c r="C394" s="93"/>
      <c r="D394" s="192"/>
      <c r="E394" s="93"/>
      <c r="F394" s="93"/>
      <c r="G394" s="193"/>
      <c r="H394" s="50"/>
      <c r="I394" s="93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33.75" customHeight="1">
      <c r="A395" s="93"/>
      <c r="B395" s="93"/>
      <c r="C395" s="93"/>
      <c r="D395" s="192"/>
      <c r="E395" s="93"/>
      <c r="F395" s="93"/>
      <c r="G395" s="193"/>
      <c r="H395" s="50"/>
      <c r="I395" s="93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33.75" customHeight="1">
      <c r="A396" s="93"/>
      <c r="B396" s="93"/>
      <c r="C396" s="93"/>
      <c r="D396" s="192"/>
      <c r="E396" s="93"/>
      <c r="F396" s="93"/>
      <c r="G396" s="193"/>
      <c r="H396" s="50"/>
      <c r="I396" s="93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33.75" customHeight="1">
      <c r="A397" s="93"/>
      <c r="B397" s="93"/>
      <c r="C397" s="93"/>
      <c r="D397" s="192"/>
      <c r="E397" s="93"/>
      <c r="F397" s="93"/>
      <c r="G397" s="193"/>
      <c r="H397" s="50"/>
      <c r="I397" s="93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33.75" customHeight="1">
      <c r="A398" s="93"/>
      <c r="B398" s="93"/>
      <c r="C398" s="93"/>
      <c r="D398" s="192"/>
      <c r="E398" s="93"/>
      <c r="F398" s="93"/>
      <c r="G398" s="193"/>
      <c r="H398" s="50"/>
      <c r="I398" s="93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33.75" customHeight="1">
      <c r="A399" s="93"/>
      <c r="B399" s="93"/>
      <c r="C399" s="93"/>
      <c r="D399" s="192"/>
      <c r="E399" s="93"/>
      <c r="F399" s="93"/>
      <c r="G399" s="193"/>
      <c r="H399" s="50"/>
      <c r="I399" s="93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33.75" customHeight="1">
      <c r="A400" s="93"/>
      <c r="B400" s="93"/>
      <c r="C400" s="93"/>
      <c r="D400" s="192"/>
      <c r="E400" s="93"/>
      <c r="F400" s="93"/>
      <c r="G400" s="193"/>
      <c r="H400" s="50"/>
      <c r="I400" s="93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33.75" customHeight="1">
      <c r="A401" s="93"/>
      <c r="B401" s="93"/>
      <c r="C401" s="93"/>
      <c r="D401" s="192"/>
      <c r="E401" s="93"/>
      <c r="F401" s="93"/>
      <c r="G401" s="193"/>
      <c r="H401" s="50"/>
      <c r="I401" s="93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33.75" customHeight="1">
      <c r="A402" s="93"/>
      <c r="B402" s="93"/>
      <c r="C402" s="93"/>
      <c r="D402" s="192"/>
      <c r="E402" s="93"/>
      <c r="F402" s="93"/>
      <c r="G402" s="193"/>
      <c r="H402" s="50"/>
      <c r="I402" s="93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33.75" customHeight="1">
      <c r="A403" s="93"/>
      <c r="B403" s="93"/>
      <c r="C403" s="93"/>
      <c r="D403" s="192"/>
      <c r="E403" s="93"/>
      <c r="F403" s="93"/>
      <c r="G403" s="193"/>
      <c r="H403" s="50"/>
      <c r="I403" s="93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33.75" customHeight="1">
      <c r="A404" s="93"/>
      <c r="B404" s="93"/>
      <c r="C404" s="93"/>
      <c r="D404" s="192"/>
      <c r="E404" s="93"/>
      <c r="F404" s="93"/>
      <c r="G404" s="193"/>
      <c r="H404" s="50"/>
      <c r="I404" s="93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33.75" customHeight="1">
      <c r="A405" s="93"/>
      <c r="B405" s="93"/>
      <c r="C405" s="93"/>
      <c r="D405" s="192"/>
      <c r="E405" s="93"/>
      <c r="F405" s="93"/>
      <c r="G405" s="193"/>
      <c r="H405" s="50"/>
      <c r="I405" s="93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33.75" customHeight="1">
      <c r="A406" s="93"/>
      <c r="B406" s="93"/>
      <c r="C406" s="93"/>
      <c r="D406" s="192"/>
      <c r="E406" s="93"/>
      <c r="F406" s="93"/>
      <c r="G406" s="193"/>
      <c r="H406" s="50"/>
      <c r="I406" s="93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33.75" customHeight="1">
      <c r="A407" s="93"/>
      <c r="B407" s="93"/>
      <c r="C407" s="93"/>
      <c r="D407" s="192"/>
      <c r="E407" s="93"/>
      <c r="F407" s="93"/>
      <c r="G407" s="193"/>
      <c r="H407" s="50"/>
      <c r="I407" s="93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33.75" customHeight="1">
      <c r="A408" s="93"/>
      <c r="B408" s="93"/>
      <c r="C408" s="93"/>
      <c r="D408" s="192"/>
      <c r="E408" s="93"/>
      <c r="F408" s="93"/>
      <c r="G408" s="193"/>
      <c r="H408" s="50"/>
      <c r="I408" s="93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33.75" customHeight="1">
      <c r="A409" s="93"/>
      <c r="B409" s="93"/>
      <c r="C409" s="93"/>
      <c r="D409" s="192"/>
      <c r="E409" s="93"/>
      <c r="F409" s="93"/>
      <c r="G409" s="193"/>
      <c r="H409" s="50"/>
      <c r="I409" s="93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33.75" customHeight="1">
      <c r="A410" s="93"/>
      <c r="B410" s="93"/>
      <c r="C410" s="93"/>
      <c r="D410" s="192"/>
      <c r="E410" s="93"/>
      <c r="F410" s="93"/>
      <c r="G410" s="193"/>
      <c r="H410" s="50"/>
      <c r="I410" s="93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33.75" customHeight="1">
      <c r="A411" s="93"/>
      <c r="B411" s="93"/>
      <c r="C411" s="93"/>
      <c r="D411" s="192"/>
      <c r="E411" s="93"/>
      <c r="F411" s="93"/>
      <c r="G411" s="193"/>
      <c r="H411" s="50"/>
      <c r="I411" s="93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33.75" customHeight="1">
      <c r="A412" s="93"/>
      <c r="B412" s="93"/>
      <c r="C412" s="93"/>
      <c r="D412" s="192"/>
      <c r="E412" s="93"/>
      <c r="F412" s="93"/>
      <c r="G412" s="193"/>
      <c r="H412" s="50"/>
      <c r="I412" s="93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33.75" customHeight="1">
      <c r="A413" s="93"/>
      <c r="B413" s="93"/>
      <c r="C413" s="93"/>
      <c r="D413" s="192"/>
      <c r="E413" s="93"/>
      <c r="F413" s="93"/>
      <c r="G413" s="193"/>
      <c r="H413" s="50"/>
      <c r="I413" s="93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33.75" customHeight="1">
      <c r="A414" s="93"/>
      <c r="B414" s="93"/>
      <c r="C414" s="93"/>
      <c r="D414" s="192"/>
      <c r="E414" s="93"/>
      <c r="F414" s="93"/>
      <c r="G414" s="193"/>
      <c r="H414" s="50"/>
      <c r="I414" s="93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33.75" customHeight="1">
      <c r="A415" s="93"/>
      <c r="B415" s="93"/>
      <c r="C415" s="93"/>
      <c r="D415" s="192"/>
      <c r="E415" s="93"/>
      <c r="F415" s="93"/>
      <c r="G415" s="193"/>
      <c r="H415" s="50"/>
      <c r="I415" s="93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33.75" customHeight="1">
      <c r="A416" s="93"/>
      <c r="B416" s="93"/>
      <c r="C416" s="93"/>
      <c r="D416" s="192"/>
      <c r="E416" s="93"/>
      <c r="F416" s="93"/>
      <c r="G416" s="193"/>
      <c r="H416" s="50"/>
      <c r="I416" s="93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33.75" customHeight="1">
      <c r="A417" s="93"/>
      <c r="B417" s="93"/>
      <c r="C417" s="93"/>
      <c r="D417" s="192"/>
      <c r="E417" s="93"/>
      <c r="F417" s="93"/>
      <c r="G417" s="193"/>
      <c r="H417" s="50"/>
      <c r="I417" s="93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33.75" customHeight="1">
      <c r="A418" s="93"/>
      <c r="B418" s="93"/>
      <c r="C418" s="93"/>
      <c r="D418" s="192"/>
      <c r="E418" s="93"/>
      <c r="F418" s="93"/>
      <c r="G418" s="193"/>
      <c r="H418" s="50"/>
      <c r="I418" s="93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33.75" customHeight="1">
      <c r="A419" s="93"/>
      <c r="B419" s="93"/>
      <c r="C419" s="93"/>
      <c r="D419" s="192"/>
      <c r="E419" s="93"/>
      <c r="F419" s="93"/>
      <c r="G419" s="193"/>
      <c r="H419" s="50"/>
      <c r="I419" s="9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33.75" customHeight="1">
      <c r="A420" s="93"/>
      <c r="B420" s="93"/>
      <c r="C420" s="93"/>
      <c r="D420" s="192"/>
      <c r="E420" s="93"/>
      <c r="F420" s="93"/>
      <c r="G420" s="193"/>
      <c r="H420" s="50"/>
      <c r="I420" s="9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33.75" customHeight="1">
      <c r="A421" s="93"/>
      <c r="B421" s="93"/>
      <c r="C421" s="93"/>
      <c r="D421" s="192"/>
      <c r="E421" s="93"/>
      <c r="F421" s="93"/>
      <c r="G421" s="193"/>
      <c r="H421" s="50"/>
      <c r="I421" s="9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33.75" customHeight="1">
      <c r="A422" s="93"/>
      <c r="B422" s="93"/>
      <c r="C422" s="93"/>
      <c r="D422" s="192"/>
      <c r="E422" s="93"/>
      <c r="F422" s="93"/>
      <c r="G422" s="193"/>
      <c r="H422" s="50"/>
      <c r="I422" s="9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33.75" customHeight="1">
      <c r="A423" s="93"/>
      <c r="B423" s="93"/>
      <c r="C423" s="93"/>
      <c r="D423" s="192"/>
      <c r="E423" s="93"/>
      <c r="F423" s="93"/>
      <c r="G423" s="193"/>
      <c r="H423" s="50"/>
      <c r="I423" s="9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33.75" customHeight="1">
      <c r="A424" s="93"/>
      <c r="B424" s="93"/>
      <c r="C424" s="93"/>
      <c r="D424" s="192"/>
      <c r="E424" s="93"/>
      <c r="F424" s="93"/>
      <c r="G424" s="193"/>
      <c r="H424" s="50"/>
      <c r="I424" s="9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33.75" customHeight="1">
      <c r="A425" s="93"/>
      <c r="B425" s="93"/>
      <c r="C425" s="93"/>
      <c r="D425" s="192"/>
      <c r="E425" s="93"/>
      <c r="F425" s="93"/>
      <c r="G425" s="193"/>
      <c r="H425" s="50"/>
      <c r="I425" s="9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33.75" customHeight="1">
      <c r="A426" s="93"/>
      <c r="B426" s="93"/>
      <c r="C426" s="93"/>
      <c r="D426" s="192"/>
      <c r="E426" s="93"/>
      <c r="F426" s="93"/>
      <c r="G426" s="193"/>
      <c r="H426" s="50"/>
      <c r="I426" s="9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33.75" customHeight="1">
      <c r="A427" s="93"/>
      <c r="B427" s="93"/>
      <c r="C427" s="93"/>
      <c r="D427" s="192"/>
      <c r="E427" s="93"/>
      <c r="F427" s="93"/>
      <c r="G427" s="193"/>
      <c r="H427" s="50"/>
      <c r="I427" s="9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33.75" customHeight="1">
      <c r="A428" s="93"/>
      <c r="B428" s="93"/>
      <c r="C428" s="93"/>
      <c r="D428" s="192"/>
      <c r="E428" s="93"/>
      <c r="F428" s="93"/>
      <c r="G428" s="193"/>
      <c r="H428" s="50"/>
      <c r="I428" s="9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33.75" customHeight="1">
      <c r="A429" s="93"/>
      <c r="B429" s="93"/>
      <c r="C429" s="93"/>
      <c r="D429" s="192"/>
      <c r="E429" s="93"/>
      <c r="F429" s="93"/>
      <c r="G429" s="193"/>
      <c r="H429" s="50"/>
      <c r="I429" s="9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33.75" customHeight="1">
      <c r="A430" s="93"/>
      <c r="B430" s="93"/>
      <c r="C430" s="93"/>
      <c r="D430" s="192"/>
      <c r="E430" s="93"/>
      <c r="F430" s="93"/>
      <c r="G430" s="193"/>
      <c r="H430" s="50"/>
      <c r="I430" s="9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33.75" customHeight="1">
      <c r="A431" s="93"/>
      <c r="B431" s="93"/>
      <c r="C431" s="93"/>
      <c r="D431" s="192"/>
      <c r="E431" s="93"/>
      <c r="F431" s="93"/>
      <c r="G431" s="193"/>
      <c r="H431" s="50"/>
      <c r="I431" s="9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33.75" customHeight="1">
      <c r="A432" s="93"/>
      <c r="B432" s="93"/>
      <c r="C432" s="93"/>
      <c r="D432" s="192"/>
      <c r="E432" s="93"/>
      <c r="F432" s="93"/>
      <c r="G432" s="193"/>
      <c r="H432" s="50"/>
      <c r="I432" s="9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33.75" customHeight="1">
      <c r="A433" s="93"/>
      <c r="B433" s="93"/>
      <c r="C433" s="93"/>
      <c r="D433" s="192"/>
      <c r="E433" s="93"/>
      <c r="F433" s="93"/>
      <c r="G433" s="193"/>
      <c r="H433" s="50"/>
      <c r="I433" s="9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33.75" customHeight="1">
      <c r="A434" s="93"/>
      <c r="B434" s="93"/>
      <c r="C434" s="93"/>
      <c r="D434" s="192"/>
      <c r="E434" s="93"/>
      <c r="F434" s="93"/>
      <c r="G434" s="193"/>
      <c r="H434" s="50"/>
      <c r="I434" s="9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33.75" customHeight="1">
      <c r="A435" s="93"/>
      <c r="B435" s="93"/>
      <c r="C435" s="93"/>
      <c r="D435" s="192"/>
      <c r="E435" s="93"/>
      <c r="F435" s="93"/>
      <c r="G435" s="193"/>
      <c r="H435" s="50"/>
      <c r="I435" s="9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33.75" customHeight="1">
      <c r="A436" s="93"/>
      <c r="B436" s="93"/>
      <c r="C436" s="93"/>
      <c r="D436" s="192"/>
      <c r="E436" s="93"/>
      <c r="F436" s="93"/>
      <c r="G436" s="193"/>
      <c r="H436" s="50"/>
      <c r="I436" s="9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33.75" customHeight="1">
      <c r="A437" s="93"/>
      <c r="B437" s="93"/>
      <c r="C437" s="93"/>
      <c r="D437" s="192"/>
      <c r="E437" s="93"/>
      <c r="F437" s="93"/>
      <c r="G437" s="193"/>
      <c r="H437" s="50"/>
      <c r="I437" s="9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33.75" customHeight="1">
      <c r="A438" s="93"/>
      <c r="B438" s="93"/>
      <c r="C438" s="93"/>
      <c r="D438" s="192"/>
      <c r="E438" s="93"/>
      <c r="F438" s="93"/>
      <c r="G438" s="193"/>
      <c r="H438" s="50"/>
      <c r="I438" s="9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33.75" customHeight="1">
      <c r="A439" s="93"/>
      <c r="B439" s="93"/>
      <c r="C439" s="93"/>
      <c r="D439" s="192"/>
      <c r="E439" s="93"/>
      <c r="F439" s="93"/>
      <c r="G439" s="193"/>
      <c r="H439" s="50"/>
      <c r="I439" s="9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33.75" customHeight="1">
      <c r="A440" s="93"/>
      <c r="B440" s="93"/>
      <c r="C440" s="93"/>
      <c r="D440" s="192"/>
      <c r="E440" s="93"/>
      <c r="F440" s="93"/>
      <c r="G440" s="193"/>
      <c r="H440" s="50"/>
      <c r="I440" s="9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33.75" customHeight="1">
      <c r="A441" s="93"/>
      <c r="B441" s="93"/>
      <c r="C441" s="93"/>
      <c r="D441" s="192"/>
      <c r="E441" s="93"/>
      <c r="F441" s="93"/>
      <c r="G441" s="193"/>
      <c r="H441" s="50"/>
      <c r="I441" s="9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33.75" customHeight="1">
      <c r="A442" s="93"/>
      <c r="B442" s="93"/>
      <c r="C442" s="93"/>
      <c r="D442" s="192"/>
      <c r="E442" s="93"/>
      <c r="F442" s="93"/>
      <c r="G442" s="193"/>
      <c r="H442" s="50"/>
      <c r="I442" s="9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33.75" customHeight="1">
      <c r="A443" s="93"/>
      <c r="B443" s="93"/>
      <c r="C443" s="93"/>
      <c r="D443" s="192"/>
      <c r="E443" s="93"/>
      <c r="F443" s="93"/>
      <c r="G443" s="193"/>
      <c r="H443" s="50"/>
      <c r="I443" s="9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33.75" customHeight="1">
      <c r="A444" s="93"/>
      <c r="B444" s="93"/>
      <c r="C444" s="93"/>
      <c r="D444" s="192"/>
      <c r="E444" s="93"/>
      <c r="F444" s="93"/>
      <c r="G444" s="193"/>
      <c r="H444" s="50"/>
      <c r="I444" s="9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33.75" customHeight="1">
      <c r="A445" s="93"/>
      <c r="B445" s="93"/>
      <c r="C445" s="93"/>
      <c r="D445" s="192"/>
      <c r="E445" s="93"/>
      <c r="F445" s="93"/>
      <c r="G445" s="193"/>
      <c r="H445" s="50"/>
      <c r="I445" s="9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33.75" customHeight="1">
      <c r="A446" s="93"/>
      <c r="B446" s="93"/>
      <c r="C446" s="93"/>
      <c r="D446" s="192"/>
      <c r="E446" s="93"/>
      <c r="F446" s="93"/>
      <c r="G446" s="193"/>
      <c r="H446" s="50"/>
      <c r="I446" s="9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33.75" customHeight="1">
      <c r="A447" s="93"/>
      <c r="B447" s="93"/>
      <c r="C447" s="93"/>
      <c r="D447" s="192"/>
      <c r="E447" s="93"/>
      <c r="F447" s="93"/>
      <c r="G447" s="193"/>
      <c r="H447" s="50"/>
      <c r="I447" s="9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33.75" customHeight="1">
      <c r="A448" s="93"/>
      <c r="B448" s="93"/>
      <c r="C448" s="93"/>
      <c r="D448" s="192"/>
      <c r="E448" s="93"/>
      <c r="F448" s="93"/>
      <c r="G448" s="193"/>
      <c r="H448" s="50"/>
      <c r="I448" s="9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33.75" customHeight="1">
      <c r="A449" s="93"/>
      <c r="B449" s="93"/>
      <c r="C449" s="93"/>
      <c r="D449" s="192"/>
      <c r="E449" s="93"/>
      <c r="F449" s="93"/>
      <c r="G449" s="193"/>
      <c r="H449" s="50"/>
      <c r="I449" s="9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33.75" customHeight="1">
      <c r="A450" s="93"/>
      <c r="B450" s="93"/>
      <c r="C450" s="93"/>
      <c r="D450" s="192"/>
      <c r="E450" s="93"/>
      <c r="F450" s="93"/>
      <c r="G450" s="193"/>
      <c r="H450" s="50"/>
      <c r="I450" s="9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33.75" customHeight="1">
      <c r="A451" s="93"/>
      <c r="B451" s="93"/>
      <c r="C451" s="93"/>
      <c r="D451" s="192"/>
      <c r="E451" s="93"/>
      <c r="F451" s="93"/>
      <c r="G451" s="193"/>
      <c r="H451" s="50"/>
      <c r="I451" s="9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33.75" customHeight="1">
      <c r="A452" s="93"/>
      <c r="B452" s="93"/>
      <c r="C452" s="93"/>
      <c r="D452" s="192"/>
      <c r="E452" s="93"/>
      <c r="F452" s="93"/>
      <c r="G452" s="193"/>
      <c r="H452" s="50"/>
      <c r="I452" s="9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33.75" customHeight="1">
      <c r="A453" s="93"/>
      <c r="B453" s="93"/>
      <c r="C453" s="93"/>
      <c r="D453" s="192"/>
      <c r="E453" s="93"/>
      <c r="F453" s="93"/>
      <c r="G453" s="193"/>
      <c r="H453" s="50"/>
      <c r="I453" s="9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33.75" customHeight="1">
      <c r="A454" s="93"/>
      <c r="B454" s="93"/>
      <c r="C454" s="93"/>
      <c r="D454" s="192"/>
      <c r="E454" s="93"/>
      <c r="F454" s="93"/>
      <c r="G454" s="193"/>
      <c r="H454" s="50"/>
      <c r="I454" s="9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33.75" customHeight="1">
      <c r="A455" s="93"/>
      <c r="B455" s="93"/>
      <c r="C455" s="93"/>
      <c r="D455" s="192"/>
      <c r="E455" s="93"/>
      <c r="F455" s="93"/>
      <c r="G455" s="193"/>
      <c r="H455" s="50"/>
      <c r="I455" s="9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33.75" customHeight="1">
      <c r="A456" s="93"/>
      <c r="B456" s="93"/>
      <c r="C456" s="93"/>
      <c r="D456" s="192"/>
      <c r="E456" s="93"/>
      <c r="F456" s="93"/>
      <c r="G456" s="193"/>
      <c r="H456" s="50"/>
      <c r="I456" s="9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33.75" customHeight="1">
      <c r="A457" s="93"/>
      <c r="B457" s="93"/>
      <c r="C457" s="93"/>
      <c r="D457" s="192"/>
      <c r="E457" s="93"/>
      <c r="F457" s="93"/>
      <c r="G457" s="193"/>
      <c r="H457" s="50"/>
      <c r="I457" s="9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33.75" customHeight="1">
      <c r="A458" s="93"/>
      <c r="B458" s="93"/>
      <c r="C458" s="93"/>
      <c r="D458" s="192"/>
      <c r="E458" s="93"/>
      <c r="F458" s="93"/>
      <c r="G458" s="193"/>
      <c r="H458" s="50"/>
      <c r="I458" s="9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33.75" customHeight="1">
      <c r="A459" s="93"/>
      <c r="B459" s="93"/>
      <c r="C459" s="93"/>
      <c r="D459" s="192"/>
      <c r="E459" s="93"/>
      <c r="F459" s="93"/>
      <c r="G459" s="193"/>
      <c r="H459" s="50"/>
      <c r="I459" s="9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33.75" customHeight="1">
      <c r="A460" s="93"/>
      <c r="B460" s="93"/>
      <c r="C460" s="93"/>
      <c r="D460" s="192"/>
      <c r="E460" s="93"/>
      <c r="F460" s="93"/>
      <c r="G460" s="193"/>
      <c r="H460" s="50"/>
      <c r="I460" s="9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33.75" customHeight="1">
      <c r="A461" s="93"/>
      <c r="B461" s="93"/>
      <c r="C461" s="93"/>
      <c r="D461" s="192"/>
      <c r="E461" s="93"/>
      <c r="F461" s="93"/>
      <c r="G461" s="193"/>
      <c r="H461" s="50"/>
      <c r="I461" s="9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33.75" customHeight="1">
      <c r="A462" s="93"/>
      <c r="B462" s="93"/>
      <c r="C462" s="93"/>
      <c r="D462" s="192"/>
      <c r="E462" s="93"/>
      <c r="F462" s="93"/>
      <c r="G462" s="193"/>
      <c r="H462" s="50"/>
      <c r="I462" s="9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33.75" customHeight="1">
      <c r="A463" s="93"/>
      <c r="B463" s="93"/>
      <c r="C463" s="93"/>
      <c r="D463" s="192"/>
      <c r="E463" s="93"/>
      <c r="F463" s="93"/>
      <c r="G463" s="193"/>
      <c r="H463" s="50"/>
      <c r="I463" s="9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33.75" customHeight="1">
      <c r="A464" s="93"/>
      <c r="B464" s="93"/>
      <c r="C464" s="93"/>
      <c r="D464" s="192"/>
      <c r="E464" s="93"/>
      <c r="F464" s="93"/>
      <c r="G464" s="193"/>
      <c r="H464" s="50"/>
      <c r="I464" s="9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33.75" customHeight="1">
      <c r="A465" s="93"/>
      <c r="B465" s="93"/>
      <c r="C465" s="93"/>
      <c r="D465" s="192"/>
      <c r="E465" s="93"/>
      <c r="F465" s="93"/>
      <c r="G465" s="193"/>
      <c r="H465" s="50"/>
      <c r="I465" s="9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33.75" customHeight="1">
      <c r="A466" s="93"/>
      <c r="B466" s="93"/>
      <c r="C466" s="93"/>
      <c r="D466" s="192"/>
      <c r="E466" s="93"/>
      <c r="F466" s="93"/>
      <c r="G466" s="193"/>
      <c r="H466" s="50"/>
      <c r="I466" s="9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33.75" customHeight="1">
      <c r="A467" s="93"/>
      <c r="B467" s="93"/>
      <c r="C467" s="93"/>
      <c r="D467" s="192"/>
      <c r="E467" s="93"/>
      <c r="F467" s="93"/>
      <c r="G467" s="193"/>
      <c r="H467" s="50"/>
      <c r="I467" s="9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33.75" customHeight="1">
      <c r="A468" s="93"/>
      <c r="B468" s="93"/>
      <c r="C468" s="93"/>
      <c r="D468" s="192"/>
      <c r="E468" s="93"/>
      <c r="F468" s="93"/>
      <c r="G468" s="193"/>
      <c r="H468" s="50"/>
      <c r="I468" s="9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33.75" customHeight="1">
      <c r="A469" s="93"/>
      <c r="B469" s="93"/>
      <c r="C469" s="93"/>
      <c r="D469" s="192"/>
      <c r="E469" s="93"/>
      <c r="F469" s="93"/>
      <c r="G469" s="193"/>
      <c r="H469" s="50"/>
      <c r="I469" s="9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33.75" customHeight="1">
      <c r="A470" s="93"/>
      <c r="B470" s="93"/>
      <c r="C470" s="93"/>
      <c r="D470" s="192"/>
      <c r="E470" s="93"/>
      <c r="F470" s="93"/>
      <c r="G470" s="193"/>
      <c r="H470" s="50"/>
      <c r="I470" s="9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33.75" customHeight="1">
      <c r="A471" s="93"/>
      <c r="B471" s="93"/>
      <c r="C471" s="93"/>
      <c r="D471" s="192"/>
      <c r="E471" s="93"/>
      <c r="F471" s="93"/>
      <c r="G471" s="193"/>
      <c r="H471" s="50"/>
      <c r="I471" s="9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33.75" customHeight="1">
      <c r="A472" s="93"/>
      <c r="B472" s="93"/>
      <c r="C472" s="93"/>
      <c r="D472" s="192"/>
      <c r="E472" s="93"/>
      <c r="F472" s="93"/>
      <c r="G472" s="193"/>
      <c r="H472" s="50"/>
      <c r="I472" s="9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33.75" customHeight="1">
      <c r="A473" s="93"/>
      <c r="B473" s="93"/>
      <c r="C473" s="93"/>
      <c r="D473" s="192"/>
      <c r="E473" s="93"/>
      <c r="F473" s="93"/>
      <c r="G473" s="193"/>
      <c r="H473" s="50"/>
      <c r="I473" s="9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33.75" customHeight="1">
      <c r="A474" s="93"/>
      <c r="B474" s="93"/>
      <c r="C474" s="93"/>
      <c r="D474" s="192"/>
      <c r="E474" s="93"/>
      <c r="F474" s="93"/>
      <c r="G474" s="193"/>
      <c r="H474" s="50"/>
      <c r="I474" s="9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33.75" customHeight="1">
      <c r="A475" s="93"/>
      <c r="B475" s="93"/>
      <c r="C475" s="93"/>
      <c r="D475" s="192"/>
      <c r="E475" s="93"/>
      <c r="F475" s="93"/>
      <c r="G475" s="193"/>
      <c r="H475" s="50"/>
      <c r="I475" s="9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33.75" customHeight="1">
      <c r="A476" s="93"/>
      <c r="B476" s="93"/>
      <c r="C476" s="93"/>
      <c r="D476" s="192"/>
      <c r="E476" s="93"/>
      <c r="F476" s="93"/>
      <c r="G476" s="193"/>
      <c r="H476" s="50"/>
      <c r="I476" s="9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33.75" customHeight="1">
      <c r="A477" s="93"/>
      <c r="B477" s="93"/>
      <c r="C477" s="93"/>
      <c r="D477" s="192"/>
      <c r="E477" s="93"/>
      <c r="F477" s="93"/>
      <c r="G477" s="193"/>
      <c r="H477" s="50"/>
      <c r="I477" s="9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33.75" customHeight="1">
      <c r="A478" s="93"/>
      <c r="B478" s="93"/>
      <c r="C478" s="93"/>
      <c r="D478" s="192"/>
      <c r="E478" s="93"/>
      <c r="F478" s="93"/>
      <c r="G478" s="193"/>
      <c r="H478" s="50"/>
      <c r="I478" s="9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33.75" customHeight="1">
      <c r="A479" s="93"/>
      <c r="B479" s="93"/>
      <c r="C479" s="93"/>
      <c r="D479" s="192"/>
      <c r="E479" s="93"/>
      <c r="F479" s="93"/>
      <c r="G479" s="193"/>
      <c r="H479" s="50"/>
      <c r="I479" s="9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33.75" customHeight="1">
      <c r="A480" s="93"/>
      <c r="B480" s="93"/>
      <c r="C480" s="93"/>
      <c r="D480" s="192"/>
      <c r="E480" s="93"/>
      <c r="F480" s="93"/>
      <c r="G480" s="193"/>
      <c r="H480" s="50"/>
      <c r="I480" s="9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33.75" customHeight="1">
      <c r="A481" s="93"/>
      <c r="B481" s="93"/>
      <c r="C481" s="93"/>
      <c r="D481" s="192"/>
      <c r="E481" s="93"/>
      <c r="F481" s="93"/>
      <c r="G481" s="193"/>
      <c r="H481" s="50"/>
      <c r="I481" s="9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33.75" customHeight="1">
      <c r="A482" s="93"/>
      <c r="B482" s="93"/>
      <c r="C482" s="93"/>
      <c r="D482" s="192"/>
      <c r="E482" s="93"/>
      <c r="F482" s="93"/>
      <c r="G482" s="193"/>
      <c r="H482" s="50"/>
      <c r="I482" s="9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33.75" customHeight="1">
      <c r="A483" s="93"/>
      <c r="B483" s="93"/>
      <c r="C483" s="93"/>
      <c r="D483" s="192"/>
      <c r="E483" s="93"/>
      <c r="F483" s="93"/>
      <c r="G483" s="193"/>
      <c r="H483" s="50"/>
      <c r="I483" s="9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33.75" customHeight="1">
      <c r="A484" s="93"/>
      <c r="B484" s="93"/>
      <c r="C484" s="93"/>
      <c r="D484" s="192"/>
      <c r="E484" s="93"/>
      <c r="F484" s="93"/>
      <c r="G484" s="193"/>
      <c r="H484" s="50"/>
      <c r="I484" s="9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33.75" customHeight="1">
      <c r="A485" s="93"/>
      <c r="B485" s="93"/>
      <c r="C485" s="93"/>
      <c r="D485" s="192"/>
      <c r="E485" s="93"/>
      <c r="F485" s="93"/>
      <c r="G485" s="193"/>
      <c r="H485" s="50"/>
      <c r="I485" s="9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33.75" customHeight="1">
      <c r="A486" s="93"/>
      <c r="B486" s="93"/>
      <c r="C486" s="93"/>
      <c r="D486" s="192"/>
      <c r="E486" s="93"/>
      <c r="F486" s="93"/>
      <c r="G486" s="193"/>
      <c r="H486" s="50"/>
      <c r="I486" s="9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33.75" customHeight="1">
      <c r="A487" s="93"/>
      <c r="B487" s="93"/>
      <c r="C487" s="93"/>
      <c r="D487" s="192"/>
      <c r="E487" s="93"/>
      <c r="F487" s="93"/>
      <c r="G487" s="193"/>
      <c r="H487" s="50"/>
      <c r="I487" s="9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33.75" customHeight="1">
      <c r="A488" s="93"/>
      <c r="B488" s="93"/>
      <c r="C488" s="93"/>
      <c r="D488" s="192"/>
      <c r="E488" s="93"/>
      <c r="F488" s="93"/>
      <c r="G488" s="193"/>
      <c r="H488" s="50"/>
      <c r="I488" s="9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33.75" customHeight="1">
      <c r="A489" s="93"/>
      <c r="B489" s="93"/>
      <c r="C489" s="93"/>
      <c r="D489" s="192"/>
      <c r="E489" s="93"/>
      <c r="F489" s="93"/>
      <c r="G489" s="193"/>
      <c r="H489" s="50"/>
      <c r="I489" s="9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33.75" customHeight="1">
      <c r="A490" s="93"/>
      <c r="B490" s="93"/>
      <c r="C490" s="93"/>
      <c r="D490" s="192"/>
      <c r="E490" s="93"/>
      <c r="F490" s="93"/>
      <c r="G490" s="193"/>
      <c r="H490" s="50"/>
      <c r="I490" s="9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33.75" customHeight="1">
      <c r="A491" s="93"/>
      <c r="B491" s="93"/>
      <c r="C491" s="93"/>
      <c r="D491" s="192"/>
      <c r="E491" s="93"/>
      <c r="F491" s="93"/>
      <c r="G491" s="193"/>
      <c r="H491" s="50"/>
      <c r="I491" s="9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33.75" customHeight="1">
      <c r="A492" s="93"/>
      <c r="B492" s="93"/>
      <c r="C492" s="93"/>
      <c r="D492" s="192"/>
      <c r="E492" s="93"/>
      <c r="F492" s="93"/>
      <c r="G492" s="193"/>
      <c r="H492" s="50"/>
      <c r="I492" s="9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33.75" customHeight="1">
      <c r="A493" s="93"/>
      <c r="B493" s="93"/>
      <c r="C493" s="93"/>
      <c r="D493" s="192"/>
      <c r="E493" s="93"/>
      <c r="F493" s="93"/>
      <c r="G493" s="193"/>
      <c r="H493" s="50"/>
      <c r="I493" s="9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33.75" customHeight="1">
      <c r="A494" s="93"/>
      <c r="B494" s="93"/>
      <c r="C494" s="93"/>
      <c r="D494" s="192"/>
      <c r="E494" s="93"/>
      <c r="F494" s="93"/>
      <c r="G494" s="193"/>
      <c r="H494" s="50"/>
      <c r="I494" s="9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33.75" customHeight="1">
      <c r="A495" s="93"/>
      <c r="B495" s="93"/>
      <c r="C495" s="93"/>
      <c r="D495" s="192"/>
      <c r="E495" s="93"/>
      <c r="F495" s="93"/>
      <c r="G495" s="193"/>
      <c r="H495" s="50"/>
      <c r="I495" s="9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33.75" customHeight="1">
      <c r="A496" s="93"/>
      <c r="B496" s="93"/>
      <c r="C496" s="93"/>
      <c r="D496" s="192"/>
      <c r="E496" s="93"/>
      <c r="F496" s="93"/>
      <c r="G496" s="193"/>
      <c r="H496" s="50"/>
      <c r="I496" s="9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33.75" customHeight="1">
      <c r="A497" s="93"/>
      <c r="B497" s="93"/>
      <c r="C497" s="93"/>
      <c r="D497" s="192"/>
      <c r="E497" s="93"/>
      <c r="F497" s="93"/>
      <c r="G497" s="193"/>
      <c r="H497" s="50"/>
      <c r="I497" s="9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33.75" customHeight="1">
      <c r="A498" s="93"/>
      <c r="B498" s="93"/>
      <c r="C498" s="93"/>
      <c r="D498" s="192"/>
      <c r="E498" s="93"/>
      <c r="F498" s="93"/>
      <c r="G498" s="193"/>
      <c r="H498" s="50"/>
      <c r="I498" s="9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33.75" customHeight="1">
      <c r="A499" s="93"/>
      <c r="B499" s="93"/>
      <c r="C499" s="93"/>
      <c r="D499" s="192"/>
      <c r="E499" s="93"/>
      <c r="F499" s="93"/>
      <c r="G499" s="193"/>
      <c r="H499" s="50"/>
      <c r="I499" s="9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33.75" customHeight="1">
      <c r="A500" s="93"/>
      <c r="B500" s="93"/>
      <c r="C500" s="93"/>
      <c r="D500" s="192"/>
      <c r="E500" s="93"/>
      <c r="F500" s="93"/>
      <c r="G500" s="193"/>
      <c r="H500" s="50"/>
      <c r="I500" s="9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33.75" customHeight="1">
      <c r="A501" s="93"/>
      <c r="B501" s="93"/>
      <c r="C501" s="93"/>
      <c r="D501" s="192"/>
      <c r="E501" s="93"/>
      <c r="F501" s="93"/>
      <c r="G501" s="193"/>
      <c r="H501" s="50"/>
      <c r="I501" s="9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33.75" customHeight="1">
      <c r="A502" s="93"/>
      <c r="B502" s="93"/>
      <c r="C502" s="93"/>
      <c r="D502" s="192"/>
      <c r="E502" s="93"/>
      <c r="F502" s="93"/>
      <c r="G502" s="193"/>
      <c r="H502" s="50"/>
      <c r="I502" s="9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33.75" customHeight="1">
      <c r="A503" s="93"/>
      <c r="B503" s="93"/>
      <c r="C503" s="93"/>
      <c r="D503" s="192"/>
      <c r="E503" s="93"/>
      <c r="F503" s="93"/>
      <c r="G503" s="193"/>
      <c r="H503" s="50"/>
      <c r="I503" s="9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33.75" customHeight="1">
      <c r="A504" s="93"/>
      <c r="B504" s="93"/>
      <c r="C504" s="93"/>
      <c r="D504" s="192"/>
      <c r="E504" s="93"/>
      <c r="F504" s="93"/>
      <c r="G504" s="193"/>
      <c r="H504" s="50"/>
      <c r="I504" s="9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33.75" customHeight="1">
      <c r="A505" s="93"/>
      <c r="B505" s="93"/>
      <c r="C505" s="93"/>
      <c r="D505" s="192"/>
      <c r="E505" s="93"/>
      <c r="F505" s="93"/>
      <c r="G505" s="193"/>
      <c r="H505" s="50"/>
      <c r="I505" s="9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33.75" customHeight="1">
      <c r="A506" s="93"/>
      <c r="B506" s="93"/>
      <c r="C506" s="93"/>
      <c r="D506" s="192"/>
      <c r="E506" s="93"/>
      <c r="F506" s="93"/>
      <c r="G506" s="193"/>
      <c r="H506" s="50"/>
      <c r="I506" s="9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33.75" customHeight="1">
      <c r="A507" s="93"/>
      <c r="B507" s="93"/>
      <c r="C507" s="93"/>
      <c r="D507" s="192"/>
      <c r="E507" s="93"/>
      <c r="F507" s="93"/>
      <c r="G507" s="193"/>
      <c r="H507" s="50"/>
      <c r="I507" s="9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33.75" customHeight="1">
      <c r="A508" s="93"/>
      <c r="B508" s="93"/>
      <c r="C508" s="93"/>
      <c r="D508" s="192"/>
      <c r="E508" s="93"/>
      <c r="F508" s="93"/>
      <c r="G508" s="193"/>
      <c r="H508" s="50"/>
      <c r="I508" s="9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33.75" customHeight="1">
      <c r="A509" s="93"/>
      <c r="B509" s="93"/>
      <c r="C509" s="93"/>
      <c r="D509" s="192"/>
      <c r="E509" s="93"/>
      <c r="F509" s="93"/>
      <c r="G509" s="193"/>
      <c r="H509" s="50"/>
      <c r="I509" s="9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33.75" customHeight="1">
      <c r="A510" s="93"/>
      <c r="B510" s="93"/>
      <c r="C510" s="93"/>
      <c r="D510" s="192"/>
      <c r="E510" s="93"/>
      <c r="F510" s="93"/>
      <c r="G510" s="193"/>
      <c r="H510" s="50"/>
      <c r="I510" s="9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33.75" customHeight="1">
      <c r="A511" s="93"/>
      <c r="B511" s="93"/>
      <c r="C511" s="93"/>
      <c r="D511" s="192"/>
      <c r="E511" s="93"/>
      <c r="F511" s="93"/>
      <c r="G511" s="193"/>
      <c r="H511" s="50"/>
      <c r="I511" s="9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33.75" customHeight="1">
      <c r="A512" s="93"/>
      <c r="B512" s="93"/>
      <c r="C512" s="93"/>
      <c r="D512" s="192"/>
      <c r="E512" s="93"/>
      <c r="F512" s="93"/>
      <c r="G512" s="193"/>
      <c r="H512" s="50"/>
      <c r="I512" s="9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33.75" customHeight="1">
      <c r="A513" s="93"/>
      <c r="B513" s="93"/>
      <c r="C513" s="93"/>
      <c r="D513" s="192"/>
      <c r="E513" s="93"/>
      <c r="F513" s="93"/>
      <c r="G513" s="193"/>
      <c r="H513" s="50"/>
      <c r="I513" s="9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33.75" customHeight="1">
      <c r="A514" s="93"/>
      <c r="B514" s="93"/>
      <c r="C514" s="93"/>
      <c r="D514" s="192"/>
      <c r="E514" s="93"/>
      <c r="F514" s="93"/>
      <c r="G514" s="193"/>
      <c r="H514" s="50"/>
      <c r="I514" s="9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33.75" customHeight="1">
      <c r="A515" s="93"/>
      <c r="B515" s="93"/>
      <c r="C515" s="93"/>
      <c r="D515" s="192"/>
      <c r="E515" s="93"/>
      <c r="F515" s="93"/>
      <c r="G515" s="193"/>
      <c r="H515" s="50"/>
      <c r="I515" s="9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33.75" customHeight="1">
      <c r="A516" s="93"/>
      <c r="B516" s="93"/>
      <c r="C516" s="93"/>
      <c r="D516" s="192"/>
      <c r="E516" s="93"/>
      <c r="F516" s="93"/>
      <c r="G516" s="193"/>
      <c r="H516" s="50"/>
      <c r="I516" s="9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33.75" customHeight="1">
      <c r="A517" s="93"/>
      <c r="B517" s="93"/>
      <c r="C517" s="93"/>
      <c r="D517" s="192"/>
      <c r="E517" s="93"/>
      <c r="F517" s="93"/>
      <c r="G517" s="193"/>
      <c r="H517" s="50"/>
      <c r="I517" s="9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33.75" customHeight="1">
      <c r="A518" s="93"/>
      <c r="B518" s="93"/>
      <c r="C518" s="93"/>
      <c r="D518" s="192"/>
      <c r="E518" s="93"/>
      <c r="F518" s="93"/>
      <c r="G518" s="193"/>
      <c r="H518" s="50"/>
      <c r="I518" s="9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33.75" customHeight="1">
      <c r="A519" s="93"/>
      <c r="B519" s="93"/>
      <c r="C519" s="93"/>
      <c r="D519" s="192"/>
      <c r="E519" s="93"/>
      <c r="F519" s="93"/>
      <c r="G519" s="193"/>
      <c r="H519" s="50"/>
      <c r="I519" s="9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33.75" customHeight="1">
      <c r="A520" s="93"/>
      <c r="B520" s="93"/>
      <c r="C520" s="93"/>
      <c r="D520" s="192"/>
      <c r="E520" s="93"/>
      <c r="F520" s="93"/>
      <c r="G520" s="193"/>
      <c r="H520" s="50"/>
      <c r="I520" s="9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33.75" customHeight="1">
      <c r="A521" s="93"/>
      <c r="B521" s="93"/>
      <c r="C521" s="93"/>
      <c r="D521" s="192"/>
      <c r="E521" s="93"/>
      <c r="F521" s="93"/>
      <c r="G521" s="193"/>
      <c r="H521" s="50"/>
      <c r="I521" s="9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33.75" customHeight="1">
      <c r="A522" s="93"/>
      <c r="B522" s="93"/>
      <c r="C522" s="93"/>
      <c r="D522" s="192"/>
      <c r="E522" s="93"/>
      <c r="F522" s="93"/>
      <c r="G522" s="193"/>
      <c r="H522" s="50"/>
      <c r="I522" s="9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33.75" customHeight="1">
      <c r="A523" s="93"/>
      <c r="B523" s="93"/>
      <c r="C523" s="93"/>
      <c r="D523" s="192"/>
      <c r="E523" s="93"/>
      <c r="F523" s="93"/>
      <c r="G523" s="193"/>
      <c r="H523" s="50"/>
      <c r="I523" s="9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33.75" customHeight="1">
      <c r="A524" s="93"/>
      <c r="B524" s="93"/>
      <c r="C524" s="93"/>
      <c r="D524" s="192"/>
      <c r="E524" s="93"/>
      <c r="F524" s="93"/>
      <c r="G524" s="193"/>
      <c r="H524" s="50"/>
      <c r="I524" s="9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33.75" customHeight="1">
      <c r="A525" s="93"/>
      <c r="B525" s="93"/>
      <c r="C525" s="93"/>
      <c r="D525" s="192"/>
      <c r="E525" s="93"/>
      <c r="F525" s="93"/>
      <c r="G525" s="193"/>
      <c r="H525" s="50"/>
      <c r="I525" s="9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33.75" customHeight="1">
      <c r="A526" s="93"/>
      <c r="B526" s="93"/>
      <c r="C526" s="93"/>
      <c r="D526" s="192"/>
      <c r="E526" s="93"/>
      <c r="F526" s="93"/>
      <c r="G526" s="193"/>
      <c r="H526" s="50"/>
      <c r="I526" s="9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33.75" customHeight="1">
      <c r="A527" s="93"/>
      <c r="B527" s="93"/>
      <c r="C527" s="93"/>
      <c r="D527" s="192"/>
      <c r="E527" s="93"/>
      <c r="F527" s="93"/>
      <c r="G527" s="193"/>
      <c r="H527" s="50"/>
      <c r="I527" s="9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33.75" customHeight="1">
      <c r="A528" s="93"/>
      <c r="B528" s="93"/>
      <c r="C528" s="93"/>
      <c r="D528" s="192"/>
      <c r="E528" s="93"/>
      <c r="F528" s="93"/>
      <c r="G528" s="193"/>
      <c r="H528" s="50"/>
      <c r="I528" s="9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33.75" customHeight="1">
      <c r="A529" s="93"/>
      <c r="B529" s="93"/>
      <c r="C529" s="93"/>
      <c r="D529" s="192"/>
      <c r="E529" s="93"/>
      <c r="F529" s="93"/>
      <c r="G529" s="193"/>
      <c r="H529" s="50"/>
      <c r="I529" s="9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33.75" customHeight="1">
      <c r="A530" s="93"/>
      <c r="B530" s="93"/>
      <c r="C530" s="93"/>
      <c r="D530" s="192"/>
      <c r="E530" s="93"/>
      <c r="F530" s="93"/>
      <c r="G530" s="193"/>
      <c r="H530" s="50"/>
      <c r="I530" s="9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33.75" customHeight="1">
      <c r="A531" s="93"/>
      <c r="B531" s="93"/>
      <c r="C531" s="93"/>
      <c r="D531" s="192"/>
      <c r="E531" s="93"/>
      <c r="F531" s="93"/>
      <c r="G531" s="193"/>
      <c r="H531" s="50"/>
      <c r="I531" s="9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33.75" customHeight="1">
      <c r="A532" s="93"/>
      <c r="B532" s="93"/>
      <c r="C532" s="93"/>
      <c r="D532" s="192"/>
      <c r="E532" s="93"/>
      <c r="F532" s="93"/>
      <c r="G532" s="193"/>
      <c r="H532" s="50"/>
      <c r="I532" s="9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33.75" customHeight="1">
      <c r="A533" s="93"/>
      <c r="B533" s="93"/>
      <c r="C533" s="93"/>
      <c r="D533" s="192"/>
      <c r="E533" s="93"/>
      <c r="F533" s="93"/>
      <c r="G533" s="193"/>
      <c r="H533" s="50"/>
      <c r="I533" s="9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33.75" customHeight="1">
      <c r="A534" s="93"/>
      <c r="B534" s="93"/>
      <c r="C534" s="93"/>
      <c r="D534" s="192"/>
      <c r="E534" s="93"/>
      <c r="F534" s="93"/>
      <c r="G534" s="193"/>
      <c r="H534" s="50"/>
      <c r="I534" s="9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33.75" customHeight="1">
      <c r="A535" s="93"/>
      <c r="B535" s="93"/>
      <c r="C535" s="93"/>
      <c r="D535" s="192"/>
      <c r="E535" s="93"/>
      <c r="F535" s="93"/>
      <c r="G535" s="193"/>
      <c r="H535" s="50"/>
      <c r="I535" s="9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33.75" customHeight="1">
      <c r="A536" s="93"/>
      <c r="B536" s="93"/>
      <c r="C536" s="93"/>
      <c r="D536" s="192"/>
      <c r="E536" s="93"/>
      <c r="F536" s="93"/>
      <c r="G536" s="193"/>
      <c r="H536" s="50"/>
      <c r="I536" s="9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33.75" customHeight="1">
      <c r="A537" s="93"/>
      <c r="B537" s="93"/>
      <c r="C537" s="93"/>
      <c r="D537" s="192"/>
      <c r="E537" s="93"/>
      <c r="F537" s="93"/>
      <c r="G537" s="193"/>
      <c r="H537" s="50"/>
      <c r="I537" s="9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33.75" customHeight="1">
      <c r="A538" s="93"/>
      <c r="B538" s="93"/>
      <c r="C538" s="93"/>
      <c r="D538" s="192"/>
      <c r="E538" s="93"/>
      <c r="F538" s="93"/>
      <c r="G538" s="193"/>
      <c r="H538" s="50"/>
      <c r="I538" s="9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33.75" customHeight="1">
      <c r="A539" s="93"/>
      <c r="B539" s="93"/>
      <c r="C539" s="93"/>
      <c r="D539" s="192"/>
      <c r="E539" s="93"/>
      <c r="F539" s="93"/>
      <c r="G539" s="193"/>
      <c r="H539" s="50"/>
      <c r="I539" s="9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33.75" customHeight="1">
      <c r="A540" s="93"/>
      <c r="B540" s="93"/>
      <c r="C540" s="93"/>
      <c r="D540" s="192"/>
      <c r="E540" s="93"/>
      <c r="F540" s="93"/>
      <c r="G540" s="193"/>
      <c r="H540" s="50"/>
      <c r="I540" s="9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33.75" customHeight="1">
      <c r="A541" s="93"/>
      <c r="B541" s="93"/>
      <c r="C541" s="93"/>
      <c r="D541" s="192"/>
      <c r="E541" s="93"/>
      <c r="F541" s="93"/>
      <c r="G541" s="193"/>
      <c r="H541" s="50"/>
      <c r="I541" s="9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33.75" customHeight="1">
      <c r="A542" s="93"/>
      <c r="B542" s="93"/>
      <c r="C542" s="93"/>
      <c r="D542" s="192"/>
      <c r="E542" s="93"/>
      <c r="F542" s="93"/>
      <c r="G542" s="193"/>
      <c r="H542" s="50"/>
      <c r="I542" s="9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33.75" customHeight="1">
      <c r="A543" s="93"/>
      <c r="B543" s="93"/>
      <c r="C543" s="93"/>
      <c r="D543" s="192"/>
      <c r="E543" s="93"/>
      <c r="F543" s="93"/>
      <c r="G543" s="193"/>
      <c r="H543" s="50"/>
      <c r="I543" s="9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33.75" customHeight="1">
      <c r="A544" s="93"/>
      <c r="B544" s="93"/>
      <c r="C544" s="93"/>
      <c r="D544" s="192"/>
      <c r="E544" s="93"/>
      <c r="F544" s="93"/>
      <c r="G544" s="193"/>
      <c r="H544" s="50"/>
      <c r="I544" s="9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33.75" customHeight="1">
      <c r="A545" s="93"/>
      <c r="B545" s="93"/>
      <c r="C545" s="93"/>
      <c r="D545" s="192"/>
      <c r="E545" s="93"/>
      <c r="F545" s="93"/>
      <c r="G545" s="193"/>
      <c r="H545" s="50"/>
      <c r="I545" s="9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33.75" customHeight="1">
      <c r="A546" s="93"/>
      <c r="B546" s="93"/>
      <c r="C546" s="93"/>
      <c r="D546" s="192"/>
      <c r="E546" s="93"/>
      <c r="F546" s="93"/>
      <c r="G546" s="193"/>
      <c r="H546" s="50"/>
      <c r="I546" s="9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33.75" customHeight="1">
      <c r="A547" s="93"/>
      <c r="B547" s="93"/>
      <c r="C547" s="93"/>
      <c r="D547" s="192"/>
      <c r="E547" s="93"/>
      <c r="F547" s="93"/>
      <c r="G547" s="193"/>
      <c r="H547" s="50"/>
      <c r="I547" s="9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33.75" customHeight="1">
      <c r="A548" s="93"/>
      <c r="B548" s="93"/>
      <c r="C548" s="93"/>
      <c r="D548" s="192"/>
      <c r="E548" s="93"/>
      <c r="F548" s="93"/>
      <c r="G548" s="193"/>
      <c r="H548" s="50"/>
      <c r="I548" s="9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33.75" customHeight="1">
      <c r="A549" s="93"/>
      <c r="B549" s="93"/>
      <c r="C549" s="93"/>
      <c r="D549" s="192"/>
      <c r="E549" s="93"/>
      <c r="F549" s="93"/>
      <c r="G549" s="193"/>
      <c r="H549" s="50"/>
      <c r="I549" s="9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33.75" customHeight="1">
      <c r="A550" s="93"/>
      <c r="B550" s="93"/>
      <c r="C550" s="93"/>
      <c r="D550" s="192"/>
      <c r="E550" s="93"/>
      <c r="F550" s="93"/>
      <c r="G550" s="193"/>
      <c r="H550" s="50"/>
      <c r="I550" s="9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33.75" customHeight="1">
      <c r="A551" s="93"/>
      <c r="B551" s="93"/>
      <c r="C551" s="93"/>
      <c r="D551" s="192"/>
      <c r="E551" s="93"/>
      <c r="F551" s="93"/>
      <c r="G551" s="193"/>
      <c r="H551" s="50"/>
      <c r="I551" s="9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33.75" customHeight="1">
      <c r="A552" s="93"/>
      <c r="B552" s="93"/>
      <c r="C552" s="93"/>
      <c r="D552" s="192"/>
      <c r="E552" s="93"/>
      <c r="F552" s="93"/>
      <c r="G552" s="193"/>
      <c r="H552" s="50"/>
      <c r="I552" s="9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33.75" customHeight="1">
      <c r="A553" s="93"/>
      <c r="B553" s="93"/>
      <c r="C553" s="93"/>
      <c r="D553" s="192"/>
      <c r="E553" s="93"/>
      <c r="F553" s="93"/>
      <c r="G553" s="193"/>
      <c r="H553" s="50"/>
      <c r="I553" s="9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33.75" customHeight="1">
      <c r="A554" s="93"/>
      <c r="B554" s="93"/>
      <c r="C554" s="93"/>
      <c r="D554" s="192"/>
      <c r="E554" s="93"/>
      <c r="F554" s="93"/>
      <c r="G554" s="193"/>
      <c r="H554" s="50"/>
      <c r="I554" s="9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33.75" customHeight="1">
      <c r="A555" s="93"/>
      <c r="B555" s="93"/>
      <c r="C555" s="93"/>
      <c r="D555" s="192"/>
      <c r="E555" s="93"/>
      <c r="F555" s="93"/>
      <c r="G555" s="193"/>
      <c r="H555" s="50"/>
      <c r="I555" s="9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33.75" customHeight="1">
      <c r="A556" s="93"/>
      <c r="B556" s="93"/>
      <c r="C556" s="93"/>
      <c r="D556" s="192"/>
      <c r="E556" s="93"/>
      <c r="F556" s="93"/>
      <c r="G556" s="193"/>
      <c r="H556" s="50"/>
      <c r="I556" s="9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33.75" customHeight="1">
      <c r="A557" s="93"/>
      <c r="B557" s="93"/>
      <c r="C557" s="93"/>
      <c r="D557" s="192"/>
      <c r="E557" s="93"/>
      <c r="F557" s="93"/>
      <c r="G557" s="193"/>
      <c r="H557" s="50"/>
      <c r="I557" s="9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33.75" customHeight="1">
      <c r="A558" s="93"/>
      <c r="B558" s="93"/>
      <c r="C558" s="93"/>
      <c r="D558" s="192"/>
      <c r="E558" s="93"/>
      <c r="F558" s="93"/>
      <c r="G558" s="193"/>
      <c r="H558" s="50"/>
      <c r="I558" s="9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33.75" customHeight="1">
      <c r="A559" s="93"/>
      <c r="B559" s="93"/>
      <c r="C559" s="93"/>
      <c r="D559" s="192"/>
      <c r="E559" s="93"/>
      <c r="F559" s="93"/>
      <c r="G559" s="193"/>
      <c r="H559" s="50"/>
      <c r="I559" s="9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33.75" customHeight="1">
      <c r="A560" s="93"/>
      <c r="B560" s="93"/>
      <c r="C560" s="93"/>
      <c r="D560" s="192"/>
      <c r="E560" s="93"/>
      <c r="F560" s="93"/>
      <c r="G560" s="193"/>
      <c r="H560" s="50"/>
      <c r="I560" s="9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33.75" customHeight="1">
      <c r="A561" s="93"/>
      <c r="B561" s="93"/>
      <c r="C561" s="93"/>
      <c r="D561" s="192"/>
      <c r="E561" s="93"/>
      <c r="F561" s="93"/>
      <c r="G561" s="193"/>
      <c r="H561" s="50"/>
      <c r="I561" s="9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33.75" customHeight="1">
      <c r="A562" s="93"/>
      <c r="B562" s="93"/>
      <c r="C562" s="93"/>
      <c r="D562" s="192"/>
      <c r="E562" s="93"/>
      <c r="F562" s="93"/>
      <c r="G562" s="193"/>
      <c r="H562" s="50"/>
      <c r="I562" s="9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33.75" customHeight="1">
      <c r="A563" s="93"/>
      <c r="B563" s="93"/>
      <c r="C563" s="93"/>
      <c r="D563" s="192"/>
      <c r="E563" s="93"/>
      <c r="F563" s="93"/>
      <c r="G563" s="193"/>
      <c r="H563" s="50"/>
      <c r="I563" s="9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33.75" customHeight="1">
      <c r="A564" s="93"/>
      <c r="B564" s="93"/>
      <c r="C564" s="93"/>
      <c r="D564" s="192"/>
      <c r="E564" s="93"/>
      <c r="F564" s="93"/>
      <c r="G564" s="193"/>
      <c r="H564" s="50"/>
      <c r="I564" s="9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33.75" customHeight="1">
      <c r="A565" s="93"/>
      <c r="B565" s="93"/>
      <c r="C565" s="93"/>
      <c r="D565" s="192"/>
      <c r="E565" s="93"/>
      <c r="F565" s="93"/>
      <c r="G565" s="193"/>
      <c r="H565" s="50"/>
      <c r="I565" s="9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33.75" customHeight="1">
      <c r="A566" s="93"/>
      <c r="B566" s="93"/>
      <c r="C566" s="93"/>
      <c r="D566" s="192"/>
      <c r="E566" s="93"/>
      <c r="F566" s="93"/>
      <c r="G566" s="193"/>
      <c r="H566" s="50"/>
      <c r="I566" s="9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33.75" customHeight="1">
      <c r="A567" s="93"/>
      <c r="B567" s="93"/>
      <c r="C567" s="93"/>
      <c r="D567" s="192"/>
      <c r="E567" s="93"/>
      <c r="F567" s="93"/>
      <c r="G567" s="193"/>
      <c r="H567" s="50"/>
      <c r="I567" s="9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33.75" customHeight="1">
      <c r="A568" s="93"/>
      <c r="B568" s="93"/>
      <c r="C568" s="93"/>
      <c r="D568" s="192"/>
      <c r="E568" s="93"/>
      <c r="F568" s="93"/>
      <c r="G568" s="193"/>
      <c r="H568" s="50"/>
      <c r="I568" s="9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33.75" customHeight="1">
      <c r="A569" s="93"/>
      <c r="B569" s="93"/>
      <c r="C569" s="93"/>
      <c r="D569" s="192"/>
      <c r="E569" s="93"/>
      <c r="F569" s="93"/>
      <c r="G569" s="193"/>
      <c r="H569" s="50"/>
      <c r="I569" s="9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33.75" customHeight="1">
      <c r="A570" s="93"/>
      <c r="B570" s="93"/>
      <c r="C570" s="93"/>
      <c r="D570" s="192"/>
      <c r="E570" s="93"/>
      <c r="F570" s="93"/>
      <c r="G570" s="193"/>
      <c r="H570" s="50"/>
      <c r="I570" s="9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33.75" customHeight="1">
      <c r="A571" s="93"/>
      <c r="B571" s="93"/>
      <c r="C571" s="93"/>
      <c r="D571" s="192"/>
      <c r="E571" s="93"/>
      <c r="F571" s="93"/>
      <c r="G571" s="193"/>
      <c r="H571" s="50"/>
      <c r="I571" s="9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33.75" customHeight="1">
      <c r="A572" s="93"/>
      <c r="B572" s="93"/>
      <c r="C572" s="93"/>
      <c r="D572" s="192"/>
      <c r="E572" s="93"/>
      <c r="F572" s="93"/>
      <c r="G572" s="193"/>
      <c r="H572" s="50"/>
      <c r="I572" s="9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33.75" customHeight="1">
      <c r="A573" s="93"/>
      <c r="B573" s="93"/>
      <c r="C573" s="93"/>
      <c r="D573" s="192"/>
      <c r="E573" s="93"/>
      <c r="F573" s="93"/>
      <c r="G573" s="193"/>
      <c r="H573" s="50"/>
      <c r="I573" s="9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33.75" customHeight="1">
      <c r="A574" s="93"/>
      <c r="B574" s="93"/>
      <c r="C574" s="93"/>
      <c r="D574" s="192"/>
      <c r="E574" s="93"/>
      <c r="F574" s="93"/>
      <c r="G574" s="193"/>
      <c r="H574" s="50"/>
      <c r="I574" s="9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33.75" customHeight="1">
      <c r="A575" s="93"/>
      <c r="B575" s="93"/>
      <c r="C575" s="93"/>
      <c r="D575" s="192"/>
      <c r="E575" s="93"/>
      <c r="F575" s="93"/>
      <c r="G575" s="193"/>
      <c r="H575" s="50"/>
      <c r="I575" s="9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33.75" customHeight="1">
      <c r="A576" s="93"/>
      <c r="B576" s="93"/>
      <c r="C576" s="93"/>
      <c r="D576" s="192"/>
      <c r="E576" s="93"/>
      <c r="F576" s="93"/>
      <c r="G576" s="193"/>
      <c r="H576" s="50"/>
      <c r="I576" s="9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33.75" customHeight="1">
      <c r="A577" s="93"/>
      <c r="B577" s="93"/>
      <c r="C577" s="93"/>
      <c r="D577" s="192"/>
      <c r="E577" s="93"/>
      <c r="F577" s="93"/>
      <c r="G577" s="193"/>
      <c r="H577" s="50"/>
      <c r="I577" s="9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33.75" customHeight="1">
      <c r="A578" s="93"/>
      <c r="B578" s="93"/>
      <c r="C578" s="93"/>
      <c r="D578" s="192"/>
      <c r="E578" s="93"/>
      <c r="F578" s="93"/>
      <c r="G578" s="193"/>
      <c r="H578" s="50"/>
      <c r="I578" s="9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33.75" customHeight="1">
      <c r="A579" s="93"/>
      <c r="B579" s="93"/>
      <c r="C579" s="93"/>
      <c r="D579" s="192"/>
      <c r="E579" s="93"/>
      <c r="F579" s="93"/>
      <c r="G579" s="193"/>
      <c r="H579" s="50"/>
      <c r="I579" s="9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33.75" customHeight="1">
      <c r="A580" s="93"/>
      <c r="B580" s="93"/>
      <c r="C580" s="93"/>
      <c r="D580" s="192"/>
      <c r="E580" s="93"/>
      <c r="F580" s="93"/>
      <c r="G580" s="193"/>
      <c r="H580" s="50"/>
      <c r="I580" s="9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33.75" customHeight="1">
      <c r="A581" s="93"/>
      <c r="B581" s="93"/>
      <c r="C581" s="93"/>
      <c r="D581" s="192"/>
      <c r="E581" s="93"/>
      <c r="F581" s="93"/>
      <c r="G581" s="193"/>
      <c r="H581" s="50"/>
      <c r="I581" s="9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33.75" customHeight="1">
      <c r="A582" s="93"/>
      <c r="B582" s="93"/>
      <c r="C582" s="93"/>
      <c r="D582" s="192"/>
      <c r="E582" s="93"/>
      <c r="F582" s="93"/>
      <c r="G582" s="193"/>
      <c r="H582" s="50"/>
      <c r="I582" s="9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33.75" customHeight="1">
      <c r="A583" s="93"/>
      <c r="B583" s="93"/>
      <c r="C583" s="93"/>
      <c r="D583" s="192"/>
      <c r="E583" s="93"/>
      <c r="F583" s="93"/>
      <c r="G583" s="193"/>
      <c r="H583" s="50"/>
      <c r="I583" s="9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33.75" customHeight="1">
      <c r="A584" s="93"/>
      <c r="B584" s="93"/>
      <c r="C584" s="93"/>
      <c r="D584" s="192"/>
      <c r="E584" s="93"/>
      <c r="F584" s="93"/>
      <c r="G584" s="193"/>
      <c r="H584" s="50"/>
      <c r="I584" s="9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33.75" customHeight="1">
      <c r="A585" s="93"/>
      <c r="B585" s="93"/>
      <c r="C585" s="93"/>
      <c r="D585" s="192"/>
      <c r="E585" s="93"/>
      <c r="F585" s="93"/>
      <c r="G585" s="193"/>
      <c r="H585" s="50"/>
      <c r="I585" s="9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33.75" customHeight="1">
      <c r="A586" s="93"/>
      <c r="B586" s="93"/>
      <c r="C586" s="93"/>
      <c r="D586" s="192"/>
      <c r="E586" s="93"/>
      <c r="F586" s="93"/>
      <c r="G586" s="193"/>
      <c r="H586" s="50"/>
      <c r="I586" s="9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33.75" customHeight="1">
      <c r="A587" s="93"/>
      <c r="B587" s="93"/>
      <c r="C587" s="93"/>
      <c r="D587" s="192"/>
      <c r="E587" s="93"/>
      <c r="F587" s="93"/>
      <c r="G587" s="193"/>
      <c r="H587" s="50"/>
      <c r="I587" s="9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33.75" customHeight="1">
      <c r="A588" s="93"/>
      <c r="B588" s="93"/>
      <c r="C588" s="93"/>
      <c r="D588" s="192"/>
      <c r="E588" s="93"/>
      <c r="F588" s="93"/>
      <c r="G588" s="193"/>
      <c r="H588" s="50"/>
      <c r="I588" s="9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33.75" customHeight="1">
      <c r="A589" s="93"/>
      <c r="B589" s="93"/>
      <c r="C589" s="93"/>
      <c r="D589" s="192"/>
      <c r="E589" s="93"/>
      <c r="F589" s="93"/>
      <c r="G589" s="193"/>
      <c r="H589" s="50"/>
      <c r="I589" s="9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33.75" customHeight="1">
      <c r="A590" s="93"/>
      <c r="B590" s="93"/>
      <c r="C590" s="93"/>
      <c r="D590" s="192"/>
      <c r="E590" s="93"/>
      <c r="F590" s="93"/>
      <c r="G590" s="193"/>
      <c r="H590" s="50"/>
      <c r="I590" s="9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33.75" customHeight="1">
      <c r="A591" s="93"/>
      <c r="B591" s="93"/>
      <c r="C591" s="93"/>
      <c r="D591" s="192"/>
      <c r="E591" s="93"/>
      <c r="F591" s="93"/>
      <c r="G591" s="193"/>
      <c r="H591" s="50"/>
      <c r="I591" s="9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33.75" customHeight="1">
      <c r="A592" s="93"/>
      <c r="B592" s="93"/>
      <c r="C592" s="93"/>
      <c r="D592" s="192"/>
      <c r="E592" s="93"/>
      <c r="F592" s="93"/>
      <c r="G592" s="193"/>
      <c r="H592" s="50"/>
      <c r="I592" s="9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33.75" customHeight="1">
      <c r="A593" s="93"/>
      <c r="B593" s="93"/>
      <c r="C593" s="93"/>
      <c r="D593" s="192"/>
      <c r="E593" s="93"/>
      <c r="F593" s="93"/>
      <c r="G593" s="193"/>
      <c r="H593" s="50"/>
      <c r="I593" s="9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33.75" customHeight="1">
      <c r="A594" s="93"/>
      <c r="B594" s="93"/>
      <c r="C594" s="93"/>
      <c r="D594" s="192"/>
      <c r="E594" s="93"/>
      <c r="F594" s="93"/>
      <c r="G594" s="193"/>
      <c r="H594" s="50"/>
      <c r="I594" s="9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33.75" customHeight="1">
      <c r="A595" s="93"/>
      <c r="B595" s="93"/>
      <c r="C595" s="93"/>
      <c r="D595" s="192"/>
      <c r="E595" s="93"/>
      <c r="F595" s="93"/>
      <c r="G595" s="193"/>
      <c r="H595" s="50"/>
      <c r="I595" s="9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33.75" customHeight="1">
      <c r="A596" s="93"/>
      <c r="B596" s="93"/>
      <c r="C596" s="93"/>
      <c r="D596" s="192"/>
      <c r="E596" s="93"/>
      <c r="F596" s="93"/>
      <c r="G596" s="193"/>
      <c r="H596" s="50"/>
      <c r="I596" s="9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33.75" customHeight="1">
      <c r="A597" s="93"/>
      <c r="B597" s="93"/>
      <c r="C597" s="93"/>
      <c r="D597" s="192"/>
      <c r="E597" s="93"/>
      <c r="F597" s="93"/>
      <c r="G597" s="193"/>
      <c r="H597" s="50"/>
      <c r="I597" s="9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33.75" customHeight="1">
      <c r="A598" s="93"/>
      <c r="B598" s="93"/>
      <c r="C598" s="93"/>
      <c r="D598" s="192"/>
      <c r="E598" s="93"/>
      <c r="F598" s="93"/>
      <c r="G598" s="193"/>
      <c r="H598" s="50"/>
      <c r="I598" s="9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33.75" customHeight="1">
      <c r="A599" s="93"/>
      <c r="B599" s="93"/>
      <c r="C599" s="93"/>
      <c r="D599" s="192"/>
      <c r="E599" s="93"/>
      <c r="F599" s="93"/>
      <c r="G599" s="193"/>
      <c r="H599" s="50"/>
      <c r="I599" s="9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33.75" customHeight="1">
      <c r="A600" s="93"/>
      <c r="B600" s="93"/>
      <c r="C600" s="93"/>
      <c r="D600" s="192"/>
      <c r="E600" s="93"/>
      <c r="F600" s="93"/>
      <c r="G600" s="193"/>
      <c r="H600" s="50"/>
      <c r="I600" s="9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33.75" customHeight="1">
      <c r="A601" s="93"/>
      <c r="B601" s="93"/>
      <c r="C601" s="93"/>
      <c r="D601" s="192"/>
      <c r="E601" s="93"/>
      <c r="F601" s="93"/>
      <c r="G601" s="193"/>
      <c r="H601" s="50"/>
      <c r="I601" s="9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33.75" customHeight="1">
      <c r="A602" s="93"/>
      <c r="B602" s="93"/>
      <c r="C602" s="93"/>
      <c r="D602" s="192"/>
      <c r="E602" s="93"/>
      <c r="F602" s="93"/>
      <c r="G602" s="193"/>
      <c r="H602" s="50"/>
      <c r="I602" s="9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33.75" customHeight="1">
      <c r="A603" s="93"/>
      <c r="B603" s="93"/>
      <c r="C603" s="93"/>
      <c r="D603" s="192"/>
      <c r="E603" s="93"/>
      <c r="F603" s="93"/>
      <c r="G603" s="193"/>
      <c r="H603" s="50"/>
      <c r="I603" s="9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33.75" customHeight="1">
      <c r="A604" s="93"/>
      <c r="B604" s="93"/>
      <c r="C604" s="93"/>
      <c r="D604" s="192"/>
      <c r="E604" s="93"/>
      <c r="F604" s="93"/>
      <c r="G604" s="193"/>
      <c r="H604" s="50"/>
      <c r="I604" s="9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33.75" customHeight="1">
      <c r="A605" s="93"/>
      <c r="B605" s="93"/>
      <c r="C605" s="93"/>
      <c r="D605" s="192"/>
      <c r="E605" s="93"/>
      <c r="F605" s="93"/>
      <c r="G605" s="193"/>
      <c r="H605" s="50"/>
      <c r="I605" s="9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33.75" customHeight="1">
      <c r="A606" s="93"/>
      <c r="B606" s="93"/>
      <c r="C606" s="93"/>
      <c r="D606" s="192"/>
      <c r="E606" s="93"/>
      <c r="F606" s="93"/>
      <c r="G606" s="193"/>
      <c r="H606" s="50"/>
      <c r="I606" s="9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33.75" customHeight="1">
      <c r="A607" s="93"/>
      <c r="B607" s="93"/>
      <c r="C607" s="93"/>
      <c r="D607" s="192"/>
      <c r="E607" s="93"/>
      <c r="F607" s="93"/>
      <c r="G607" s="193"/>
      <c r="H607" s="50"/>
      <c r="I607" s="9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33.75" customHeight="1">
      <c r="A608" s="93"/>
      <c r="B608" s="93"/>
      <c r="C608" s="93"/>
      <c r="D608" s="192"/>
      <c r="E608" s="93"/>
      <c r="F608" s="93"/>
      <c r="G608" s="193"/>
      <c r="H608" s="50"/>
      <c r="I608" s="9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33.75" customHeight="1">
      <c r="A609" s="93"/>
      <c r="B609" s="93"/>
      <c r="C609" s="93"/>
      <c r="D609" s="192"/>
      <c r="E609" s="93"/>
      <c r="F609" s="93"/>
      <c r="G609" s="193"/>
      <c r="H609" s="50"/>
      <c r="I609" s="9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33.75" customHeight="1">
      <c r="A610" s="93"/>
      <c r="B610" s="93"/>
      <c r="C610" s="93"/>
      <c r="D610" s="192"/>
      <c r="E610" s="93"/>
      <c r="F610" s="93"/>
      <c r="G610" s="193"/>
      <c r="H610" s="50"/>
      <c r="I610" s="9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33.75" customHeight="1">
      <c r="A611" s="93"/>
      <c r="B611" s="93"/>
      <c r="C611" s="93"/>
      <c r="D611" s="192"/>
      <c r="E611" s="93"/>
      <c r="F611" s="93"/>
      <c r="G611" s="193"/>
      <c r="H611" s="50"/>
      <c r="I611" s="9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33.75" customHeight="1">
      <c r="A612" s="93"/>
      <c r="B612" s="93"/>
      <c r="C612" s="93"/>
      <c r="D612" s="192"/>
      <c r="E612" s="93"/>
      <c r="F612" s="93"/>
      <c r="G612" s="193"/>
      <c r="H612" s="50"/>
      <c r="I612" s="9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33.75" customHeight="1">
      <c r="A613" s="93"/>
      <c r="B613" s="93"/>
      <c r="C613" s="93"/>
      <c r="D613" s="192"/>
      <c r="E613" s="93"/>
      <c r="F613" s="93"/>
      <c r="G613" s="193"/>
      <c r="H613" s="50"/>
      <c r="I613" s="9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33.75" customHeight="1">
      <c r="A614" s="93"/>
      <c r="B614" s="93"/>
      <c r="C614" s="93"/>
      <c r="D614" s="192"/>
      <c r="E614" s="93"/>
      <c r="F614" s="93"/>
      <c r="G614" s="193"/>
      <c r="H614" s="50"/>
      <c r="I614" s="9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33.75" customHeight="1">
      <c r="A615" s="93"/>
      <c r="B615" s="93"/>
      <c r="C615" s="93"/>
      <c r="D615" s="192"/>
      <c r="E615" s="93"/>
      <c r="F615" s="93"/>
      <c r="G615" s="193"/>
      <c r="H615" s="50"/>
      <c r="I615" s="9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33.75" customHeight="1">
      <c r="A616" s="93"/>
      <c r="B616" s="93"/>
      <c r="C616" s="93"/>
      <c r="D616" s="192"/>
      <c r="E616" s="93"/>
      <c r="F616" s="93"/>
      <c r="G616" s="193"/>
      <c r="H616" s="50"/>
      <c r="I616" s="9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33.75" customHeight="1">
      <c r="A617" s="93"/>
      <c r="B617" s="93"/>
      <c r="C617" s="93"/>
      <c r="D617" s="192"/>
      <c r="E617" s="93"/>
      <c r="F617" s="93"/>
      <c r="G617" s="193"/>
      <c r="H617" s="50"/>
      <c r="I617" s="9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33.75" customHeight="1">
      <c r="A618" s="93"/>
      <c r="B618" s="93"/>
      <c r="C618" s="93"/>
      <c r="D618" s="192"/>
      <c r="E618" s="93"/>
      <c r="F618" s="93"/>
      <c r="G618" s="193"/>
      <c r="H618" s="50"/>
      <c r="I618" s="9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</sheetData>
  <autoFilter ref="$A$1:$V$48">
    <sortState ref="A1:V48">
      <sortCondition ref="E1:E48"/>
      <sortCondition ref="B1:B48"/>
      <sortCondition ref="A1:A48"/>
      <sortCondition ref="F1:F48"/>
      <sortCondition ref="G1:G48"/>
    </sortState>
  </autoFilter>
  <dataValidations>
    <dataValidation type="decimal" operator="lessThanOrEqual" allowBlank="1" showDropDown="1" showErrorMessage="1" sqref="B53">
      <formula1>10.0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9.71"/>
    <col customWidth="1" min="3" max="3" width="19.71"/>
    <col customWidth="1" min="4" max="4" width="15.14"/>
    <col customWidth="1" min="5" max="5" width="14.57"/>
    <col customWidth="1" min="6" max="6" width="12.29"/>
    <col customWidth="1" min="7" max="7" width="11.0"/>
    <col customWidth="1" min="8" max="8" width="31.57"/>
    <col customWidth="1" min="9" max="9" width="31.86"/>
    <col customWidth="1" min="10" max="10" width="12.29"/>
    <col customWidth="1" min="11" max="22" width="30.43"/>
  </cols>
  <sheetData>
    <row r="1" ht="22.5" customHeight="1">
      <c r="A1" s="1" t="s">
        <v>0</v>
      </c>
      <c r="B1" s="1" t="s">
        <v>1</v>
      </c>
      <c r="C1" s="1" t="s">
        <v>2</v>
      </c>
      <c r="D1" s="49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>
      <c r="A2" s="27" t="s">
        <v>24</v>
      </c>
      <c r="B2" s="27">
        <v>1025.0</v>
      </c>
      <c r="C2" s="28" t="s">
        <v>383</v>
      </c>
      <c r="D2" s="86">
        <v>3.0</v>
      </c>
      <c r="E2" s="116" t="s">
        <v>384</v>
      </c>
      <c r="F2" s="27" t="s">
        <v>385</v>
      </c>
      <c r="G2" s="27">
        <v>4.0</v>
      </c>
      <c r="H2" s="122"/>
      <c r="I2" s="137" t="s">
        <v>386</v>
      </c>
      <c r="J2" s="13" t="b">
        <v>1</v>
      </c>
      <c r="K2" s="13" t="s">
        <v>311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>
      <c r="A3" s="113" t="s">
        <v>156</v>
      </c>
      <c r="B3" s="113">
        <v>2025.0</v>
      </c>
      <c r="C3" s="126" t="s">
        <v>383</v>
      </c>
      <c r="D3" s="164">
        <v>3.0</v>
      </c>
      <c r="E3" s="114" t="s">
        <v>384</v>
      </c>
      <c r="F3" s="113" t="s">
        <v>385</v>
      </c>
      <c r="G3" s="113">
        <v>4.0</v>
      </c>
      <c r="H3" s="128"/>
      <c r="I3" s="185" t="s">
        <v>386</v>
      </c>
      <c r="J3" s="13" t="b">
        <v>1</v>
      </c>
      <c r="K3" s="68" t="s">
        <v>311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2.5" customHeight="1">
      <c r="A4" s="113" t="s">
        <v>156</v>
      </c>
      <c r="B4" s="113" t="s">
        <v>25</v>
      </c>
      <c r="C4" s="126" t="s">
        <v>387</v>
      </c>
      <c r="D4" s="164">
        <v>3.0</v>
      </c>
      <c r="E4" s="114" t="s">
        <v>384</v>
      </c>
      <c r="F4" s="113" t="s">
        <v>385</v>
      </c>
      <c r="G4" s="113">
        <v>3.0</v>
      </c>
      <c r="H4" s="128"/>
      <c r="I4" s="128"/>
      <c r="J4" s="13" t="b">
        <v>1</v>
      </c>
      <c r="K4" s="68" t="s">
        <v>311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2.5" customHeight="1">
      <c r="A5" s="113" t="s">
        <v>156</v>
      </c>
      <c r="B5" s="113" t="s">
        <v>25</v>
      </c>
      <c r="C5" s="126" t="s">
        <v>388</v>
      </c>
      <c r="D5" s="164">
        <v>3.0</v>
      </c>
      <c r="E5" s="114" t="s">
        <v>384</v>
      </c>
      <c r="F5" s="113" t="s">
        <v>385</v>
      </c>
      <c r="G5" s="113">
        <v>5.0</v>
      </c>
      <c r="H5" s="128"/>
      <c r="I5" s="128"/>
      <c r="J5" s="13" t="b">
        <v>1</v>
      </c>
      <c r="K5" s="68" t="s">
        <v>311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2.5" customHeight="1">
      <c r="A6" s="113" t="s">
        <v>156</v>
      </c>
      <c r="B6" s="113">
        <v>2024.0</v>
      </c>
      <c r="C6" s="126" t="s">
        <v>389</v>
      </c>
      <c r="D6" s="164">
        <v>3.0</v>
      </c>
      <c r="E6" s="114" t="s">
        <v>384</v>
      </c>
      <c r="F6" s="113" t="s">
        <v>385</v>
      </c>
      <c r="G6" s="113">
        <v>6.0</v>
      </c>
      <c r="H6" s="128"/>
      <c r="I6" s="185" t="s">
        <v>386</v>
      </c>
      <c r="J6" s="13" t="b">
        <v>1</v>
      </c>
      <c r="K6" s="68" t="s">
        <v>311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2.5" customHeight="1">
      <c r="A7" s="27" t="s">
        <v>24</v>
      </c>
      <c r="B7" s="27">
        <v>1026.0</v>
      </c>
      <c r="C7" s="28" t="s">
        <v>390</v>
      </c>
      <c r="D7" s="86">
        <v>3.0</v>
      </c>
      <c r="E7" s="116" t="s">
        <v>391</v>
      </c>
      <c r="F7" s="27" t="s">
        <v>385</v>
      </c>
      <c r="G7" s="27">
        <v>2.0</v>
      </c>
      <c r="H7" s="28" t="s">
        <v>160</v>
      </c>
      <c r="I7" s="122"/>
      <c r="J7" s="13" t="b">
        <v>1</v>
      </c>
      <c r="K7" s="68" t="s">
        <v>311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2.5" customHeight="1">
      <c r="A8" s="113" t="s">
        <v>156</v>
      </c>
      <c r="B8" s="113">
        <v>2026.0</v>
      </c>
      <c r="C8" s="126" t="s">
        <v>390</v>
      </c>
      <c r="D8" s="164">
        <v>3.0</v>
      </c>
      <c r="E8" s="114" t="s">
        <v>391</v>
      </c>
      <c r="F8" s="113" t="s">
        <v>385</v>
      </c>
      <c r="G8" s="113">
        <v>2.0</v>
      </c>
      <c r="H8" s="128"/>
      <c r="I8" s="128"/>
      <c r="J8" s="13" t="b">
        <v>1</v>
      </c>
      <c r="K8" s="68" t="s">
        <v>311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22.5" customHeight="1">
      <c r="A9" s="27" t="s">
        <v>24</v>
      </c>
      <c r="B9" s="27" t="s">
        <v>25</v>
      </c>
      <c r="C9" s="28" t="s">
        <v>390</v>
      </c>
      <c r="D9" s="86">
        <v>3.0</v>
      </c>
      <c r="E9" s="116" t="s">
        <v>391</v>
      </c>
      <c r="F9" s="27" t="s">
        <v>385</v>
      </c>
      <c r="G9" s="27">
        <v>2.0</v>
      </c>
      <c r="H9" s="122"/>
      <c r="I9" s="122"/>
      <c r="J9" s="13" t="b">
        <v>1</v>
      </c>
      <c r="K9" s="68" t="s">
        <v>311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ht="22.5" customHeight="1">
      <c r="A10" s="113" t="s">
        <v>156</v>
      </c>
      <c r="B10" s="113" t="s">
        <v>25</v>
      </c>
      <c r="C10" s="126" t="s">
        <v>392</v>
      </c>
      <c r="D10" s="164">
        <v>4.0</v>
      </c>
      <c r="E10" s="194" t="s">
        <v>391</v>
      </c>
      <c r="F10" s="113" t="s">
        <v>385</v>
      </c>
      <c r="G10" s="128"/>
      <c r="H10" s="128"/>
      <c r="I10" s="128"/>
      <c r="J10" s="13" t="b">
        <v>1</v>
      </c>
      <c r="K10" s="68" t="s">
        <v>311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ht="22.5" customHeight="1">
      <c r="A11" s="113" t="s">
        <v>156</v>
      </c>
      <c r="B11" s="113">
        <v>2024.0</v>
      </c>
      <c r="C11" s="126" t="s">
        <v>393</v>
      </c>
      <c r="D11" s="164">
        <v>2.0</v>
      </c>
      <c r="E11" s="114" t="s">
        <v>394</v>
      </c>
      <c r="F11" s="113" t="s">
        <v>385</v>
      </c>
      <c r="G11" s="113">
        <v>6.0</v>
      </c>
      <c r="H11" s="128"/>
      <c r="I11" s="128"/>
      <c r="J11" s="13" t="b">
        <v>1</v>
      </c>
      <c r="K11" s="68" t="s">
        <v>311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ht="22.5" customHeight="1">
      <c r="A12" s="27" t="s">
        <v>24</v>
      </c>
      <c r="B12" s="27">
        <v>1024.0</v>
      </c>
      <c r="C12" s="28" t="s">
        <v>389</v>
      </c>
      <c r="D12" s="86">
        <v>3.0</v>
      </c>
      <c r="E12" s="116" t="s">
        <v>394</v>
      </c>
      <c r="F12" s="27" t="s">
        <v>385</v>
      </c>
      <c r="G12" s="27">
        <v>6.0</v>
      </c>
      <c r="H12" s="122"/>
      <c r="I12" s="122"/>
      <c r="J12" s="13" t="b">
        <v>1</v>
      </c>
      <c r="K12" s="68" t="s">
        <v>311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ht="22.5" customHeight="1">
      <c r="A13" s="20" t="s">
        <v>168</v>
      </c>
      <c r="B13" s="20">
        <v>1125.0</v>
      </c>
      <c r="C13" s="123" t="s">
        <v>390</v>
      </c>
      <c r="D13" s="78">
        <v>6.0</v>
      </c>
      <c r="E13" s="54" t="s">
        <v>394</v>
      </c>
      <c r="F13" s="20" t="s">
        <v>385</v>
      </c>
      <c r="G13" s="20">
        <v>3.0</v>
      </c>
      <c r="H13" s="124" t="s">
        <v>252</v>
      </c>
      <c r="I13" s="125"/>
      <c r="J13" s="13" t="b">
        <v>1</v>
      </c>
      <c r="K13" s="68" t="s">
        <v>311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ht="22.5" customHeight="1">
      <c r="A14" s="20" t="s">
        <v>21</v>
      </c>
      <c r="B14" s="20">
        <v>1126.0</v>
      </c>
      <c r="C14" s="123" t="s">
        <v>395</v>
      </c>
      <c r="D14" s="78">
        <v>2.0</v>
      </c>
      <c r="E14" s="54" t="s">
        <v>394</v>
      </c>
      <c r="F14" s="20" t="s">
        <v>385</v>
      </c>
      <c r="G14" s="20">
        <v>1.0</v>
      </c>
      <c r="H14" s="124" t="s">
        <v>23</v>
      </c>
      <c r="I14" s="125"/>
      <c r="J14" s="13" t="b">
        <v>1</v>
      </c>
      <c r="K14" s="68" t="s">
        <v>311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ht="22.5" customHeight="1">
      <c r="A15" s="14" t="s">
        <v>17</v>
      </c>
      <c r="B15" s="14">
        <v>2224.0</v>
      </c>
      <c r="C15" s="19" t="s">
        <v>396</v>
      </c>
      <c r="D15" s="195">
        <v>3.0</v>
      </c>
      <c r="E15" s="111" t="s">
        <v>394</v>
      </c>
      <c r="F15" s="14" t="s">
        <v>385</v>
      </c>
      <c r="G15" s="14">
        <v>6.0</v>
      </c>
      <c r="H15" s="19" t="s">
        <v>162</v>
      </c>
      <c r="I15" s="133"/>
      <c r="J15" s="13" t="b">
        <v>1</v>
      </c>
      <c r="K15" s="68" t="s">
        <v>311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ht="22.5" customHeight="1">
      <c r="A16" s="14" t="s">
        <v>17</v>
      </c>
      <c r="B16" s="14">
        <v>2226.0</v>
      </c>
      <c r="C16" s="19" t="s">
        <v>397</v>
      </c>
      <c r="D16" s="195">
        <v>4.0</v>
      </c>
      <c r="E16" s="111" t="s">
        <v>394</v>
      </c>
      <c r="F16" s="14" t="s">
        <v>385</v>
      </c>
      <c r="G16" s="14">
        <v>2.0</v>
      </c>
      <c r="H16" s="19" t="s">
        <v>398</v>
      </c>
      <c r="I16" s="133"/>
      <c r="J16" s="13" t="b">
        <v>1</v>
      </c>
      <c r="K16" s="68" t="s">
        <v>311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ht="22.5" customHeight="1">
      <c r="A17" s="130" t="s">
        <v>170</v>
      </c>
      <c r="B17" s="130">
        <v>2324.0</v>
      </c>
      <c r="C17" s="129" t="s">
        <v>388</v>
      </c>
      <c r="D17" s="166">
        <v>2.0</v>
      </c>
      <c r="E17" s="131" t="s">
        <v>394</v>
      </c>
      <c r="F17" s="130" t="s">
        <v>385</v>
      </c>
      <c r="G17" s="130" t="s">
        <v>171</v>
      </c>
      <c r="H17" s="129" t="s">
        <v>172</v>
      </c>
      <c r="I17" s="132"/>
      <c r="J17" s="13" t="b">
        <v>1</v>
      </c>
      <c r="K17" s="68" t="s">
        <v>311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ht="22.5" customHeight="1">
      <c r="A18" s="130" t="s">
        <v>170</v>
      </c>
      <c r="B18" s="130">
        <v>2326.0</v>
      </c>
      <c r="C18" s="129" t="s">
        <v>399</v>
      </c>
      <c r="D18" s="166">
        <v>4.0</v>
      </c>
      <c r="E18" s="131" t="s">
        <v>394</v>
      </c>
      <c r="F18" s="130" t="s">
        <v>385</v>
      </c>
      <c r="G18" s="130" t="s">
        <v>271</v>
      </c>
      <c r="H18" s="129" t="s">
        <v>272</v>
      </c>
      <c r="I18" s="132"/>
      <c r="J18" s="13" t="b">
        <v>1</v>
      </c>
      <c r="K18" s="68" t="s">
        <v>311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ht="22.5" customHeight="1">
      <c r="A19" s="93"/>
      <c r="B19" s="93"/>
      <c r="C19" s="93"/>
      <c r="D19" s="106"/>
      <c r="E19" s="93"/>
      <c r="F19" s="93"/>
      <c r="G19" s="93"/>
      <c r="H19" s="50"/>
      <c r="I19" s="9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</row>
    <row r="20" ht="22.5" customHeight="1">
      <c r="A20" s="93"/>
      <c r="B20" s="93"/>
      <c r="C20" s="93"/>
      <c r="D20" s="106">
        <f t="shared" ref="D20:D22" si="1">SUMIF($E$2:$E$18,E20,$D$2:$D$18)</f>
        <v>13</v>
      </c>
      <c r="E20" s="59" t="s">
        <v>391</v>
      </c>
      <c r="F20" s="93"/>
      <c r="G20" s="93"/>
      <c r="H20" s="50"/>
      <c r="I20" s="9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ht="22.5" customHeight="1">
      <c r="A21" s="93"/>
      <c r="B21" s="93"/>
      <c r="C21" s="93"/>
      <c r="D21" s="106">
        <f t="shared" si="1"/>
        <v>15</v>
      </c>
      <c r="E21" s="59" t="s">
        <v>384</v>
      </c>
      <c r="F21" s="93"/>
      <c r="G21" s="93"/>
      <c r="H21" s="50"/>
      <c r="I21" s="9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 ht="22.5" customHeight="1">
      <c r="A22" s="93"/>
      <c r="B22" s="93"/>
      <c r="C22" s="93"/>
      <c r="D22" s="106">
        <f t="shared" si="1"/>
        <v>26</v>
      </c>
      <c r="E22" s="59" t="s">
        <v>394</v>
      </c>
      <c r="F22" s="93"/>
      <c r="G22" s="93"/>
      <c r="H22" s="50"/>
      <c r="I22" s="9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</row>
    <row r="23" ht="22.5" customHeight="1">
      <c r="A23" s="93"/>
      <c r="B23" s="93"/>
      <c r="C23" s="93"/>
      <c r="D23" s="106"/>
      <c r="F23" s="93"/>
      <c r="G23" s="93"/>
      <c r="H23" s="50"/>
      <c r="I23" s="9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 ht="22.5" customHeight="1">
      <c r="A24" s="93"/>
      <c r="B24" s="93"/>
      <c r="C24" s="93"/>
      <c r="D24" s="106"/>
      <c r="E24" s="93"/>
      <c r="F24" s="93"/>
      <c r="G24" s="93"/>
      <c r="H24" s="50"/>
      <c r="I24" s="9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5" ht="22.5" customHeight="1">
      <c r="A25" s="93"/>
      <c r="B25" s="93"/>
      <c r="C25" s="93"/>
      <c r="D25" s="106"/>
      <c r="E25" s="93"/>
      <c r="F25" s="93"/>
      <c r="G25" s="93"/>
      <c r="H25" s="50"/>
      <c r="I25" s="9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ht="22.5" customHeight="1">
      <c r="A26" s="93"/>
      <c r="B26" s="93"/>
      <c r="C26" s="93"/>
      <c r="D26" s="106"/>
      <c r="E26" s="93"/>
      <c r="F26" s="93"/>
      <c r="G26" s="93"/>
      <c r="H26" s="50"/>
      <c r="I26" s="9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 ht="22.5" customHeight="1">
      <c r="A27" s="93"/>
      <c r="B27" s="93"/>
      <c r="C27" s="93"/>
      <c r="D27" s="106"/>
      <c r="E27" s="93"/>
      <c r="F27" s="93"/>
      <c r="G27" s="93"/>
      <c r="H27" s="50"/>
      <c r="I27" s="9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ht="22.5" customHeight="1">
      <c r="A28" s="93"/>
      <c r="B28" s="93"/>
      <c r="C28" s="93"/>
      <c r="D28" s="106"/>
      <c r="E28" s="93"/>
      <c r="F28" s="93"/>
      <c r="G28" s="93"/>
      <c r="H28" s="50"/>
      <c r="I28" s="9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ht="22.5" customHeight="1">
      <c r="A29" s="93"/>
      <c r="B29" s="93"/>
      <c r="C29" s="93"/>
      <c r="D29" s="106"/>
      <c r="E29" s="93"/>
      <c r="F29" s="93"/>
      <c r="G29" s="93"/>
      <c r="H29" s="50"/>
      <c r="I29" s="9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ht="22.5" customHeight="1">
      <c r="A30" s="93"/>
      <c r="B30" s="93"/>
      <c r="C30" s="93"/>
      <c r="D30" s="106"/>
      <c r="E30" s="93"/>
      <c r="F30" s="93"/>
      <c r="G30" s="93"/>
      <c r="H30" s="50"/>
      <c r="I30" s="9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 ht="22.5" customHeight="1">
      <c r="A31" s="93"/>
      <c r="B31" s="93"/>
      <c r="C31" s="93"/>
      <c r="D31" s="106"/>
      <c r="E31" s="93"/>
      <c r="F31" s="93"/>
      <c r="G31" s="93"/>
      <c r="H31" s="50"/>
      <c r="I31" s="9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ht="22.5" customHeight="1">
      <c r="A32" s="93"/>
      <c r="B32" s="93"/>
      <c r="C32" s="93"/>
      <c r="D32" s="106"/>
      <c r="E32" s="93"/>
      <c r="F32" s="93"/>
      <c r="G32" s="93"/>
      <c r="H32" s="50"/>
      <c r="I32" s="9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ht="22.5" customHeight="1">
      <c r="A33" s="93"/>
      <c r="B33" s="93"/>
      <c r="C33" s="93"/>
      <c r="D33" s="106"/>
      <c r="E33" s="93"/>
      <c r="F33" s="93"/>
      <c r="G33" s="93"/>
      <c r="H33" s="50"/>
      <c r="I33" s="9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ht="22.5" customHeight="1">
      <c r="A34" s="93"/>
      <c r="B34" s="93"/>
      <c r="C34" s="93"/>
      <c r="D34" s="106"/>
      <c r="E34" s="93"/>
      <c r="F34" s="93"/>
      <c r="G34" s="93"/>
      <c r="H34" s="50"/>
      <c r="I34" s="9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ht="22.5" customHeight="1">
      <c r="A35" s="93"/>
      <c r="B35" s="93"/>
      <c r="C35" s="93"/>
      <c r="D35" s="106"/>
      <c r="E35" s="93"/>
      <c r="F35" s="93"/>
      <c r="G35" s="93"/>
      <c r="H35" s="50"/>
      <c r="I35" s="9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ht="22.5" customHeight="1">
      <c r="A36" s="93"/>
      <c r="B36" s="93"/>
      <c r="C36" s="93"/>
      <c r="D36" s="106"/>
      <c r="E36" s="93"/>
      <c r="F36" s="93"/>
      <c r="G36" s="93"/>
      <c r="H36" s="50"/>
      <c r="I36" s="9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ht="22.5" customHeight="1">
      <c r="A37" s="93"/>
      <c r="B37" s="93"/>
      <c r="C37" s="93"/>
      <c r="D37" s="106"/>
      <c r="E37" s="93"/>
      <c r="F37" s="93"/>
      <c r="G37" s="93"/>
      <c r="H37" s="50"/>
      <c r="I37" s="9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 ht="22.5" customHeight="1">
      <c r="A38" s="93"/>
      <c r="B38" s="93"/>
      <c r="C38" s="93"/>
      <c r="D38" s="106"/>
      <c r="E38" s="93"/>
      <c r="F38" s="93"/>
      <c r="G38" s="93"/>
      <c r="H38" s="50"/>
      <c r="I38" s="9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 ht="22.5" customHeight="1">
      <c r="A39" s="93"/>
      <c r="B39" s="93"/>
      <c r="C39" s="93"/>
      <c r="D39" s="106"/>
      <c r="E39" s="93"/>
      <c r="F39" s="93"/>
      <c r="G39" s="93"/>
      <c r="H39" s="50"/>
      <c r="I39" s="9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</row>
    <row r="40" ht="22.5" customHeight="1">
      <c r="A40" s="93"/>
      <c r="B40" s="93"/>
      <c r="C40" s="93"/>
      <c r="D40" s="106"/>
      <c r="E40" s="93"/>
      <c r="F40" s="93"/>
      <c r="G40" s="93"/>
      <c r="H40" s="50"/>
      <c r="I40" s="9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</row>
    <row r="41" ht="22.5" customHeight="1">
      <c r="A41" s="93"/>
      <c r="B41" s="93"/>
      <c r="C41" s="93"/>
      <c r="D41" s="106"/>
      <c r="E41" s="93"/>
      <c r="F41" s="93"/>
      <c r="G41" s="93"/>
      <c r="H41" s="50"/>
      <c r="I41" s="9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</row>
    <row r="42" ht="22.5" customHeight="1">
      <c r="A42" s="93"/>
      <c r="B42" s="93"/>
      <c r="C42" s="93"/>
      <c r="D42" s="106"/>
      <c r="E42" s="93"/>
      <c r="F42" s="93"/>
      <c r="G42" s="93"/>
      <c r="H42" s="50"/>
      <c r="I42" s="9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</row>
    <row r="43" ht="22.5" customHeight="1">
      <c r="A43" s="93"/>
      <c r="B43" s="93"/>
      <c r="C43" s="93"/>
      <c r="D43" s="106"/>
      <c r="E43" s="93"/>
      <c r="F43" s="93"/>
      <c r="G43" s="93"/>
      <c r="H43" s="50"/>
      <c r="I43" s="9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 ht="22.5" customHeight="1">
      <c r="A44" s="93"/>
      <c r="B44" s="93"/>
      <c r="C44" s="93"/>
      <c r="D44" s="106"/>
      <c r="E44" s="93"/>
      <c r="F44" s="93"/>
      <c r="G44" s="93"/>
      <c r="H44" s="50"/>
      <c r="I44" s="9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</row>
    <row r="45" ht="22.5" customHeight="1">
      <c r="A45" s="93"/>
      <c r="B45" s="93"/>
      <c r="C45" s="93"/>
      <c r="D45" s="106"/>
      <c r="E45" s="93"/>
      <c r="F45" s="93"/>
      <c r="G45" s="93"/>
      <c r="H45" s="50"/>
      <c r="I45" s="9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 ht="22.5" customHeight="1">
      <c r="A46" s="93"/>
      <c r="B46" s="93"/>
      <c r="C46" s="93"/>
      <c r="D46" s="106"/>
      <c r="E46" s="93"/>
      <c r="F46" s="93"/>
      <c r="G46" s="93"/>
      <c r="H46" s="50"/>
      <c r="I46" s="9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</row>
    <row r="47" ht="22.5" customHeight="1">
      <c r="A47" s="93"/>
      <c r="B47" s="93"/>
      <c r="C47" s="93"/>
      <c r="D47" s="106"/>
      <c r="E47" s="93"/>
      <c r="F47" s="93"/>
      <c r="G47" s="93"/>
      <c r="H47" s="50"/>
      <c r="I47" s="9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ht="22.5" customHeight="1">
      <c r="A48" s="93"/>
      <c r="B48" s="93"/>
      <c r="C48" s="93"/>
      <c r="D48" s="106"/>
      <c r="E48" s="93"/>
      <c r="F48" s="93"/>
      <c r="G48" s="93"/>
      <c r="H48" s="50"/>
      <c r="I48" s="93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 ht="22.5" customHeight="1">
      <c r="A49" s="93"/>
      <c r="B49" s="93"/>
      <c r="C49" s="93"/>
      <c r="D49" s="106"/>
      <c r="E49" s="93"/>
      <c r="F49" s="93"/>
      <c r="G49" s="93"/>
      <c r="H49" s="50"/>
      <c r="I49" s="93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 ht="22.5" customHeight="1">
      <c r="A50" s="93"/>
      <c r="B50" s="93"/>
      <c r="C50" s="93"/>
      <c r="D50" s="106"/>
      <c r="E50" s="93"/>
      <c r="F50" s="93"/>
      <c r="G50" s="93"/>
      <c r="H50" s="50"/>
      <c r="I50" s="93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 ht="22.5" customHeight="1">
      <c r="A51" s="93"/>
      <c r="B51" s="93"/>
      <c r="C51" s="93"/>
      <c r="D51" s="106"/>
      <c r="E51" s="93"/>
      <c r="F51" s="93"/>
      <c r="G51" s="93"/>
      <c r="H51" s="50"/>
      <c r="I51" s="9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 ht="22.5" customHeight="1">
      <c r="A52" s="93"/>
      <c r="B52" s="93"/>
      <c r="C52" s="93"/>
      <c r="D52" s="106"/>
      <c r="E52" s="93"/>
      <c r="F52" s="93"/>
      <c r="G52" s="93"/>
      <c r="H52" s="50"/>
      <c r="I52" s="9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 ht="22.5" customHeight="1">
      <c r="A53" s="93"/>
      <c r="B53" s="93"/>
      <c r="C53" s="93"/>
      <c r="D53" s="106"/>
      <c r="E53" s="93"/>
      <c r="F53" s="93"/>
      <c r="G53" s="93"/>
      <c r="H53" s="50"/>
      <c r="I53" s="9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22.5" customHeight="1">
      <c r="A54" s="93"/>
      <c r="B54" s="93"/>
      <c r="C54" s="93"/>
      <c r="D54" s="106"/>
      <c r="E54" s="93"/>
      <c r="F54" s="93"/>
      <c r="G54" s="93"/>
      <c r="H54" s="50"/>
      <c r="I54" s="93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22.5" customHeight="1">
      <c r="A55" s="93"/>
      <c r="B55" s="93"/>
      <c r="C55" s="93"/>
      <c r="D55" s="106"/>
      <c r="E55" s="93"/>
      <c r="F55" s="93"/>
      <c r="G55" s="93"/>
      <c r="H55" s="50"/>
      <c r="I55" s="93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22.5" customHeight="1">
      <c r="A56" s="93"/>
      <c r="B56" s="93"/>
      <c r="C56" s="93"/>
      <c r="D56" s="106"/>
      <c r="E56" s="93"/>
      <c r="F56" s="93"/>
      <c r="G56" s="93"/>
      <c r="H56" s="50"/>
      <c r="I56" s="93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22.5" customHeight="1">
      <c r="A57" s="93"/>
      <c r="B57" s="93"/>
      <c r="C57" s="93"/>
      <c r="D57" s="106"/>
      <c r="E57" s="93"/>
      <c r="F57" s="93"/>
      <c r="G57" s="93"/>
      <c r="H57" s="50"/>
      <c r="I57" s="93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22.5" customHeight="1">
      <c r="A58" s="93"/>
      <c r="B58" s="93"/>
      <c r="C58" s="93"/>
      <c r="D58" s="106"/>
      <c r="E58" s="93"/>
      <c r="F58" s="93"/>
      <c r="G58" s="93"/>
      <c r="H58" s="50"/>
      <c r="I58" s="9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22.5" customHeight="1">
      <c r="A59" s="93"/>
      <c r="B59" s="93"/>
      <c r="C59" s="93"/>
      <c r="D59" s="106"/>
      <c r="E59" s="93"/>
      <c r="F59" s="93"/>
      <c r="G59" s="93"/>
      <c r="H59" s="50"/>
      <c r="I59" s="9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22.5" customHeight="1">
      <c r="A60" s="93"/>
      <c r="B60" s="93"/>
      <c r="C60" s="93"/>
      <c r="D60" s="106"/>
      <c r="E60" s="93"/>
      <c r="F60" s="93"/>
      <c r="G60" s="93"/>
      <c r="H60" s="50"/>
      <c r="I60" s="93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22.5" customHeight="1">
      <c r="A61" s="93"/>
      <c r="B61" s="93"/>
      <c r="C61" s="93"/>
      <c r="D61" s="106"/>
      <c r="E61" s="93"/>
      <c r="F61" s="93"/>
      <c r="G61" s="93"/>
      <c r="H61" s="50"/>
      <c r="I61" s="93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22.5" customHeight="1">
      <c r="A62" s="93"/>
      <c r="B62" s="93"/>
      <c r="C62" s="93"/>
      <c r="D62" s="106"/>
      <c r="E62" s="93"/>
      <c r="F62" s="93"/>
      <c r="G62" s="93"/>
      <c r="H62" s="50"/>
      <c r="I62" s="93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22.5" customHeight="1">
      <c r="A63" s="93"/>
      <c r="B63" s="93"/>
      <c r="C63" s="93"/>
      <c r="D63" s="106"/>
      <c r="E63" s="93"/>
      <c r="F63" s="93"/>
      <c r="G63" s="93"/>
      <c r="H63" s="50"/>
      <c r="I63" s="93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22.5" customHeight="1">
      <c r="A64" s="93"/>
      <c r="B64" s="93"/>
      <c r="C64" s="93"/>
      <c r="D64" s="106"/>
      <c r="E64" s="93"/>
      <c r="F64" s="93"/>
      <c r="G64" s="93"/>
      <c r="H64" s="50"/>
      <c r="I64" s="9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22.5" customHeight="1">
      <c r="A65" s="93"/>
      <c r="B65" s="93"/>
      <c r="C65" s="93"/>
      <c r="D65" s="106"/>
      <c r="E65" s="93"/>
      <c r="F65" s="93"/>
      <c r="G65" s="93"/>
      <c r="H65" s="50"/>
      <c r="I65" s="9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22.5" customHeight="1">
      <c r="A66" s="93"/>
      <c r="B66" s="93"/>
      <c r="C66" s="93"/>
      <c r="D66" s="106"/>
      <c r="E66" s="93"/>
      <c r="F66" s="93"/>
      <c r="G66" s="93"/>
      <c r="H66" s="50"/>
      <c r="I66" s="93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22.5" customHeight="1">
      <c r="A67" s="93"/>
      <c r="B67" s="93"/>
      <c r="C67" s="93"/>
      <c r="D67" s="106"/>
      <c r="E67" s="93"/>
      <c r="F67" s="93"/>
      <c r="G67" s="93"/>
      <c r="H67" s="50"/>
      <c r="I67" s="93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22.5" customHeight="1">
      <c r="A68" s="93"/>
      <c r="B68" s="93"/>
      <c r="C68" s="93"/>
      <c r="D68" s="106"/>
      <c r="E68" s="93"/>
      <c r="F68" s="93"/>
      <c r="G68" s="93"/>
      <c r="H68" s="50"/>
      <c r="I68" s="93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22.5" customHeight="1">
      <c r="A69" s="93"/>
      <c r="B69" s="93"/>
      <c r="C69" s="93"/>
      <c r="D69" s="106"/>
      <c r="E69" s="93"/>
      <c r="F69" s="93"/>
      <c r="G69" s="93"/>
      <c r="H69" s="50"/>
      <c r="I69" s="93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22.5" customHeight="1">
      <c r="A70" s="93"/>
      <c r="B70" s="93"/>
      <c r="C70" s="93"/>
      <c r="D70" s="106"/>
      <c r="E70" s="93"/>
      <c r="F70" s="93"/>
      <c r="G70" s="93"/>
      <c r="H70" s="50"/>
      <c r="I70" s="9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22.5" customHeight="1">
      <c r="A71" s="93"/>
      <c r="B71" s="93"/>
      <c r="C71" s="93"/>
      <c r="D71" s="106"/>
      <c r="E71" s="93"/>
      <c r="F71" s="93"/>
      <c r="G71" s="93"/>
      <c r="H71" s="50"/>
      <c r="I71" s="9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22.5" customHeight="1">
      <c r="A72" s="93"/>
      <c r="B72" s="93"/>
      <c r="C72" s="93"/>
      <c r="D72" s="106"/>
      <c r="E72" s="93"/>
      <c r="F72" s="93"/>
      <c r="G72" s="93"/>
      <c r="H72" s="50"/>
      <c r="I72" s="93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22.5" customHeight="1">
      <c r="A73" s="93"/>
      <c r="B73" s="93"/>
      <c r="C73" s="93"/>
      <c r="D73" s="106"/>
      <c r="E73" s="93"/>
      <c r="F73" s="93"/>
      <c r="G73" s="93"/>
      <c r="H73" s="50"/>
      <c r="I73" s="93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22.5" customHeight="1">
      <c r="A74" s="93"/>
      <c r="B74" s="93"/>
      <c r="C74" s="93"/>
      <c r="D74" s="106"/>
      <c r="E74" s="93"/>
      <c r="F74" s="93"/>
      <c r="G74" s="93"/>
      <c r="H74" s="50"/>
      <c r="I74" s="93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22.5" customHeight="1">
      <c r="A75" s="93"/>
      <c r="B75" s="93"/>
      <c r="C75" s="93"/>
      <c r="D75" s="106"/>
      <c r="E75" s="93"/>
      <c r="F75" s="93"/>
      <c r="G75" s="93"/>
      <c r="H75" s="50"/>
      <c r="I75" s="93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22.5" customHeight="1">
      <c r="A76" s="93"/>
      <c r="B76" s="93"/>
      <c r="C76" s="93"/>
      <c r="D76" s="106"/>
      <c r="E76" s="93"/>
      <c r="F76" s="93"/>
      <c r="G76" s="93"/>
      <c r="H76" s="50"/>
      <c r="I76" s="9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22.5" customHeight="1">
      <c r="A77" s="93"/>
      <c r="B77" s="93"/>
      <c r="C77" s="93"/>
      <c r="D77" s="106"/>
      <c r="E77" s="93"/>
      <c r="F77" s="93"/>
      <c r="G77" s="93"/>
      <c r="H77" s="50"/>
      <c r="I77" s="9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22.5" customHeight="1">
      <c r="A78" s="93"/>
      <c r="B78" s="93"/>
      <c r="C78" s="93"/>
      <c r="D78" s="106"/>
      <c r="E78" s="93"/>
      <c r="F78" s="93"/>
      <c r="G78" s="93"/>
      <c r="H78" s="50"/>
      <c r="I78" s="93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22.5" customHeight="1">
      <c r="A79" s="93"/>
      <c r="B79" s="93"/>
      <c r="C79" s="93"/>
      <c r="D79" s="106"/>
      <c r="E79" s="93"/>
      <c r="F79" s="93"/>
      <c r="G79" s="93"/>
      <c r="H79" s="50"/>
      <c r="I79" s="93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22.5" customHeight="1">
      <c r="A80" s="93"/>
      <c r="B80" s="93"/>
      <c r="C80" s="93"/>
      <c r="D80" s="106"/>
      <c r="E80" s="93"/>
      <c r="F80" s="93"/>
      <c r="G80" s="93"/>
      <c r="H80" s="50"/>
      <c r="I80" s="93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22.5" customHeight="1">
      <c r="A81" s="93"/>
      <c r="B81" s="93"/>
      <c r="C81" s="93"/>
      <c r="D81" s="106"/>
      <c r="E81" s="93"/>
      <c r="F81" s="93"/>
      <c r="G81" s="93"/>
      <c r="H81" s="50"/>
      <c r="I81" s="93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22.5" customHeight="1">
      <c r="A82" s="93"/>
      <c r="B82" s="93"/>
      <c r="C82" s="93"/>
      <c r="D82" s="106"/>
      <c r="E82" s="93"/>
      <c r="F82" s="93"/>
      <c r="G82" s="93"/>
      <c r="H82" s="50"/>
      <c r="I82" s="9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22.5" customHeight="1">
      <c r="A83" s="93"/>
      <c r="B83" s="93"/>
      <c r="C83" s="93"/>
      <c r="D83" s="106"/>
      <c r="E83" s="93"/>
      <c r="F83" s="93"/>
      <c r="G83" s="93"/>
      <c r="H83" s="50"/>
      <c r="I83" s="9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22.5" customHeight="1">
      <c r="A84" s="93"/>
      <c r="B84" s="93"/>
      <c r="C84" s="93"/>
      <c r="D84" s="106"/>
      <c r="E84" s="93"/>
      <c r="F84" s="93"/>
      <c r="G84" s="93"/>
      <c r="H84" s="50"/>
      <c r="I84" s="93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22.5" customHeight="1">
      <c r="A85" s="93"/>
      <c r="B85" s="93"/>
      <c r="C85" s="93"/>
      <c r="D85" s="106"/>
      <c r="E85" s="93"/>
      <c r="F85" s="93"/>
      <c r="G85" s="93"/>
      <c r="H85" s="50"/>
      <c r="I85" s="93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22.5" customHeight="1">
      <c r="A86" s="93"/>
      <c r="B86" s="93"/>
      <c r="C86" s="93"/>
      <c r="D86" s="106"/>
      <c r="E86" s="93"/>
      <c r="F86" s="93"/>
      <c r="G86" s="93"/>
      <c r="H86" s="50"/>
      <c r="I86" s="93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22.5" customHeight="1">
      <c r="A87" s="93"/>
      <c r="B87" s="93"/>
      <c r="C87" s="93"/>
      <c r="D87" s="106"/>
      <c r="E87" s="93"/>
      <c r="F87" s="93"/>
      <c r="G87" s="93"/>
      <c r="H87" s="50"/>
      <c r="I87" s="93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22.5" customHeight="1">
      <c r="A88" s="93"/>
      <c r="B88" s="93"/>
      <c r="C88" s="93"/>
      <c r="D88" s="106"/>
      <c r="E88" s="93"/>
      <c r="F88" s="93"/>
      <c r="G88" s="93"/>
      <c r="H88" s="50"/>
      <c r="I88" s="93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22.5" customHeight="1">
      <c r="A89" s="93"/>
      <c r="B89" s="93"/>
      <c r="C89" s="93"/>
      <c r="D89" s="106"/>
      <c r="E89" s="93"/>
      <c r="F89" s="93"/>
      <c r="G89" s="93"/>
      <c r="H89" s="50"/>
      <c r="I89" s="93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22.5" customHeight="1">
      <c r="A90" s="93"/>
      <c r="B90" s="93"/>
      <c r="C90" s="93"/>
      <c r="D90" s="106"/>
      <c r="E90" s="93"/>
      <c r="F90" s="93"/>
      <c r="G90" s="93"/>
      <c r="H90" s="50"/>
      <c r="I90" s="93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22.5" customHeight="1">
      <c r="A91" s="93"/>
      <c r="B91" s="93"/>
      <c r="C91" s="93"/>
      <c r="D91" s="106"/>
      <c r="E91" s="93"/>
      <c r="F91" s="93"/>
      <c r="G91" s="93"/>
      <c r="H91" s="50"/>
      <c r="I91" s="93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22.5" customHeight="1">
      <c r="A92" s="93"/>
      <c r="B92" s="93"/>
      <c r="C92" s="93"/>
      <c r="D92" s="106"/>
      <c r="E92" s="93"/>
      <c r="F92" s="93"/>
      <c r="G92" s="93"/>
      <c r="H92" s="50"/>
      <c r="I92" s="93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22.5" customHeight="1">
      <c r="A93" s="93"/>
      <c r="B93" s="93"/>
      <c r="C93" s="93"/>
      <c r="D93" s="106"/>
      <c r="E93" s="93"/>
      <c r="F93" s="93"/>
      <c r="G93" s="93"/>
      <c r="H93" s="50"/>
      <c r="I93" s="93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22.5" customHeight="1">
      <c r="A94" s="93"/>
      <c r="B94" s="93"/>
      <c r="C94" s="93"/>
      <c r="D94" s="106"/>
      <c r="E94" s="93"/>
      <c r="F94" s="93"/>
      <c r="G94" s="93"/>
      <c r="H94" s="50"/>
      <c r="I94" s="93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22.5" customHeight="1">
      <c r="A95" s="93"/>
      <c r="B95" s="93"/>
      <c r="C95" s="93"/>
      <c r="D95" s="106"/>
      <c r="E95" s="93"/>
      <c r="F95" s="93"/>
      <c r="G95" s="93"/>
      <c r="H95" s="50"/>
      <c r="I95" s="93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22.5" customHeight="1">
      <c r="A96" s="93"/>
      <c r="B96" s="93"/>
      <c r="C96" s="93"/>
      <c r="D96" s="106"/>
      <c r="E96" s="93"/>
      <c r="F96" s="93"/>
      <c r="G96" s="93"/>
      <c r="H96" s="50"/>
      <c r="I96" s="93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22.5" customHeight="1">
      <c r="A97" s="93"/>
      <c r="B97" s="93"/>
      <c r="C97" s="93"/>
      <c r="D97" s="106"/>
      <c r="E97" s="93"/>
      <c r="F97" s="93"/>
      <c r="G97" s="93"/>
      <c r="H97" s="50"/>
      <c r="I97" s="93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22.5" customHeight="1">
      <c r="A98" s="93"/>
      <c r="B98" s="93"/>
      <c r="C98" s="93"/>
      <c r="D98" s="106"/>
      <c r="E98" s="93"/>
      <c r="F98" s="93"/>
      <c r="G98" s="93"/>
      <c r="H98" s="50"/>
      <c r="I98" s="93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22.5" customHeight="1">
      <c r="A99" s="93"/>
      <c r="B99" s="93"/>
      <c r="C99" s="93"/>
      <c r="D99" s="106"/>
      <c r="E99" s="93"/>
      <c r="F99" s="93"/>
      <c r="G99" s="93"/>
      <c r="H99" s="50"/>
      <c r="I99" s="93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22.5" customHeight="1">
      <c r="A100" s="93"/>
      <c r="B100" s="93"/>
      <c r="C100" s="93"/>
      <c r="D100" s="106"/>
      <c r="E100" s="93"/>
      <c r="F100" s="93"/>
      <c r="G100" s="93"/>
      <c r="H100" s="50"/>
      <c r="I100" s="93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22.5" customHeight="1">
      <c r="A101" s="93"/>
      <c r="B101" s="93"/>
      <c r="C101" s="93"/>
      <c r="D101" s="106"/>
      <c r="E101" s="93"/>
      <c r="F101" s="93"/>
      <c r="G101" s="93"/>
      <c r="H101" s="50"/>
      <c r="I101" s="93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22.5" customHeight="1">
      <c r="A102" s="93"/>
      <c r="B102" s="93"/>
      <c r="C102" s="93"/>
      <c r="D102" s="106"/>
      <c r="E102" s="93"/>
      <c r="F102" s="93"/>
      <c r="G102" s="93"/>
      <c r="H102" s="50"/>
      <c r="I102" s="9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22.5" customHeight="1">
      <c r="A103" s="93"/>
      <c r="B103" s="93"/>
      <c r="C103" s="93"/>
      <c r="D103" s="106"/>
      <c r="E103" s="93"/>
      <c r="F103" s="93"/>
      <c r="G103" s="93"/>
      <c r="H103" s="50"/>
      <c r="I103" s="93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22.5" customHeight="1">
      <c r="A104" s="93"/>
      <c r="B104" s="93"/>
      <c r="C104" s="93"/>
      <c r="D104" s="106"/>
      <c r="E104" s="93"/>
      <c r="F104" s="93"/>
      <c r="G104" s="93"/>
      <c r="H104" s="50"/>
      <c r="I104" s="93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22.5" customHeight="1">
      <c r="A105" s="93"/>
      <c r="B105" s="93"/>
      <c r="C105" s="93"/>
      <c r="D105" s="106"/>
      <c r="E105" s="93"/>
      <c r="F105" s="93"/>
      <c r="G105" s="93"/>
      <c r="H105" s="50"/>
      <c r="I105" s="93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22.5" customHeight="1">
      <c r="A106" s="93"/>
      <c r="B106" s="93"/>
      <c r="C106" s="93"/>
      <c r="D106" s="106"/>
      <c r="E106" s="93"/>
      <c r="F106" s="93"/>
      <c r="G106" s="93"/>
      <c r="H106" s="50"/>
      <c r="I106" s="93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22.5" customHeight="1">
      <c r="A107" s="93"/>
      <c r="B107" s="93"/>
      <c r="C107" s="93"/>
      <c r="D107" s="106"/>
      <c r="E107" s="93"/>
      <c r="F107" s="93"/>
      <c r="G107" s="93"/>
      <c r="H107" s="50"/>
      <c r="I107" s="93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22.5" customHeight="1">
      <c r="A108" s="93"/>
      <c r="B108" s="93"/>
      <c r="C108" s="93"/>
      <c r="D108" s="106"/>
      <c r="E108" s="93"/>
      <c r="F108" s="93"/>
      <c r="G108" s="93"/>
      <c r="H108" s="50"/>
      <c r="I108" s="93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22.5" customHeight="1">
      <c r="A109" s="93"/>
      <c r="B109" s="93"/>
      <c r="C109" s="93"/>
      <c r="D109" s="106"/>
      <c r="E109" s="93"/>
      <c r="F109" s="93"/>
      <c r="G109" s="93"/>
      <c r="H109" s="50"/>
      <c r="I109" s="93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22.5" customHeight="1">
      <c r="A110" s="93"/>
      <c r="B110" s="93"/>
      <c r="C110" s="93"/>
      <c r="D110" s="106"/>
      <c r="E110" s="93"/>
      <c r="F110" s="93"/>
      <c r="G110" s="93"/>
      <c r="H110" s="50"/>
      <c r="I110" s="93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22.5" customHeight="1">
      <c r="A111" s="93"/>
      <c r="B111" s="93"/>
      <c r="C111" s="93"/>
      <c r="D111" s="106"/>
      <c r="E111" s="93"/>
      <c r="F111" s="93"/>
      <c r="G111" s="93"/>
      <c r="H111" s="50"/>
      <c r="I111" s="93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22.5" customHeight="1">
      <c r="A112" s="93"/>
      <c r="B112" s="93"/>
      <c r="C112" s="93"/>
      <c r="D112" s="106"/>
      <c r="E112" s="93"/>
      <c r="F112" s="93"/>
      <c r="G112" s="93"/>
      <c r="H112" s="50"/>
      <c r="I112" s="93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22.5" customHeight="1">
      <c r="A113" s="93"/>
      <c r="B113" s="93"/>
      <c r="C113" s="93"/>
      <c r="D113" s="106"/>
      <c r="E113" s="93"/>
      <c r="F113" s="93"/>
      <c r="G113" s="93"/>
      <c r="H113" s="50"/>
      <c r="I113" s="93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22.5" customHeight="1">
      <c r="A114" s="93"/>
      <c r="B114" s="93"/>
      <c r="C114" s="93"/>
      <c r="D114" s="106"/>
      <c r="E114" s="93"/>
      <c r="F114" s="93"/>
      <c r="G114" s="93"/>
      <c r="H114" s="50"/>
      <c r="I114" s="93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22.5" customHeight="1">
      <c r="A115" s="93"/>
      <c r="B115" s="93"/>
      <c r="C115" s="93"/>
      <c r="D115" s="106"/>
      <c r="E115" s="93"/>
      <c r="F115" s="93"/>
      <c r="G115" s="93"/>
      <c r="H115" s="50"/>
      <c r="I115" s="93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22.5" customHeight="1">
      <c r="A116" s="93"/>
      <c r="B116" s="93"/>
      <c r="C116" s="93"/>
      <c r="D116" s="106"/>
      <c r="E116" s="93"/>
      <c r="F116" s="93"/>
      <c r="G116" s="93"/>
      <c r="H116" s="50"/>
      <c r="I116" s="93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22.5" customHeight="1">
      <c r="A117" s="93"/>
      <c r="B117" s="93"/>
      <c r="C117" s="93"/>
      <c r="D117" s="106"/>
      <c r="E117" s="93"/>
      <c r="F117" s="93"/>
      <c r="G117" s="93"/>
      <c r="H117" s="50"/>
      <c r="I117" s="93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22.5" customHeight="1">
      <c r="A118" s="93"/>
      <c r="B118" s="93"/>
      <c r="C118" s="93"/>
      <c r="D118" s="106"/>
      <c r="E118" s="93"/>
      <c r="F118" s="93"/>
      <c r="G118" s="93"/>
      <c r="H118" s="50"/>
      <c r="I118" s="93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22.5" customHeight="1">
      <c r="A119" s="93"/>
      <c r="B119" s="93"/>
      <c r="C119" s="93"/>
      <c r="D119" s="106"/>
      <c r="E119" s="93"/>
      <c r="F119" s="93"/>
      <c r="G119" s="93"/>
      <c r="H119" s="50"/>
      <c r="I119" s="93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22.5" customHeight="1">
      <c r="A120" s="93"/>
      <c r="B120" s="93"/>
      <c r="C120" s="93"/>
      <c r="D120" s="106"/>
      <c r="E120" s="93"/>
      <c r="F120" s="93"/>
      <c r="G120" s="93"/>
      <c r="H120" s="50"/>
      <c r="I120" s="9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22.5" customHeight="1">
      <c r="A121" s="93"/>
      <c r="B121" s="93"/>
      <c r="C121" s="93"/>
      <c r="D121" s="106"/>
      <c r="E121" s="93"/>
      <c r="F121" s="93"/>
      <c r="G121" s="93"/>
      <c r="H121" s="50"/>
      <c r="I121" s="93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22.5" customHeight="1">
      <c r="A122" s="93"/>
      <c r="B122" s="93"/>
      <c r="C122" s="93"/>
      <c r="D122" s="106"/>
      <c r="E122" s="93"/>
      <c r="F122" s="93"/>
      <c r="G122" s="93"/>
      <c r="H122" s="50"/>
      <c r="I122" s="93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22.5" customHeight="1">
      <c r="A123" s="93"/>
      <c r="B123" s="93"/>
      <c r="C123" s="93"/>
      <c r="D123" s="106"/>
      <c r="E123" s="93"/>
      <c r="F123" s="93"/>
      <c r="G123" s="93"/>
      <c r="H123" s="50"/>
      <c r="I123" s="93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22.5" customHeight="1">
      <c r="A124" s="93"/>
      <c r="B124" s="93"/>
      <c r="C124" s="93"/>
      <c r="D124" s="106"/>
      <c r="E124" s="93"/>
      <c r="F124" s="93"/>
      <c r="G124" s="93"/>
      <c r="H124" s="50"/>
      <c r="I124" s="93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22.5" customHeight="1">
      <c r="A125" s="93"/>
      <c r="B125" s="93"/>
      <c r="C125" s="93"/>
      <c r="D125" s="106"/>
      <c r="E125" s="93"/>
      <c r="F125" s="93"/>
      <c r="G125" s="93"/>
      <c r="H125" s="50"/>
      <c r="I125" s="93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22.5" customHeight="1">
      <c r="A126" s="93"/>
      <c r="B126" s="93"/>
      <c r="C126" s="93"/>
      <c r="D126" s="106"/>
      <c r="E126" s="93"/>
      <c r="F126" s="93"/>
      <c r="G126" s="93"/>
      <c r="H126" s="50"/>
      <c r="I126" s="93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22.5" customHeight="1">
      <c r="A127" s="93"/>
      <c r="B127" s="93"/>
      <c r="C127" s="93"/>
      <c r="D127" s="106"/>
      <c r="E127" s="93"/>
      <c r="F127" s="93"/>
      <c r="G127" s="93"/>
      <c r="H127" s="50"/>
      <c r="I127" s="93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22.5" customHeight="1">
      <c r="A128" s="93"/>
      <c r="B128" s="93"/>
      <c r="C128" s="93"/>
      <c r="D128" s="106"/>
      <c r="E128" s="93"/>
      <c r="F128" s="93"/>
      <c r="G128" s="93"/>
      <c r="H128" s="50"/>
      <c r="I128" s="93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22.5" customHeight="1">
      <c r="A129" s="93"/>
      <c r="B129" s="93"/>
      <c r="C129" s="93"/>
      <c r="D129" s="106"/>
      <c r="E129" s="93"/>
      <c r="F129" s="93"/>
      <c r="G129" s="93"/>
      <c r="H129" s="50"/>
      <c r="I129" s="9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22.5" customHeight="1">
      <c r="A130" s="93"/>
      <c r="B130" s="93"/>
      <c r="C130" s="93"/>
      <c r="D130" s="106"/>
      <c r="E130" s="93"/>
      <c r="F130" s="93"/>
      <c r="G130" s="93"/>
      <c r="H130" s="50"/>
      <c r="I130" s="93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22.5" customHeight="1">
      <c r="A131" s="93"/>
      <c r="B131" s="93"/>
      <c r="C131" s="93"/>
      <c r="D131" s="106"/>
      <c r="E131" s="93"/>
      <c r="F131" s="93"/>
      <c r="G131" s="93"/>
      <c r="H131" s="50"/>
      <c r="I131" s="93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22.5" customHeight="1">
      <c r="A132" s="93"/>
      <c r="B132" s="93"/>
      <c r="C132" s="93"/>
      <c r="D132" s="106"/>
      <c r="E132" s="93"/>
      <c r="F132" s="93"/>
      <c r="G132" s="93"/>
      <c r="H132" s="50"/>
      <c r="I132" s="93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22.5" customHeight="1">
      <c r="A133" s="93"/>
      <c r="B133" s="93"/>
      <c r="C133" s="93"/>
      <c r="D133" s="106"/>
      <c r="E133" s="93"/>
      <c r="F133" s="93"/>
      <c r="G133" s="93"/>
      <c r="H133" s="50"/>
      <c r="I133" s="93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22.5" customHeight="1">
      <c r="A134" s="93"/>
      <c r="B134" s="93"/>
      <c r="C134" s="93"/>
      <c r="D134" s="106"/>
      <c r="E134" s="93"/>
      <c r="F134" s="93"/>
      <c r="G134" s="93"/>
      <c r="H134" s="50"/>
      <c r="I134" s="93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22.5" customHeight="1">
      <c r="A135" s="93"/>
      <c r="B135" s="93"/>
      <c r="C135" s="93"/>
      <c r="D135" s="106"/>
      <c r="E135" s="93"/>
      <c r="F135" s="93"/>
      <c r="G135" s="93"/>
      <c r="H135" s="50"/>
      <c r="I135" s="9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22.5" customHeight="1">
      <c r="A136" s="93"/>
      <c r="B136" s="93"/>
      <c r="C136" s="93"/>
      <c r="D136" s="106"/>
      <c r="E136" s="93"/>
      <c r="F136" s="93"/>
      <c r="G136" s="93"/>
      <c r="H136" s="50"/>
      <c r="I136" s="93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22.5" customHeight="1">
      <c r="A137" s="93"/>
      <c r="B137" s="93"/>
      <c r="C137" s="93"/>
      <c r="D137" s="106"/>
      <c r="E137" s="93"/>
      <c r="F137" s="93"/>
      <c r="G137" s="93"/>
      <c r="H137" s="50"/>
      <c r="I137" s="9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22.5" customHeight="1">
      <c r="A138" s="93"/>
      <c r="B138" s="93"/>
      <c r="C138" s="93"/>
      <c r="D138" s="106"/>
      <c r="E138" s="93"/>
      <c r="F138" s="93"/>
      <c r="G138" s="93"/>
      <c r="H138" s="50"/>
      <c r="I138" s="93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22.5" customHeight="1">
      <c r="A139" s="93"/>
      <c r="B139" s="93"/>
      <c r="C139" s="93"/>
      <c r="D139" s="106"/>
      <c r="E139" s="93"/>
      <c r="F139" s="93"/>
      <c r="G139" s="93"/>
      <c r="H139" s="50"/>
      <c r="I139" s="93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22.5" customHeight="1">
      <c r="A140" s="93"/>
      <c r="B140" s="93"/>
      <c r="C140" s="93"/>
      <c r="D140" s="106"/>
      <c r="E140" s="93"/>
      <c r="F140" s="93"/>
      <c r="G140" s="93"/>
      <c r="H140" s="50"/>
      <c r="I140" s="93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22.5" customHeight="1">
      <c r="A141" s="93"/>
      <c r="B141" s="93"/>
      <c r="C141" s="93"/>
      <c r="D141" s="106"/>
      <c r="E141" s="93"/>
      <c r="F141" s="93"/>
      <c r="G141" s="93"/>
      <c r="H141" s="50"/>
      <c r="I141" s="93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22.5" customHeight="1">
      <c r="A142" s="93"/>
      <c r="B142" s="93"/>
      <c r="C142" s="93"/>
      <c r="D142" s="106"/>
      <c r="E142" s="93"/>
      <c r="F142" s="93"/>
      <c r="G142" s="93"/>
      <c r="H142" s="50"/>
      <c r="I142" s="93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22.5" customHeight="1">
      <c r="A143" s="93"/>
      <c r="B143" s="93"/>
      <c r="C143" s="93"/>
      <c r="D143" s="106"/>
      <c r="E143" s="93"/>
      <c r="F143" s="93"/>
      <c r="G143" s="93"/>
      <c r="H143" s="50"/>
      <c r="I143" s="93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22.5" customHeight="1">
      <c r="A144" s="93"/>
      <c r="B144" s="93"/>
      <c r="C144" s="93"/>
      <c r="D144" s="106"/>
      <c r="E144" s="93"/>
      <c r="F144" s="93"/>
      <c r="G144" s="93"/>
      <c r="H144" s="50"/>
      <c r="I144" s="93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22.5" customHeight="1">
      <c r="A145" s="93"/>
      <c r="B145" s="93"/>
      <c r="C145" s="93"/>
      <c r="D145" s="106"/>
      <c r="E145" s="93"/>
      <c r="F145" s="93"/>
      <c r="G145" s="93"/>
      <c r="H145" s="50"/>
      <c r="I145" s="93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22.5" customHeight="1">
      <c r="A146" s="93"/>
      <c r="B146" s="93"/>
      <c r="C146" s="93"/>
      <c r="D146" s="106"/>
      <c r="E146" s="93"/>
      <c r="F146" s="93"/>
      <c r="G146" s="93"/>
      <c r="H146" s="50"/>
      <c r="I146" s="93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22.5" customHeight="1">
      <c r="A147" s="93"/>
      <c r="B147" s="93"/>
      <c r="C147" s="93"/>
      <c r="D147" s="106"/>
      <c r="E147" s="93"/>
      <c r="F147" s="93"/>
      <c r="G147" s="93"/>
      <c r="H147" s="50"/>
      <c r="I147" s="93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22.5" customHeight="1">
      <c r="A148" s="93"/>
      <c r="B148" s="93"/>
      <c r="C148" s="93"/>
      <c r="D148" s="106"/>
      <c r="E148" s="93"/>
      <c r="F148" s="93"/>
      <c r="G148" s="93"/>
      <c r="H148" s="50"/>
      <c r="I148" s="93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22.5" customHeight="1">
      <c r="A149" s="93"/>
      <c r="B149" s="93"/>
      <c r="C149" s="93"/>
      <c r="D149" s="106"/>
      <c r="E149" s="93"/>
      <c r="F149" s="93"/>
      <c r="G149" s="93"/>
      <c r="H149" s="50"/>
      <c r="I149" s="93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22.5" customHeight="1">
      <c r="A150" s="93"/>
      <c r="B150" s="93"/>
      <c r="C150" s="93"/>
      <c r="D150" s="106"/>
      <c r="E150" s="93"/>
      <c r="F150" s="93"/>
      <c r="G150" s="93"/>
      <c r="H150" s="50"/>
      <c r="I150" s="93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22.5" customHeight="1">
      <c r="A151" s="93"/>
      <c r="B151" s="93"/>
      <c r="C151" s="93"/>
      <c r="D151" s="106"/>
      <c r="E151" s="93"/>
      <c r="F151" s="93"/>
      <c r="G151" s="93"/>
      <c r="H151" s="50"/>
      <c r="I151" s="93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22.5" customHeight="1">
      <c r="A152" s="93"/>
      <c r="B152" s="93"/>
      <c r="C152" s="93"/>
      <c r="D152" s="106"/>
      <c r="E152" s="93"/>
      <c r="F152" s="93"/>
      <c r="G152" s="93"/>
      <c r="H152" s="50"/>
      <c r="I152" s="93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22.5" customHeight="1">
      <c r="A153" s="93"/>
      <c r="B153" s="93"/>
      <c r="C153" s="93"/>
      <c r="D153" s="106"/>
      <c r="E153" s="93"/>
      <c r="F153" s="93"/>
      <c r="G153" s="93"/>
      <c r="H153" s="50"/>
      <c r="I153" s="93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22.5" customHeight="1">
      <c r="A154" s="93"/>
      <c r="B154" s="93"/>
      <c r="C154" s="93"/>
      <c r="D154" s="106"/>
      <c r="E154" s="93"/>
      <c r="F154" s="93"/>
      <c r="G154" s="93"/>
      <c r="H154" s="50"/>
      <c r="I154" s="93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22.5" customHeight="1">
      <c r="A155" s="93"/>
      <c r="B155" s="93"/>
      <c r="C155" s="93"/>
      <c r="D155" s="106"/>
      <c r="E155" s="93"/>
      <c r="F155" s="93"/>
      <c r="G155" s="93"/>
      <c r="H155" s="50"/>
      <c r="I155" s="93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22.5" customHeight="1">
      <c r="A156" s="93"/>
      <c r="B156" s="93"/>
      <c r="C156" s="93"/>
      <c r="D156" s="106"/>
      <c r="E156" s="93"/>
      <c r="F156" s="93"/>
      <c r="G156" s="93"/>
      <c r="H156" s="50"/>
      <c r="I156" s="93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22.5" customHeight="1">
      <c r="A157" s="93"/>
      <c r="B157" s="93"/>
      <c r="C157" s="93"/>
      <c r="D157" s="106"/>
      <c r="E157" s="93"/>
      <c r="F157" s="93"/>
      <c r="G157" s="93"/>
      <c r="H157" s="50"/>
      <c r="I157" s="93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22.5" customHeight="1">
      <c r="A158" s="93"/>
      <c r="B158" s="93"/>
      <c r="C158" s="93"/>
      <c r="D158" s="106"/>
      <c r="E158" s="93"/>
      <c r="F158" s="93"/>
      <c r="G158" s="93"/>
      <c r="H158" s="50"/>
      <c r="I158" s="93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22.5" customHeight="1">
      <c r="A159" s="93"/>
      <c r="B159" s="93"/>
      <c r="C159" s="93"/>
      <c r="D159" s="106"/>
      <c r="E159" s="93"/>
      <c r="F159" s="93"/>
      <c r="G159" s="93"/>
      <c r="H159" s="50"/>
      <c r="I159" s="93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22.5" customHeight="1">
      <c r="A160" s="93"/>
      <c r="B160" s="93"/>
      <c r="C160" s="93"/>
      <c r="D160" s="106"/>
      <c r="E160" s="93"/>
      <c r="F160" s="93"/>
      <c r="G160" s="93"/>
      <c r="H160" s="50"/>
      <c r="I160" s="93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22.5" customHeight="1">
      <c r="A161" s="93"/>
      <c r="B161" s="93"/>
      <c r="C161" s="93"/>
      <c r="D161" s="106"/>
      <c r="E161" s="93"/>
      <c r="F161" s="93"/>
      <c r="G161" s="93"/>
      <c r="H161" s="50"/>
      <c r="I161" s="93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22.5" customHeight="1">
      <c r="A162" s="93"/>
      <c r="B162" s="93"/>
      <c r="C162" s="93"/>
      <c r="D162" s="106"/>
      <c r="E162" s="93"/>
      <c r="F162" s="93"/>
      <c r="G162" s="93"/>
      <c r="H162" s="50"/>
      <c r="I162" s="93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22.5" customHeight="1">
      <c r="A163" s="93"/>
      <c r="B163" s="93"/>
      <c r="C163" s="93"/>
      <c r="D163" s="106"/>
      <c r="E163" s="93"/>
      <c r="F163" s="93"/>
      <c r="G163" s="93"/>
      <c r="H163" s="50"/>
      <c r="I163" s="93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22.5" customHeight="1">
      <c r="A164" s="93"/>
      <c r="B164" s="93"/>
      <c r="C164" s="93"/>
      <c r="D164" s="106"/>
      <c r="E164" s="93"/>
      <c r="F164" s="93"/>
      <c r="G164" s="93"/>
      <c r="H164" s="50"/>
      <c r="I164" s="93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22.5" customHeight="1">
      <c r="A165" s="93"/>
      <c r="B165" s="93"/>
      <c r="C165" s="93"/>
      <c r="D165" s="106"/>
      <c r="E165" s="93"/>
      <c r="F165" s="93"/>
      <c r="G165" s="93"/>
      <c r="H165" s="50"/>
      <c r="I165" s="93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22.5" customHeight="1">
      <c r="A166" s="93"/>
      <c r="B166" s="93"/>
      <c r="C166" s="93"/>
      <c r="D166" s="106"/>
      <c r="E166" s="93"/>
      <c r="F166" s="93"/>
      <c r="G166" s="93"/>
      <c r="H166" s="50"/>
      <c r="I166" s="93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22.5" customHeight="1">
      <c r="A167" s="93"/>
      <c r="B167" s="93"/>
      <c r="C167" s="93"/>
      <c r="D167" s="106"/>
      <c r="E167" s="93"/>
      <c r="F167" s="93"/>
      <c r="G167" s="93"/>
      <c r="H167" s="50"/>
      <c r="I167" s="93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22.5" customHeight="1">
      <c r="A168" s="93"/>
      <c r="B168" s="93"/>
      <c r="C168" s="93"/>
      <c r="D168" s="106"/>
      <c r="E168" s="93"/>
      <c r="F168" s="93"/>
      <c r="G168" s="93"/>
      <c r="H168" s="50"/>
      <c r="I168" s="93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22.5" customHeight="1">
      <c r="A169" s="93"/>
      <c r="B169" s="93"/>
      <c r="C169" s="93"/>
      <c r="D169" s="106"/>
      <c r="E169" s="93"/>
      <c r="F169" s="93"/>
      <c r="G169" s="93"/>
      <c r="H169" s="50"/>
      <c r="I169" s="93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22.5" customHeight="1">
      <c r="A170" s="93"/>
      <c r="B170" s="93"/>
      <c r="C170" s="93"/>
      <c r="D170" s="106"/>
      <c r="E170" s="93"/>
      <c r="F170" s="93"/>
      <c r="G170" s="93"/>
      <c r="H170" s="50"/>
      <c r="I170" s="93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22.5" customHeight="1">
      <c r="A171" s="93"/>
      <c r="B171" s="93"/>
      <c r="C171" s="93"/>
      <c r="D171" s="106"/>
      <c r="E171" s="93"/>
      <c r="F171" s="93"/>
      <c r="G171" s="93"/>
      <c r="H171" s="50"/>
      <c r="I171" s="93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22.5" customHeight="1">
      <c r="A172" s="93"/>
      <c r="B172" s="93"/>
      <c r="C172" s="93"/>
      <c r="D172" s="106"/>
      <c r="E172" s="93"/>
      <c r="F172" s="93"/>
      <c r="G172" s="93"/>
      <c r="H172" s="50"/>
      <c r="I172" s="93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22.5" customHeight="1">
      <c r="A173" s="93"/>
      <c r="B173" s="93"/>
      <c r="C173" s="93"/>
      <c r="D173" s="106"/>
      <c r="E173" s="93"/>
      <c r="F173" s="93"/>
      <c r="G173" s="93"/>
      <c r="H173" s="50"/>
      <c r="I173" s="93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22.5" customHeight="1">
      <c r="A174" s="93"/>
      <c r="B174" s="93"/>
      <c r="C174" s="93"/>
      <c r="D174" s="106"/>
      <c r="E174" s="93"/>
      <c r="F174" s="93"/>
      <c r="G174" s="93"/>
      <c r="H174" s="50"/>
      <c r="I174" s="93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22.5" customHeight="1">
      <c r="A175" s="93"/>
      <c r="B175" s="93"/>
      <c r="C175" s="93"/>
      <c r="D175" s="106"/>
      <c r="E175" s="93"/>
      <c r="F175" s="93"/>
      <c r="G175" s="93"/>
      <c r="H175" s="50"/>
      <c r="I175" s="93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22.5" customHeight="1">
      <c r="A176" s="93"/>
      <c r="B176" s="93"/>
      <c r="C176" s="93"/>
      <c r="D176" s="106"/>
      <c r="E176" s="93"/>
      <c r="F176" s="93"/>
      <c r="G176" s="93"/>
      <c r="H176" s="50"/>
      <c r="I176" s="93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22.5" customHeight="1">
      <c r="A177" s="93"/>
      <c r="B177" s="93"/>
      <c r="C177" s="93"/>
      <c r="D177" s="106"/>
      <c r="E177" s="93"/>
      <c r="F177" s="93"/>
      <c r="G177" s="93"/>
      <c r="H177" s="50"/>
      <c r="I177" s="93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22.5" customHeight="1">
      <c r="A178" s="93"/>
      <c r="B178" s="93"/>
      <c r="C178" s="93"/>
      <c r="D178" s="106"/>
      <c r="E178" s="93"/>
      <c r="F178" s="93"/>
      <c r="G178" s="93"/>
      <c r="H178" s="50"/>
      <c r="I178" s="93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22.5" customHeight="1">
      <c r="A179" s="93"/>
      <c r="B179" s="93"/>
      <c r="C179" s="93"/>
      <c r="D179" s="106"/>
      <c r="E179" s="93"/>
      <c r="F179" s="93"/>
      <c r="G179" s="93"/>
      <c r="H179" s="50"/>
      <c r="I179" s="93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22.5" customHeight="1">
      <c r="A180" s="93"/>
      <c r="B180" s="93"/>
      <c r="C180" s="93"/>
      <c r="D180" s="106"/>
      <c r="E180" s="93"/>
      <c r="F180" s="93"/>
      <c r="G180" s="93"/>
      <c r="H180" s="50"/>
      <c r="I180" s="93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22.5" customHeight="1">
      <c r="A181" s="93"/>
      <c r="B181" s="93"/>
      <c r="C181" s="93"/>
      <c r="D181" s="106"/>
      <c r="E181" s="93"/>
      <c r="F181" s="93"/>
      <c r="G181" s="93"/>
      <c r="H181" s="50"/>
      <c r="I181" s="93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22.5" customHeight="1">
      <c r="A182" s="93"/>
      <c r="B182" s="93"/>
      <c r="C182" s="93"/>
      <c r="D182" s="106"/>
      <c r="E182" s="93"/>
      <c r="F182" s="93"/>
      <c r="G182" s="93"/>
      <c r="H182" s="50"/>
      <c r="I182" s="93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22.5" customHeight="1">
      <c r="A183" s="93"/>
      <c r="B183" s="93"/>
      <c r="C183" s="93"/>
      <c r="D183" s="106"/>
      <c r="E183" s="93"/>
      <c r="F183" s="93"/>
      <c r="G183" s="93"/>
      <c r="H183" s="50"/>
      <c r="I183" s="93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22.5" customHeight="1">
      <c r="A184" s="93"/>
      <c r="B184" s="93"/>
      <c r="C184" s="93"/>
      <c r="D184" s="106"/>
      <c r="E184" s="93"/>
      <c r="F184" s="93"/>
      <c r="G184" s="93"/>
      <c r="H184" s="50"/>
      <c r="I184" s="93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22.5" customHeight="1">
      <c r="A185" s="93"/>
      <c r="B185" s="93"/>
      <c r="C185" s="93"/>
      <c r="D185" s="106"/>
      <c r="E185" s="93"/>
      <c r="F185" s="93"/>
      <c r="G185" s="93"/>
      <c r="H185" s="50"/>
      <c r="I185" s="93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22.5" customHeight="1">
      <c r="A186" s="93"/>
      <c r="B186" s="93"/>
      <c r="C186" s="93"/>
      <c r="D186" s="106"/>
      <c r="E186" s="93"/>
      <c r="F186" s="93"/>
      <c r="G186" s="93"/>
      <c r="H186" s="50"/>
      <c r="I186" s="93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22.5" customHeight="1">
      <c r="A187" s="93"/>
      <c r="B187" s="93"/>
      <c r="C187" s="93"/>
      <c r="D187" s="106"/>
      <c r="E187" s="93"/>
      <c r="F187" s="93"/>
      <c r="G187" s="93"/>
      <c r="H187" s="50"/>
      <c r="I187" s="93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22.5" customHeight="1">
      <c r="A188" s="93"/>
      <c r="B188" s="93"/>
      <c r="C188" s="93"/>
      <c r="D188" s="106"/>
      <c r="E188" s="93"/>
      <c r="F188" s="93"/>
      <c r="G188" s="93"/>
      <c r="H188" s="50"/>
      <c r="I188" s="93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22.5" customHeight="1">
      <c r="A189" s="93"/>
      <c r="B189" s="93"/>
      <c r="C189" s="93"/>
      <c r="D189" s="106"/>
      <c r="E189" s="93"/>
      <c r="F189" s="93"/>
      <c r="G189" s="93"/>
      <c r="H189" s="50"/>
      <c r="I189" s="93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22.5" customHeight="1">
      <c r="A190" s="93"/>
      <c r="B190" s="93"/>
      <c r="C190" s="93"/>
      <c r="D190" s="106"/>
      <c r="E190" s="93"/>
      <c r="F190" s="93"/>
      <c r="G190" s="93"/>
      <c r="H190" s="50"/>
      <c r="I190" s="93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22.5" customHeight="1">
      <c r="A191" s="93"/>
      <c r="B191" s="93"/>
      <c r="C191" s="93"/>
      <c r="D191" s="106"/>
      <c r="E191" s="93"/>
      <c r="F191" s="93"/>
      <c r="G191" s="93"/>
      <c r="H191" s="50"/>
      <c r="I191" s="93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22.5" customHeight="1">
      <c r="A192" s="93"/>
      <c r="B192" s="93"/>
      <c r="C192" s="93"/>
      <c r="D192" s="106"/>
      <c r="E192" s="93"/>
      <c r="F192" s="93"/>
      <c r="G192" s="93"/>
      <c r="H192" s="50"/>
      <c r="I192" s="93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22.5" customHeight="1">
      <c r="A193" s="93"/>
      <c r="B193" s="93"/>
      <c r="C193" s="93"/>
      <c r="D193" s="106"/>
      <c r="E193" s="93"/>
      <c r="F193" s="93"/>
      <c r="G193" s="93"/>
      <c r="H193" s="50"/>
      <c r="I193" s="93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22.5" customHeight="1">
      <c r="A194" s="93"/>
      <c r="B194" s="93"/>
      <c r="C194" s="93"/>
      <c r="D194" s="106"/>
      <c r="E194" s="93"/>
      <c r="F194" s="93"/>
      <c r="G194" s="93"/>
      <c r="H194" s="50"/>
      <c r="I194" s="93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22.5" customHeight="1">
      <c r="A195" s="93"/>
      <c r="B195" s="93"/>
      <c r="C195" s="93"/>
      <c r="D195" s="106"/>
      <c r="E195" s="93"/>
      <c r="F195" s="93"/>
      <c r="G195" s="93"/>
      <c r="H195" s="50"/>
      <c r="I195" s="93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22.5" customHeight="1">
      <c r="A196" s="93"/>
      <c r="B196" s="93"/>
      <c r="C196" s="93"/>
      <c r="D196" s="106"/>
      <c r="E196" s="93"/>
      <c r="F196" s="93"/>
      <c r="G196" s="93"/>
      <c r="H196" s="50"/>
      <c r="I196" s="93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22.5" customHeight="1">
      <c r="A197" s="93"/>
      <c r="B197" s="93"/>
      <c r="C197" s="93"/>
      <c r="D197" s="106"/>
      <c r="E197" s="93"/>
      <c r="F197" s="93"/>
      <c r="G197" s="93"/>
      <c r="H197" s="50"/>
      <c r="I197" s="93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22.5" customHeight="1">
      <c r="A198" s="93"/>
      <c r="B198" s="93"/>
      <c r="C198" s="93"/>
      <c r="D198" s="106"/>
      <c r="E198" s="93"/>
      <c r="F198" s="93"/>
      <c r="G198" s="93"/>
      <c r="H198" s="50"/>
      <c r="I198" s="93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22.5" customHeight="1">
      <c r="A199" s="93"/>
      <c r="B199" s="93"/>
      <c r="C199" s="93"/>
      <c r="D199" s="106"/>
      <c r="E199" s="93"/>
      <c r="F199" s="93"/>
      <c r="G199" s="93"/>
      <c r="H199" s="50"/>
      <c r="I199" s="93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22.5" customHeight="1">
      <c r="A200" s="93"/>
      <c r="B200" s="93"/>
      <c r="C200" s="93"/>
      <c r="D200" s="106"/>
      <c r="E200" s="93"/>
      <c r="F200" s="93"/>
      <c r="G200" s="93"/>
      <c r="H200" s="50"/>
      <c r="I200" s="93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22.5" customHeight="1">
      <c r="A201" s="93"/>
      <c r="B201" s="93"/>
      <c r="C201" s="93"/>
      <c r="D201" s="106"/>
      <c r="E201" s="93"/>
      <c r="F201" s="93"/>
      <c r="G201" s="93"/>
      <c r="H201" s="50"/>
      <c r="I201" s="93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22.5" customHeight="1">
      <c r="A202" s="93"/>
      <c r="B202" s="93"/>
      <c r="C202" s="93"/>
      <c r="D202" s="106"/>
      <c r="E202" s="93"/>
      <c r="F202" s="93"/>
      <c r="G202" s="93"/>
      <c r="H202" s="50"/>
      <c r="I202" s="93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22.5" customHeight="1">
      <c r="A203" s="93"/>
      <c r="B203" s="93"/>
      <c r="C203" s="93"/>
      <c r="D203" s="106"/>
      <c r="E203" s="93"/>
      <c r="F203" s="93"/>
      <c r="G203" s="93"/>
      <c r="H203" s="50"/>
      <c r="I203" s="93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22.5" customHeight="1">
      <c r="A204" s="93"/>
      <c r="B204" s="93"/>
      <c r="C204" s="93"/>
      <c r="D204" s="106"/>
      <c r="E204" s="93"/>
      <c r="F204" s="93"/>
      <c r="G204" s="93"/>
      <c r="H204" s="50"/>
      <c r="I204" s="93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22.5" customHeight="1">
      <c r="A205" s="93"/>
      <c r="B205" s="93"/>
      <c r="C205" s="93"/>
      <c r="D205" s="106"/>
      <c r="E205" s="93"/>
      <c r="F205" s="93"/>
      <c r="G205" s="93"/>
      <c r="H205" s="50"/>
      <c r="I205" s="93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22.5" customHeight="1">
      <c r="A206" s="93"/>
      <c r="B206" s="93"/>
      <c r="C206" s="93"/>
      <c r="D206" s="106"/>
      <c r="E206" s="93"/>
      <c r="F206" s="93"/>
      <c r="G206" s="93"/>
      <c r="H206" s="50"/>
      <c r="I206" s="93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22.5" customHeight="1">
      <c r="A207" s="93"/>
      <c r="B207" s="93"/>
      <c r="C207" s="93"/>
      <c r="D207" s="106"/>
      <c r="E207" s="93"/>
      <c r="F207" s="93"/>
      <c r="G207" s="93"/>
      <c r="H207" s="50"/>
      <c r="I207" s="93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22.5" customHeight="1">
      <c r="A208" s="93"/>
      <c r="B208" s="93"/>
      <c r="C208" s="93"/>
      <c r="D208" s="106"/>
      <c r="E208" s="93"/>
      <c r="F208" s="93"/>
      <c r="G208" s="93"/>
      <c r="H208" s="50"/>
      <c r="I208" s="93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22.5" customHeight="1">
      <c r="A209" s="93"/>
      <c r="B209" s="93"/>
      <c r="C209" s="93"/>
      <c r="D209" s="106"/>
      <c r="E209" s="93"/>
      <c r="F209" s="93"/>
      <c r="G209" s="93"/>
      <c r="H209" s="50"/>
      <c r="I209" s="93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22.5" customHeight="1">
      <c r="A210" s="93"/>
      <c r="B210" s="93"/>
      <c r="C210" s="93"/>
      <c r="D210" s="106"/>
      <c r="E210" s="93"/>
      <c r="F210" s="93"/>
      <c r="G210" s="93"/>
      <c r="H210" s="50"/>
      <c r="I210" s="93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22.5" customHeight="1">
      <c r="A211" s="93"/>
      <c r="B211" s="93"/>
      <c r="C211" s="93"/>
      <c r="D211" s="106"/>
      <c r="E211" s="93"/>
      <c r="F211" s="93"/>
      <c r="G211" s="93"/>
      <c r="H211" s="50"/>
      <c r="I211" s="93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22.5" customHeight="1">
      <c r="A212" s="93"/>
      <c r="B212" s="93"/>
      <c r="C212" s="93"/>
      <c r="D212" s="106"/>
      <c r="E212" s="93"/>
      <c r="F212" s="93"/>
      <c r="G212" s="93"/>
      <c r="H212" s="50"/>
      <c r="I212" s="93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22.5" customHeight="1">
      <c r="A213" s="93"/>
      <c r="B213" s="93"/>
      <c r="C213" s="93"/>
      <c r="D213" s="106"/>
      <c r="E213" s="93"/>
      <c r="F213" s="93"/>
      <c r="G213" s="93"/>
      <c r="H213" s="50"/>
      <c r="I213" s="93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22.5" customHeight="1">
      <c r="A214" s="93"/>
      <c r="B214" s="93"/>
      <c r="C214" s="93"/>
      <c r="D214" s="106"/>
      <c r="E214" s="93"/>
      <c r="F214" s="93"/>
      <c r="G214" s="93"/>
      <c r="H214" s="50"/>
      <c r="I214" s="93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22.5" customHeight="1">
      <c r="A215" s="93"/>
      <c r="B215" s="93"/>
      <c r="C215" s="93"/>
      <c r="D215" s="106"/>
      <c r="E215" s="93"/>
      <c r="F215" s="93"/>
      <c r="G215" s="93"/>
      <c r="H215" s="50"/>
      <c r="I215" s="93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22.5" customHeight="1">
      <c r="A216" s="93"/>
      <c r="B216" s="93"/>
      <c r="C216" s="93"/>
      <c r="D216" s="106"/>
      <c r="E216" s="93"/>
      <c r="F216" s="93"/>
      <c r="G216" s="93"/>
      <c r="H216" s="50"/>
      <c r="I216" s="93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22.5" customHeight="1">
      <c r="A217" s="93"/>
      <c r="B217" s="93"/>
      <c r="C217" s="93"/>
      <c r="D217" s="106"/>
      <c r="E217" s="93"/>
      <c r="F217" s="93"/>
      <c r="G217" s="93"/>
      <c r="H217" s="50"/>
      <c r="I217" s="93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22.5" customHeight="1">
      <c r="A218" s="93"/>
      <c r="B218" s="93"/>
      <c r="C218" s="93"/>
      <c r="D218" s="106"/>
      <c r="E218" s="93"/>
      <c r="F218" s="93"/>
      <c r="G218" s="93"/>
      <c r="H218" s="50"/>
      <c r="I218" s="93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22.5" customHeight="1">
      <c r="A219" s="93"/>
      <c r="B219" s="93"/>
      <c r="C219" s="93"/>
      <c r="D219" s="106"/>
      <c r="E219" s="93"/>
      <c r="F219" s="93"/>
      <c r="G219" s="93"/>
      <c r="H219" s="50"/>
      <c r="I219" s="93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22.5" customHeight="1">
      <c r="A220" s="93"/>
      <c r="B220" s="93"/>
      <c r="C220" s="93"/>
      <c r="D220" s="106"/>
      <c r="E220" s="93"/>
      <c r="F220" s="93"/>
      <c r="G220" s="93"/>
      <c r="H220" s="50"/>
      <c r="I220" s="93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22.5" customHeight="1">
      <c r="A221" s="93"/>
      <c r="B221" s="93"/>
      <c r="C221" s="93"/>
      <c r="D221" s="106"/>
      <c r="E221" s="93"/>
      <c r="F221" s="93"/>
      <c r="G221" s="93"/>
      <c r="H221" s="50"/>
      <c r="I221" s="93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22.5" customHeight="1">
      <c r="A222" s="93"/>
      <c r="B222" s="93"/>
      <c r="C222" s="93"/>
      <c r="D222" s="106"/>
      <c r="E222" s="93"/>
      <c r="F222" s="93"/>
      <c r="G222" s="93"/>
      <c r="H222" s="50"/>
      <c r="I222" s="93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22.5" customHeight="1">
      <c r="A223" s="93"/>
      <c r="B223" s="93"/>
      <c r="C223" s="93"/>
      <c r="D223" s="106"/>
      <c r="E223" s="93"/>
      <c r="F223" s="93"/>
      <c r="G223" s="93"/>
      <c r="H223" s="50"/>
      <c r="I223" s="93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22.5" customHeight="1">
      <c r="A224" s="93"/>
      <c r="B224" s="93"/>
      <c r="C224" s="93"/>
      <c r="D224" s="106"/>
      <c r="E224" s="93"/>
      <c r="F224" s="93"/>
      <c r="G224" s="93"/>
      <c r="H224" s="50"/>
      <c r="I224" s="93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22.5" customHeight="1">
      <c r="A225" s="93"/>
      <c r="B225" s="93"/>
      <c r="C225" s="93"/>
      <c r="D225" s="106"/>
      <c r="E225" s="93"/>
      <c r="F225" s="93"/>
      <c r="G225" s="93"/>
      <c r="H225" s="50"/>
      <c r="I225" s="93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22.5" customHeight="1">
      <c r="A226" s="93"/>
      <c r="B226" s="93"/>
      <c r="C226" s="93"/>
      <c r="D226" s="106"/>
      <c r="E226" s="93"/>
      <c r="F226" s="93"/>
      <c r="G226" s="93"/>
      <c r="H226" s="50"/>
      <c r="I226" s="93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22.5" customHeight="1">
      <c r="A227" s="93"/>
      <c r="B227" s="93"/>
      <c r="C227" s="93"/>
      <c r="D227" s="106"/>
      <c r="E227" s="93"/>
      <c r="F227" s="93"/>
      <c r="G227" s="93"/>
      <c r="H227" s="50"/>
      <c r="I227" s="93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22.5" customHeight="1">
      <c r="A228" s="93"/>
      <c r="B228" s="93"/>
      <c r="C228" s="93"/>
      <c r="D228" s="106"/>
      <c r="E228" s="93"/>
      <c r="F228" s="93"/>
      <c r="G228" s="93"/>
      <c r="H228" s="50"/>
      <c r="I228" s="93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22.5" customHeight="1">
      <c r="A229" s="93"/>
      <c r="B229" s="93"/>
      <c r="C229" s="93"/>
      <c r="D229" s="106"/>
      <c r="E229" s="93"/>
      <c r="F229" s="93"/>
      <c r="G229" s="93"/>
      <c r="H229" s="50"/>
      <c r="I229" s="93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22.5" customHeight="1">
      <c r="A230" s="93"/>
      <c r="B230" s="93"/>
      <c r="C230" s="93"/>
      <c r="D230" s="106"/>
      <c r="E230" s="93"/>
      <c r="F230" s="93"/>
      <c r="G230" s="93"/>
      <c r="H230" s="50"/>
      <c r="I230" s="93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22.5" customHeight="1">
      <c r="A231" s="93"/>
      <c r="B231" s="93"/>
      <c r="C231" s="93"/>
      <c r="D231" s="106"/>
      <c r="E231" s="93"/>
      <c r="F231" s="93"/>
      <c r="G231" s="93"/>
      <c r="H231" s="50"/>
      <c r="I231" s="93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22.5" customHeight="1">
      <c r="A232" s="93"/>
      <c r="B232" s="93"/>
      <c r="C232" s="93"/>
      <c r="D232" s="106"/>
      <c r="E232" s="93"/>
      <c r="F232" s="93"/>
      <c r="G232" s="93"/>
      <c r="H232" s="50"/>
      <c r="I232" s="93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22.5" customHeight="1">
      <c r="A233" s="93"/>
      <c r="B233" s="93"/>
      <c r="C233" s="93"/>
      <c r="D233" s="106"/>
      <c r="E233" s="93"/>
      <c r="F233" s="93"/>
      <c r="G233" s="93"/>
      <c r="H233" s="50"/>
      <c r="I233" s="93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22.5" customHeight="1">
      <c r="A234" s="93"/>
      <c r="B234" s="93"/>
      <c r="C234" s="93"/>
      <c r="D234" s="106"/>
      <c r="E234" s="93"/>
      <c r="F234" s="93"/>
      <c r="G234" s="93"/>
      <c r="H234" s="50"/>
      <c r="I234" s="93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22.5" customHeight="1">
      <c r="A235" s="93"/>
      <c r="B235" s="93"/>
      <c r="C235" s="93"/>
      <c r="D235" s="106"/>
      <c r="E235" s="93"/>
      <c r="F235" s="93"/>
      <c r="G235" s="93"/>
      <c r="H235" s="50"/>
      <c r="I235" s="93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22.5" customHeight="1">
      <c r="A236" s="93"/>
      <c r="B236" s="93"/>
      <c r="C236" s="93"/>
      <c r="D236" s="106"/>
      <c r="E236" s="93"/>
      <c r="F236" s="93"/>
      <c r="G236" s="93"/>
      <c r="H236" s="50"/>
      <c r="I236" s="93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22.5" customHeight="1">
      <c r="A237" s="93"/>
      <c r="B237" s="93"/>
      <c r="C237" s="93"/>
      <c r="D237" s="106"/>
      <c r="E237" s="93"/>
      <c r="F237" s="93"/>
      <c r="G237" s="93"/>
      <c r="H237" s="50"/>
      <c r="I237" s="93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22.5" customHeight="1">
      <c r="A238" s="93"/>
      <c r="B238" s="93"/>
      <c r="C238" s="93"/>
      <c r="D238" s="106"/>
      <c r="E238" s="93"/>
      <c r="F238" s="93"/>
      <c r="G238" s="93"/>
      <c r="H238" s="50"/>
      <c r="I238" s="93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22.5" customHeight="1">
      <c r="A239" s="93"/>
      <c r="B239" s="93"/>
      <c r="C239" s="93"/>
      <c r="D239" s="106"/>
      <c r="E239" s="93"/>
      <c r="F239" s="93"/>
      <c r="G239" s="93"/>
      <c r="H239" s="50"/>
      <c r="I239" s="93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22.5" customHeight="1">
      <c r="A240" s="93"/>
      <c r="B240" s="93"/>
      <c r="C240" s="93"/>
      <c r="D240" s="106"/>
      <c r="E240" s="93"/>
      <c r="F240" s="93"/>
      <c r="G240" s="93"/>
      <c r="H240" s="50"/>
      <c r="I240" s="93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22.5" customHeight="1">
      <c r="A241" s="93"/>
      <c r="B241" s="93"/>
      <c r="C241" s="93"/>
      <c r="D241" s="106"/>
      <c r="E241" s="93"/>
      <c r="F241" s="93"/>
      <c r="G241" s="93"/>
      <c r="H241" s="50"/>
      <c r="I241" s="93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22.5" customHeight="1">
      <c r="A242" s="93"/>
      <c r="B242" s="93"/>
      <c r="C242" s="93"/>
      <c r="D242" s="106"/>
      <c r="E242" s="93"/>
      <c r="F242" s="93"/>
      <c r="G242" s="93"/>
      <c r="H242" s="50"/>
      <c r="I242" s="93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22.5" customHeight="1">
      <c r="A243" s="93"/>
      <c r="B243" s="93"/>
      <c r="C243" s="93"/>
      <c r="D243" s="106"/>
      <c r="E243" s="93"/>
      <c r="F243" s="93"/>
      <c r="G243" s="93"/>
      <c r="H243" s="50"/>
      <c r="I243" s="93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22.5" customHeight="1">
      <c r="A244" s="93"/>
      <c r="B244" s="93"/>
      <c r="C244" s="93"/>
      <c r="D244" s="106"/>
      <c r="E244" s="93"/>
      <c r="F244" s="93"/>
      <c r="G244" s="93"/>
      <c r="H244" s="50"/>
      <c r="I244" s="93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22.5" customHeight="1">
      <c r="A245" s="93"/>
      <c r="B245" s="93"/>
      <c r="C245" s="93"/>
      <c r="D245" s="106"/>
      <c r="E245" s="93"/>
      <c r="F245" s="93"/>
      <c r="G245" s="93"/>
      <c r="H245" s="50"/>
      <c r="I245" s="93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22.5" customHeight="1">
      <c r="A246" s="93"/>
      <c r="B246" s="93"/>
      <c r="C246" s="93"/>
      <c r="D246" s="106"/>
      <c r="E246" s="93"/>
      <c r="F246" s="93"/>
      <c r="G246" s="93"/>
      <c r="H246" s="50"/>
      <c r="I246" s="93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22.5" customHeight="1">
      <c r="A247" s="93"/>
      <c r="B247" s="93"/>
      <c r="C247" s="93"/>
      <c r="D247" s="106"/>
      <c r="E247" s="93"/>
      <c r="F247" s="93"/>
      <c r="G247" s="93"/>
      <c r="H247" s="50"/>
      <c r="I247" s="93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22.5" customHeight="1">
      <c r="A248" s="93"/>
      <c r="B248" s="93"/>
      <c r="C248" s="93"/>
      <c r="D248" s="106"/>
      <c r="E248" s="93"/>
      <c r="F248" s="93"/>
      <c r="G248" s="93"/>
      <c r="H248" s="50"/>
      <c r="I248" s="93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22.5" customHeight="1">
      <c r="A249" s="93"/>
      <c r="B249" s="93"/>
      <c r="C249" s="93"/>
      <c r="D249" s="106"/>
      <c r="E249" s="93"/>
      <c r="F249" s="93"/>
      <c r="G249" s="93"/>
      <c r="H249" s="50"/>
      <c r="I249" s="93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22.5" customHeight="1">
      <c r="A250" s="93"/>
      <c r="B250" s="93"/>
      <c r="C250" s="93"/>
      <c r="D250" s="106"/>
      <c r="E250" s="93"/>
      <c r="F250" s="93"/>
      <c r="G250" s="93"/>
      <c r="H250" s="50"/>
      <c r="I250" s="93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22.5" customHeight="1">
      <c r="A251" s="93"/>
      <c r="B251" s="93"/>
      <c r="C251" s="93"/>
      <c r="D251" s="106"/>
      <c r="E251" s="93"/>
      <c r="F251" s="93"/>
      <c r="G251" s="93"/>
      <c r="H251" s="50"/>
      <c r="I251" s="93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22.5" customHeight="1">
      <c r="A252" s="93"/>
      <c r="B252" s="93"/>
      <c r="C252" s="93"/>
      <c r="D252" s="106"/>
      <c r="E252" s="93"/>
      <c r="F252" s="93"/>
      <c r="G252" s="93"/>
      <c r="H252" s="50"/>
      <c r="I252" s="93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22.5" customHeight="1">
      <c r="A253" s="93"/>
      <c r="B253" s="93"/>
      <c r="C253" s="93"/>
      <c r="D253" s="106"/>
      <c r="E253" s="93"/>
      <c r="F253" s="93"/>
      <c r="G253" s="93"/>
      <c r="H253" s="50"/>
      <c r="I253" s="93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22.5" customHeight="1">
      <c r="A254" s="93"/>
      <c r="B254" s="93"/>
      <c r="C254" s="93"/>
      <c r="D254" s="106"/>
      <c r="E254" s="93"/>
      <c r="F254" s="93"/>
      <c r="G254" s="93"/>
      <c r="H254" s="50"/>
      <c r="I254" s="93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22.5" customHeight="1">
      <c r="A255" s="93"/>
      <c r="B255" s="93"/>
      <c r="C255" s="93"/>
      <c r="D255" s="106"/>
      <c r="E255" s="93"/>
      <c r="F255" s="93"/>
      <c r="G255" s="93"/>
      <c r="H255" s="50"/>
      <c r="I255" s="93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22.5" customHeight="1">
      <c r="A256" s="93"/>
      <c r="B256" s="93"/>
      <c r="C256" s="93"/>
      <c r="D256" s="106"/>
      <c r="E256" s="93"/>
      <c r="F256" s="93"/>
      <c r="G256" s="93"/>
      <c r="H256" s="50"/>
      <c r="I256" s="93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22.5" customHeight="1">
      <c r="A257" s="93"/>
      <c r="B257" s="93"/>
      <c r="C257" s="93"/>
      <c r="D257" s="106"/>
      <c r="E257" s="93"/>
      <c r="F257" s="93"/>
      <c r="G257" s="93"/>
      <c r="H257" s="50"/>
      <c r="I257" s="93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22.5" customHeight="1">
      <c r="A258" s="93"/>
      <c r="B258" s="93"/>
      <c r="C258" s="93"/>
      <c r="D258" s="106"/>
      <c r="E258" s="93"/>
      <c r="F258" s="93"/>
      <c r="G258" s="93"/>
      <c r="H258" s="50"/>
      <c r="I258" s="93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22.5" customHeight="1">
      <c r="A259" s="93"/>
      <c r="B259" s="93"/>
      <c r="C259" s="93"/>
      <c r="D259" s="106"/>
      <c r="E259" s="93"/>
      <c r="F259" s="93"/>
      <c r="G259" s="93"/>
      <c r="H259" s="50"/>
      <c r="I259" s="93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22.5" customHeight="1">
      <c r="A260" s="93"/>
      <c r="B260" s="93"/>
      <c r="C260" s="93"/>
      <c r="D260" s="106"/>
      <c r="E260" s="93"/>
      <c r="F260" s="93"/>
      <c r="G260" s="93"/>
      <c r="H260" s="50"/>
      <c r="I260" s="93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22.5" customHeight="1">
      <c r="A261" s="93"/>
      <c r="B261" s="93"/>
      <c r="C261" s="93"/>
      <c r="D261" s="106"/>
      <c r="E261" s="93"/>
      <c r="F261" s="93"/>
      <c r="G261" s="93"/>
      <c r="H261" s="50"/>
      <c r="I261" s="93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22.5" customHeight="1">
      <c r="A262" s="93"/>
      <c r="B262" s="93"/>
      <c r="C262" s="93"/>
      <c r="D262" s="106"/>
      <c r="E262" s="93"/>
      <c r="F262" s="93"/>
      <c r="G262" s="93"/>
      <c r="H262" s="50"/>
      <c r="I262" s="93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22.5" customHeight="1">
      <c r="A263" s="93"/>
      <c r="B263" s="93"/>
      <c r="C263" s="93"/>
      <c r="D263" s="106"/>
      <c r="E263" s="93"/>
      <c r="F263" s="93"/>
      <c r="G263" s="93"/>
      <c r="H263" s="50"/>
      <c r="I263" s="93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22.5" customHeight="1">
      <c r="A264" s="93"/>
      <c r="B264" s="93"/>
      <c r="C264" s="93"/>
      <c r="D264" s="106"/>
      <c r="E264" s="93"/>
      <c r="F264" s="93"/>
      <c r="G264" s="93"/>
      <c r="H264" s="50"/>
      <c r="I264" s="93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22.5" customHeight="1">
      <c r="A265" s="93"/>
      <c r="B265" s="93"/>
      <c r="C265" s="93"/>
      <c r="D265" s="106"/>
      <c r="E265" s="93"/>
      <c r="F265" s="93"/>
      <c r="G265" s="93"/>
      <c r="H265" s="50"/>
      <c r="I265" s="93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22.5" customHeight="1">
      <c r="A266" s="93"/>
      <c r="B266" s="93"/>
      <c r="C266" s="93"/>
      <c r="D266" s="106"/>
      <c r="E266" s="93"/>
      <c r="F266" s="93"/>
      <c r="G266" s="93"/>
      <c r="H266" s="50"/>
      <c r="I266" s="93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22.5" customHeight="1">
      <c r="A267" s="93"/>
      <c r="B267" s="93"/>
      <c r="C267" s="93"/>
      <c r="D267" s="106"/>
      <c r="E267" s="93"/>
      <c r="F267" s="93"/>
      <c r="G267" s="93"/>
      <c r="H267" s="50"/>
      <c r="I267" s="93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22.5" customHeight="1">
      <c r="A268" s="93"/>
      <c r="B268" s="93"/>
      <c r="C268" s="93"/>
      <c r="D268" s="106"/>
      <c r="E268" s="93"/>
      <c r="F268" s="93"/>
      <c r="G268" s="93"/>
      <c r="H268" s="50"/>
      <c r="I268" s="93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22.5" customHeight="1">
      <c r="A269" s="93"/>
      <c r="B269" s="93"/>
      <c r="C269" s="93"/>
      <c r="D269" s="106"/>
      <c r="E269" s="93"/>
      <c r="F269" s="93"/>
      <c r="G269" s="93"/>
      <c r="H269" s="50"/>
      <c r="I269" s="93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22.5" customHeight="1">
      <c r="A270" s="93"/>
      <c r="B270" s="93"/>
      <c r="C270" s="93"/>
      <c r="D270" s="106"/>
      <c r="E270" s="93"/>
      <c r="F270" s="93"/>
      <c r="G270" s="93"/>
      <c r="H270" s="50"/>
      <c r="I270" s="93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22.5" customHeight="1">
      <c r="A271" s="93"/>
      <c r="B271" s="93"/>
      <c r="C271" s="93"/>
      <c r="D271" s="106"/>
      <c r="E271" s="93"/>
      <c r="F271" s="93"/>
      <c r="G271" s="93"/>
      <c r="H271" s="50"/>
      <c r="I271" s="93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22.5" customHeight="1">
      <c r="A272" s="93"/>
      <c r="B272" s="93"/>
      <c r="C272" s="93"/>
      <c r="D272" s="106"/>
      <c r="E272" s="93"/>
      <c r="F272" s="93"/>
      <c r="G272" s="93"/>
      <c r="H272" s="50"/>
      <c r="I272" s="93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22.5" customHeight="1">
      <c r="A273" s="93"/>
      <c r="B273" s="93"/>
      <c r="C273" s="93"/>
      <c r="D273" s="106"/>
      <c r="E273" s="93"/>
      <c r="F273" s="93"/>
      <c r="G273" s="93"/>
      <c r="H273" s="50"/>
      <c r="I273" s="93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22.5" customHeight="1">
      <c r="A274" s="93"/>
      <c r="B274" s="93"/>
      <c r="C274" s="93"/>
      <c r="D274" s="106"/>
      <c r="E274" s="93"/>
      <c r="F274" s="93"/>
      <c r="G274" s="93"/>
      <c r="H274" s="50"/>
      <c r="I274" s="93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22.5" customHeight="1">
      <c r="A275" s="93"/>
      <c r="B275" s="93"/>
      <c r="C275" s="93"/>
      <c r="D275" s="106"/>
      <c r="E275" s="93"/>
      <c r="F275" s="93"/>
      <c r="G275" s="93"/>
      <c r="H275" s="50"/>
      <c r="I275" s="93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22.5" customHeight="1">
      <c r="A276" s="93"/>
      <c r="B276" s="93"/>
      <c r="C276" s="93"/>
      <c r="D276" s="106"/>
      <c r="E276" s="93"/>
      <c r="F276" s="93"/>
      <c r="G276" s="93"/>
      <c r="H276" s="50"/>
      <c r="I276" s="93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22.5" customHeight="1">
      <c r="A277" s="93"/>
      <c r="B277" s="93"/>
      <c r="C277" s="93"/>
      <c r="D277" s="106"/>
      <c r="E277" s="93"/>
      <c r="F277" s="93"/>
      <c r="G277" s="93"/>
      <c r="H277" s="50"/>
      <c r="I277" s="93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22.5" customHeight="1">
      <c r="A278" s="93"/>
      <c r="B278" s="93"/>
      <c r="C278" s="93"/>
      <c r="D278" s="106"/>
      <c r="E278" s="93"/>
      <c r="F278" s="93"/>
      <c r="G278" s="93"/>
      <c r="H278" s="50"/>
      <c r="I278" s="93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22.5" customHeight="1">
      <c r="A279" s="93"/>
      <c r="B279" s="93"/>
      <c r="C279" s="93"/>
      <c r="D279" s="106"/>
      <c r="E279" s="93"/>
      <c r="F279" s="93"/>
      <c r="G279" s="93"/>
      <c r="H279" s="50"/>
      <c r="I279" s="93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22.5" customHeight="1">
      <c r="A280" s="93"/>
      <c r="B280" s="93"/>
      <c r="C280" s="93"/>
      <c r="D280" s="106"/>
      <c r="E280" s="93"/>
      <c r="F280" s="93"/>
      <c r="G280" s="93"/>
      <c r="H280" s="50"/>
      <c r="I280" s="93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22.5" customHeight="1">
      <c r="A281" s="93"/>
      <c r="B281" s="93"/>
      <c r="C281" s="93"/>
      <c r="D281" s="106"/>
      <c r="E281" s="93"/>
      <c r="F281" s="93"/>
      <c r="G281" s="93"/>
      <c r="H281" s="50"/>
      <c r="I281" s="93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22.5" customHeight="1">
      <c r="A282" s="93"/>
      <c r="B282" s="93"/>
      <c r="C282" s="93"/>
      <c r="D282" s="106"/>
      <c r="E282" s="93"/>
      <c r="F282" s="93"/>
      <c r="G282" s="93"/>
      <c r="H282" s="50"/>
      <c r="I282" s="93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22.5" customHeight="1">
      <c r="A283" s="93"/>
      <c r="B283" s="93"/>
      <c r="C283" s="93"/>
      <c r="D283" s="106"/>
      <c r="E283" s="93"/>
      <c r="F283" s="93"/>
      <c r="G283" s="93"/>
      <c r="H283" s="50"/>
      <c r="I283" s="93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22.5" customHeight="1">
      <c r="A284" s="93"/>
      <c r="B284" s="93"/>
      <c r="C284" s="93"/>
      <c r="D284" s="106"/>
      <c r="E284" s="93"/>
      <c r="F284" s="93"/>
      <c r="G284" s="93"/>
      <c r="H284" s="50"/>
      <c r="I284" s="93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22.5" customHeight="1">
      <c r="A285" s="93"/>
      <c r="B285" s="93"/>
      <c r="C285" s="93"/>
      <c r="D285" s="106"/>
      <c r="E285" s="93"/>
      <c r="F285" s="93"/>
      <c r="G285" s="93"/>
      <c r="H285" s="50"/>
      <c r="I285" s="93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22.5" customHeight="1">
      <c r="A286" s="93"/>
      <c r="B286" s="93"/>
      <c r="C286" s="93"/>
      <c r="D286" s="106"/>
      <c r="E286" s="93"/>
      <c r="F286" s="93"/>
      <c r="G286" s="93"/>
      <c r="H286" s="50"/>
      <c r="I286" s="93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22.5" customHeight="1">
      <c r="A287" s="93"/>
      <c r="B287" s="93"/>
      <c r="C287" s="93"/>
      <c r="D287" s="106"/>
      <c r="E287" s="93"/>
      <c r="F287" s="93"/>
      <c r="G287" s="93"/>
      <c r="H287" s="50"/>
      <c r="I287" s="93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22.5" customHeight="1">
      <c r="A288" s="93"/>
      <c r="B288" s="93"/>
      <c r="C288" s="93"/>
      <c r="D288" s="106"/>
      <c r="E288" s="93"/>
      <c r="F288" s="93"/>
      <c r="G288" s="93"/>
      <c r="H288" s="50"/>
      <c r="I288" s="93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22.5" customHeight="1">
      <c r="A289" s="93"/>
      <c r="B289" s="93"/>
      <c r="C289" s="93"/>
      <c r="D289" s="106"/>
      <c r="E289" s="93"/>
      <c r="F289" s="93"/>
      <c r="G289" s="93"/>
      <c r="H289" s="50"/>
      <c r="I289" s="93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22.5" customHeight="1">
      <c r="A290" s="93"/>
      <c r="B290" s="93"/>
      <c r="C290" s="93"/>
      <c r="D290" s="106"/>
      <c r="E290" s="93"/>
      <c r="F290" s="93"/>
      <c r="G290" s="93"/>
      <c r="H290" s="50"/>
      <c r="I290" s="93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22.5" customHeight="1">
      <c r="A291" s="93"/>
      <c r="B291" s="93"/>
      <c r="C291" s="93"/>
      <c r="D291" s="106"/>
      <c r="E291" s="93"/>
      <c r="F291" s="93"/>
      <c r="G291" s="93"/>
      <c r="H291" s="50"/>
      <c r="I291" s="93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22.5" customHeight="1">
      <c r="A292" s="93"/>
      <c r="B292" s="93"/>
      <c r="C292" s="93"/>
      <c r="D292" s="106"/>
      <c r="E292" s="93"/>
      <c r="F292" s="93"/>
      <c r="G292" s="93"/>
      <c r="H292" s="50"/>
      <c r="I292" s="93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22.5" customHeight="1">
      <c r="A293" s="93"/>
      <c r="B293" s="93"/>
      <c r="C293" s="93"/>
      <c r="D293" s="106"/>
      <c r="E293" s="93"/>
      <c r="F293" s="93"/>
      <c r="G293" s="93"/>
      <c r="H293" s="50"/>
      <c r="I293" s="93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22.5" customHeight="1">
      <c r="A294" s="93"/>
      <c r="B294" s="93"/>
      <c r="C294" s="93"/>
      <c r="D294" s="106"/>
      <c r="E294" s="93"/>
      <c r="F294" s="93"/>
      <c r="G294" s="93"/>
      <c r="H294" s="50"/>
      <c r="I294" s="93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22.5" customHeight="1">
      <c r="A295" s="93"/>
      <c r="B295" s="93"/>
      <c r="C295" s="93"/>
      <c r="D295" s="106"/>
      <c r="E295" s="93"/>
      <c r="F295" s="93"/>
      <c r="G295" s="93"/>
      <c r="H295" s="50"/>
      <c r="I295" s="93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22.5" customHeight="1">
      <c r="A296" s="93"/>
      <c r="B296" s="93"/>
      <c r="C296" s="93"/>
      <c r="D296" s="106"/>
      <c r="E296" s="93"/>
      <c r="F296" s="93"/>
      <c r="G296" s="93"/>
      <c r="H296" s="50"/>
      <c r="I296" s="93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22.5" customHeight="1">
      <c r="A297" s="93"/>
      <c r="B297" s="93"/>
      <c r="C297" s="93"/>
      <c r="D297" s="106"/>
      <c r="E297" s="93"/>
      <c r="F297" s="93"/>
      <c r="G297" s="93"/>
      <c r="H297" s="50"/>
      <c r="I297" s="93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22.5" customHeight="1">
      <c r="A298" s="93"/>
      <c r="B298" s="93"/>
      <c r="C298" s="93"/>
      <c r="D298" s="106"/>
      <c r="E298" s="93"/>
      <c r="F298" s="93"/>
      <c r="G298" s="93"/>
      <c r="H298" s="50"/>
      <c r="I298" s="93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22.5" customHeight="1">
      <c r="A299" s="93"/>
      <c r="B299" s="93"/>
      <c r="C299" s="93"/>
      <c r="D299" s="106"/>
      <c r="E299" s="93"/>
      <c r="F299" s="93"/>
      <c r="G299" s="93"/>
      <c r="H299" s="50"/>
      <c r="I299" s="93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22.5" customHeight="1">
      <c r="A300" s="93"/>
      <c r="B300" s="93"/>
      <c r="C300" s="93"/>
      <c r="D300" s="106"/>
      <c r="E300" s="93"/>
      <c r="F300" s="93"/>
      <c r="G300" s="93"/>
      <c r="H300" s="50"/>
      <c r="I300" s="93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22.5" customHeight="1">
      <c r="A301" s="93"/>
      <c r="B301" s="93"/>
      <c r="C301" s="93"/>
      <c r="D301" s="106"/>
      <c r="E301" s="93"/>
      <c r="F301" s="93"/>
      <c r="G301" s="93"/>
      <c r="H301" s="50"/>
      <c r="I301" s="93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22.5" customHeight="1">
      <c r="A302" s="93"/>
      <c r="B302" s="93"/>
      <c r="C302" s="93"/>
      <c r="D302" s="106"/>
      <c r="E302" s="93"/>
      <c r="F302" s="93"/>
      <c r="G302" s="93"/>
      <c r="H302" s="50"/>
      <c r="I302" s="93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22.5" customHeight="1">
      <c r="A303" s="93"/>
      <c r="B303" s="93"/>
      <c r="C303" s="93"/>
      <c r="D303" s="106"/>
      <c r="E303" s="93"/>
      <c r="F303" s="93"/>
      <c r="G303" s="93"/>
      <c r="H303" s="50"/>
      <c r="I303" s="93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22.5" customHeight="1">
      <c r="A304" s="93"/>
      <c r="B304" s="93"/>
      <c r="C304" s="93"/>
      <c r="D304" s="106"/>
      <c r="E304" s="93"/>
      <c r="F304" s="93"/>
      <c r="G304" s="93"/>
      <c r="H304" s="50"/>
      <c r="I304" s="93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22.5" customHeight="1">
      <c r="A305" s="93"/>
      <c r="B305" s="93"/>
      <c r="C305" s="93"/>
      <c r="D305" s="106"/>
      <c r="E305" s="93"/>
      <c r="F305" s="93"/>
      <c r="G305" s="93"/>
      <c r="H305" s="50"/>
      <c r="I305" s="93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22.5" customHeight="1">
      <c r="A306" s="93"/>
      <c r="B306" s="93"/>
      <c r="C306" s="93"/>
      <c r="D306" s="106"/>
      <c r="E306" s="93"/>
      <c r="F306" s="93"/>
      <c r="G306" s="93"/>
      <c r="H306" s="50"/>
      <c r="I306" s="93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22.5" customHeight="1">
      <c r="A307" s="93"/>
      <c r="B307" s="93"/>
      <c r="C307" s="93"/>
      <c r="D307" s="106"/>
      <c r="E307" s="93"/>
      <c r="F307" s="93"/>
      <c r="G307" s="93"/>
      <c r="H307" s="50"/>
      <c r="I307" s="93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22.5" customHeight="1">
      <c r="A308" s="93"/>
      <c r="B308" s="93"/>
      <c r="C308" s="93"/>
      <c r="D308" s="106"/>
      <c r="E308" s="93"/>
      <c r="F308" s="93"/>
      <c r="G308" s="93"/>
      <c r="H308" s="50"/>
      <c r="I308" s="93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22.5" customHeight="1">
      <c r="A309" s="93"/>
      <c r="B309" s="93"/>
      <c r="C309" s="93"/>
      <c r="D309" s="106"/>
      <c r="E309" s="93"/>
      <c r="F309" s="93"/>
      <c r="G309" s="93"/>
      <c r="H309" s="50"/>
      <c r="I309" s="93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22.5" customHeight="1">
      <c r="A310" s="93"/>
      <c r="B310" s="93"/>
      <c r="C310" s="93"/>
      <c r="D310" s="106"/>
      <c r="E310" s="93"/>
      <c r="F310" s="93"/>
      <c r="G310" s="93"/>
      <c r="H310" s="50"/>
      <c r="I310" s="93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22.5" customHeight="1">
      <c r="A311" s="93"/>
      <c r="B311" s="93"/>
      <c r="C311" s="93"/>
      <c r="D311" s="106"/>
      <c r="E311" s="93"/>
      <c r="F311" s="93"/>
      <c r="G311" s="93"/>
      <c r="H311" s="50"/>
      <c r="I311" s="93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22.5" customHeight="1">
      <c r="A312" s="93"/>
      <c r="B312" s="93"/>
      <c r="C312" s="93"/>
      <c r="D312" s="106"/>
      <c r="E312" s="93"/>
      <c r="F312" s="93"/>
      <c r="G312" s="93"/>
      <c r="H312" s="50"/>
      <c r="I312" s="93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22.5" customHeight="1">
      <c r="A313" s="93"/>
      <c r="B313" s="93"/>
      <c r="C313" s="93"/>
      <c r="D313" s="106"/>
      <c r="E313" s="93"/>
      <c r="F313" s="93"/>
      <c r="G313" s="93"/>
      <c r="H313" s="50"/>
      <c r="I313" s="93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22.5" customHeight="1">
      <c r="A314" s="93"/>
      <c r="B314" s="93"/>
      <c r="C314" s="93"/>
      <c r="D314" s="106"/>
      <c r="E314" s="93"/>
      <c r="F314" s="93"/>
      <c r="G314" s="93"/>
      <c r="H314" s="50"/>
      <c r="I314" s="93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22.5" customHeight="1">
      <c r="A315" s="93"/>
      <c r="B315" s="93"/>
      <c r="C315" s="93"/>
      <c r="D315" s="106"/>
      <c r="E315" s="93"/>
      <c r="F315" s="93"/>
      <c r="G315" s="93"/>
      <c r="H315" s="50"/>
      <c r="I315" s="93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22.5" customHeight="1">
      <c r="A316" s="93"/>
      <c r="B316" s="93"/>
      <c r="C316" s="93"/>
      <c r="D316" s="106"/>
      <c r="E316" s="93"/>
      <c r="F316" s="93"/>
      <c r="G316" s="93"/>
      <c r="H316" s="50"/>
      <c r="I316" s="93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22.5" customHeight="1">
      <c r="A317" s="93"/>
      <c r="B317" s="93"/>
      <c r="C317" s="93"/>
      <c r="D317" s="106"/>
      <c r="E317" s="93"/>
      <c r="F317" s="93"/>
      <c r="G317" s="93"/>
      <c r="H317" s="50"/>
      <c r="I317" s="93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22.5" customHeight="1">
      <c r="A318" s="93"/>
      <c r="B318" s="93"/>
      <c r="C318" s="93"/>
      <c r="D318" s="106"/>
      <c r="E318" s="93"/>
      <c r="F318" s="93"/>
      <c r="G318" s="93"/>
      <c r="H318" s="50"/>
      <c r="I318" s="93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22.5" customHeight="1">
      <c r="A319" s="93"/>
      <c r="B319" s="93"/>
      <c r="C319" s="93"/>
      <c r="D319" s="106"/>
      <c r="E319" s="93"/>
      <c r="F319" s="93"/>
      <c r="G319" s="93"/>
      <c r="H319" s="50"/>
      <c r="I319" s="93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22.5" customHeight="1">
      <c r="A320" s="93"/>
      <c r="B320" s="93"/>
      <c r="C320" s="93"/>
      <c r="D320" s="106"/>
      <c r="E320" s="93"/>
      <c r="F320" s="93"/>
      <c r="G320" s="93"/>
      <c r="H320" s="50"/>
      <c r="I320" s="93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22.5" customHeight="1">
      <c r="A321" s="93"/>
      <c r="B321" s="93"/>
      <c r="C321" s="93"/>
      <c r="D321" s="106"/>
      <c r="E321" s="93"/>
      <c r="F321" s="93"/>
      <c r="G321" s="93"/>
      <c r="H321" s="50"/>
      <c r="I321" s="93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22.5" customHeight="1">
      <c r="A322" s="93"/>
      <c r="B322" s="93"/>
      <c r="C322" s="93"/>
      <c r="D322" s="106"/>
      <c r="E322" s="93"/>
      <c r="F322" s="93"/>
      <c r="G322" s="93"/>
      <c r="H322" s="50"/>
      <c r="I322" s="93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22.5" customHeight="1">
      <c r="A323" s="93"/>
      <c r="B323" s="93"/>
      <c r="C323" s="93"/>
      <c r="D323" s="106"/>
      <c r="E323" s="93"/>
      <c r="F323" s="93"/>
      <c r="G323" s="93"/>
      <c r="H323" s="50"/>
      <c r="I323" s="93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22.5" customHeight="1">
      <c r="A324" s="93"/>
      <c r="B324" s="93"/>
      <c r="C324" s="93"/>
      <c r="D324" s="106"/>
      <c r="E324" s="93"/>
      <c r="F324" s="93"/>
      <c r="G324" s="93"/>
      <c r="H324" s="50"/>
      <c r="I324" s="93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22.5" customHeight="1">
      <c r="A325" s="93"/>
      <c r="B325" s="93"/>
      <c r="C325" s="93"/>
      <c r="D325" s="106"/>
      <c r="E325" s="93"/>
      <c r="F325" s="93"/>
      <c r="G325" s="93"/>
      <c r="H325" s="50"/>
      <c r="I325" s="93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22.5" customHeight="1">
      <c r="A326" s="93"/>
      <c r="B326" s="93"/>
      <c r="C326" s="93"/>
      <c r="D326" s="106"/>
      <c r="E326" s="93"/>
      <c r="F326" s="93"/>
      <c r="G326" s="93"/>
      <c r="H326" s="50"/>
      <c r="I326" s="93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22.5" customHeight="1">
      <c r="A327" s="93"/>
      <c r="B327" s="93"/>
      <c r="C327" s="93"/>
      <c r="D327" s="106"/>
      <c r="E327" s="93"/>
      <c r="F327" s="93"/>
      <c r="G327" s="93"/>
      <c r="H327" s="50"/>
      <c r="I327" s="93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22.5" customHeight="1">
      <c r="A328" s="93"/>
      <c r="B328" s="93"/>
      <c r="C328" s="93"/>
      <c r="D328" s="106"/>
      <c r="E328" s="93"/>
      <c r="F328" s="93"/>
      <c r="G328" s="93"/>
      <c r="H328" s="50"/>
      <c r="I328" s="93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22.5" customHeight="1">
      <c r="A329" s="93"/>
      <c r="B329" s="93"/>
      <c r="C329" s="93"/>
      <c r="D329" s="106"/>
      <c r="E329" s="93"/>
      <c r="F329" s="93"/>
      <c r="G329" s="93"/>
      <c r="H329" s="50"/>
      <c r="I329" s="93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22.5" customHeight="1">
      <c r="A330" s="93"/>
      <c r="B330" s="93"/>
      <c r="C330" s="93"/>
      <c r="D330" s="106"/>
      <c r="E330" s="93"/>
      <c r="F330" s="93"/>
      <c r="G330" s="93"/>
      <c r="H330" s="50"/>
      <c r="I330" s="93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22.5" customHeight="1">
      <c r="A331" s="93"/>
      <c r="B331" s="93"/>
      <c r="C331" s="93"/>
      <c r="D331" s="106"/>
      <c r="E331" s="93"/>
      <c r="F331" s="93"/>
      <c r="G331" s="93"/>
      <c r="H331" s="50"/>
      <c r="I331" s="93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22.5" customHeight="1">
      <c r="A332" s="93"/>
      <c r="B332" s="93"/>
      <c r="C332" s="93"/>
      <c r="D332" s="106"/>
      <c r="E332" s="93"/>
      <c r="F332" s="93"/>
      <c r="G332" s="93"/>
      <c r="H332" s="50"/>
      <c r="I332" s="93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22.5" customHeight="1">
      <c r="A333" s="93"/>
      <c r="B333" s="93"/>
      <c r="C333" s="93"/>
      <c r="D333" s="106"/>
      <c r="E333" s="93"/>
      <c r="F333" s="93"/>
      <c r="G333" s="93"/>
      <c r="H333" s="50"/>
      <c r="I333" s="93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22.5" customHeight="1">
      <c r="A334" s="93"/>
      <c r="B334" s="93"/>
      <c r="C334" s="93"/>
      <c r="D334" s="106"/>
      <c r="E334" s="93"/>
      <c r="F334" s="93"/>
      <c r="G334" s="93"/>
      <c r="H334" s="50"/>
      <c r="I334" s="93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22.5" customHeight="1">
      <c r="A335" s="93"/>
      <c r="B335" s="93"/>
      <c r="C335" s="93"/>
      <c r="D335" s="106"/>
      <c r="E335" s="93"/>
      <c r="F335" s="93"/>
      <c r="G335" s="93"/>
      <c r="H335" s="50"/>
      <c r="I335" s="93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22.5" customHeight="1">
      <c r="A336" s="93"/>
      <c r="B336" s="93"/>
      <c r="C336" s="93"/>
      <c r="D336" s="106"/>
      <c r="E336" s="93"/>
      <c r="F336" s="93"/>
      <c r="G336" s="93"/>
      <c r="H336" s="50"/>
      <c r="I336" s="93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22.5" customHeight="1">
      <c r="A337" s="93"/>
      <c r="B337" s="93"/>
      <c r="C337" s="93"/>
      <c r="D337" s="106"/>
      <c r="E337" s="93"/>
      <c r="F337" s="93"/>
      <c r="G337" s="93"/>
      <c r="H337" s="50"/>
      <c r="I337" s="93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22.5" customHeight="1">
      <c r="A338" s="93"/>
      <c r="B338" s="93"/>
      <c r="C338" s="93"/>
      <c r="D338" s="106"/>
      <c r="E338" s="93"/>
      <c r="F338" s="93"/>
      <c r="G338" s="93"/>
      <c r="H338" s="50"/>
      <c r="I338" s="93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22.5" customHeight="1">
      <c r="A339" s="93"/>
      <c r="B339" s="93"/>
      <c r="C339" s="93"/>
      <c r="D339" s="106"/>
      <c r="E339" s="93"/>
      <c r="F339" s="93"/>
      <c r="G339" s="93"/>
      <c r="H339" s="50"/>
      <c r="I339" s="93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22.5" customHeight="1">
      <c r="A340" s="93"/>
      <c r="B340" s="93"/>
      <c r="C340" s="93"/>
      <c r="D340" s="106"/>
      <c r="E340" s="93"/>
      <c r="F340" s="93"/>
      <c r="G340" s="93"/>
      <c r="H340" s="50"/>
      <c r="I340" s="93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22.5" customHeight="1">
      <c r="A341" s="93"/>
      <c r="B341" s="93"/>
      <c r="C341" s="93"/>
      <c r="D341" s="106"/>
      <c r="E341" s="93"/>
      <c r="F341" s="93"/>
      <c r="G341" s="93"/>
      <c r="H341" s="50"/>
      <c r="I341" s="93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22.5" customHeight="1">
      <c r="A342" s="93"/>
      <c r="B342" s="93"/>
      <c r="C342" s="93"/>
      <c r="D342" s="106"/>
      <c r="E342" s="93"/>
      <c r="F342" s="93"/>
      <c r="G342" s="93"/>
      <c r="H342" s="50"/>
      <c r="I342" s="93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22.5" customHeight="1">
      <c r="A343" s="93"/>
      <c r="B343" s="93"/>
      <c r="C343" s="93"/>
      <c r="D343" s="106"/>
      <c r="E343" s="93"/>
      <c r="F343" s="93"/>
      <c r="G343" s="93"/>
      <c r="H343" s="50"/>
      <c r="I343" s="93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22.5" customHeight="1">
      <c r="A344" s="93"/>
      <c r="B344" s="93"/>
      <c r="C344" s="93"/>
      <c r="D344" s="106"/>
      <c r="E344" s="93"/>
      <c r="F344" s="93"/>
      <c r="G344" s="93"/>
      <c r="H344" s="50"/>
      <c r="I344" s="93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22.5" customHeight="1">
      <c r="A345" s="93"/>
      <c r="B345" s="93"/>
      <c r="C345" s="93"/>
      <c r="D345" s="106"/>
      <c r="E345" s="93"/>
      <c r="F345" s="93"/>
      <c r="G345" s="93"/>
      <c r="H345" s="50"/>
      <c r="I345" s="93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22.5" customHeight="1">
      <c r="A346" s="93"/>
      <c r="B346" s="93"/>
      <c r="C346" s="93"/>
      <c r="D346" s="106"/>
      <c r="E346" s="93"/>
      <c r="F346" s="93"/>
      <c r="G346" s="93"/>
      <c r="H346" s="50"/>
      <c r="I346" s="93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22.5" customHeight="1">
      <c r="A347" s="93"/>
      <c r="B347" s="93"/>
      <c r="C347" s="93"/>
      <c r="D347" s="106"/>
      <c r="E347" s="93"/>
      <c r="F347" s="93"/>
      <c r="G347" s="93"/>
      <c r="H347" s="50"/>
      <c r="I347" s="93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22.5" customHeight="1">
      <c r="A348" s="93"/>
      <c r="B348" s="93"/>
      <c r="C348" s="93"/>
      <c r="D348" s="106"/>
      <c r="E348" s="93"/>
      <c r="F348" s="93"/>
      <c r="G348" s="93"/>
      <c r="H348" s="50"/>
      <c r="I348" s="93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22.5" customHeight="1">
      <c r="A349" s="93"/>
      <c r="B349" s="93"/>
      <c r="C349" s="93"/>
      <c r="D349" s="106"/>
      <c r="E349" s="93"/>
      <c r="F349" s="93"/>
      <c r="G349" s="93"/>
      <c r="H349" s="50"/>
      <c r="I349" s="93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22.5" customHeight="1">
      <c r="A350" s="93"/>
      <c r="B350" s="93"/>
      <c r="C350" s="93"/>
      <c r="D350" s="106"/>
      <c r="E350" s="93"/>
      <c r="F350" s="93"/>
      <c r="G350" s="93"/>
      <c r="H350" s="50"/>
      <c r="I350" s="93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22.5" customHeight="1">
      <c r="A351" s="93"/>
      <c r="B351" s="93"/>
      <c r="C351" s="93"/>
      <c r="D351" s="106"/>
      <c r="E351" s="93"/>
      <c r="F351" s="93"/>
      <c r="G351" s="93"/>
      <c r="H351" s="50"/>
      <c r="I351" s="93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22.5" customHeight="1">
      <c r="A352" s="93"/>
      <c r="B352" s="93"/>
      <c r="C352" s="93"/>
      <c r="D352" s="106"/>
      <c r="E352" s="93"/>
      <c r="F352" s="93"/>
      <c r="G352" s="93"/>
      <c r="H352" s="50"/>
      <c r="I352" s="93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22.5" customHeight="1">
      <c r="A353" s="93"/>
      <c r="B353" s="93"/>
      <c r="C353" s="93"/>
      <c r="D353" s="106"/>
      <c r="E353" s="93"/>
      <c r="F353" s="93"/>
      <c r="G353" s="93"/>
      <c r="H353" s="50"/>
      <c r="I353" s="93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22.5" customHeight="1">
      <c r="A354" s="93"/>
      <c r="B354" s="93"/>
      <c r="C354" s="93"/>
      <c r="D354" s="106"/>
      <c r="E354" s="93"/>
      <c r="F354" s="93"/>
      <c r="G354" s="93"/>
      <c r="H354" s="50"/>
      <c r="I354" s="93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22.5" customHeight="1">
      <c r="A355" s="93"/>
      <c r="B355" s="93"/>
      <c r="C355" s="93"/>
      <c r="D355" s="106"/>
      <c r="E355" s="93"/>
      <c r="F355" s="93"/>
      <c r="G355" s="93"/>
      <c r="H355" s="50"/>
      <c r="I355" s="93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22.5" customHeight="1">
      <c r="A356" s="93"/>
      <c r="B356" s="93"/>
      <c r="C356" s="93"/>
      <c r="D356" s="106"/>
      <c r="E356" s="93"/>
      <c r="F356" s="93"/>
      <c r="G356" s="93"/>
      <c r="H356" s="50"/>
      <c r="I356" s="93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22.5" customHeight="1">
      <c r="A357" s="93"/>
      <c r="B357" s="93"/>
      <c r="C357" s="93"/>
      <c r="D357" s="106"/>
      <c r="E357" s="93"/>
      <c r="F357" s="93"/>
      <c r="G357" s="93"/>
      <c r="H357" s="50"/>
      <c r="I357" s="93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22.5" customHeight="1">
      <c r="A358" s="93"/>
      <c r="B358" s="93"/>
      <c r="C358" s="93"/>
      <c r="D358" s="106"/>
      <c r="E358" s="93"/>
      <c r="F358" s="93"/>
      <c r="G358" s="93"/>
      <c r="H358" s="50"/>
      <c r="I358" s="93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22.5" customHeight="1">
      <c r="A359" s="93"/>
      <c r="B359" s="93"/>
      <c r="C359" s="93"/>
      <c r="D359" s="106"/>
      <c r="E359" s="93"/>
      <c r="F359" s="93"/>
      <c r="G359" s="93"/>
      <c r="H359" s="50"/>
      <c r="I359" s="93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22.5" customHeight="1">
      <c r="A360" s="93"/>
      <c r="B360" s="93"/>
      <c r="C360" s="93"/>
      <c r="D360" s="106"/>
      <c r="E360" s="93"/>
      <c r="F360" s="93"/>
      <c r="G360" s="93"/>
      <c r="H360" s="50"/>
      <c r="I360" s="93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22.5" customHeight="1">
      <c r="A361" s="93"/>
      <c r="B361" s="93"/>
      <c r="C361" s="93"/>
      <c r="D361" s="106"/>
      <c r="E361" s="93"/>
      <c r="F361" s="93"/>
      <c r="G361" s="93"/>
      <c r="H361" s="50"/>
      <c r="I361" s="93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22.5" customHeight="1">
      <c r="A362" s="93"/>
      <c r="B362" s="93"/>
      <c r="C362" s="93"/>
      <c r="D362" s="106"/>
      <c r="E362" s="93"/>
      <c r="F362" s="93"/>
      <c r="G362" s="93"/>
      <c r="H362" s="50"/>
      <c r="I362" s="93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22.5" customHeight="1">
      <c r="A363" s="93"/>
      <c r="B363" s="93"/>
      <c r="C363" s="93"/>
      <c r="D363" s="106"/>
      <c r="E363" s="93"/>
      <c r="F363" s="93"/>
      <c r="G363" s="93"/>
      <c r="H363" s="50"/>
      <c r="I363" s="93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22.5" customHeight="1">
      <c r="A364" s="93"/>
      <c r="B364" s="93"/>
      <c r="C364" s="93"/>
      <c r="D364" s="106"/>
      <c r="E364" s="93"/>
      <c r="F364" s="93"/>
      <c r="G364" s="93"/>
      <c r="H364" s="50"/>
      <c r="I364" s="93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22.5" customHeight="1">
      <c r="A365" s="93"/>
      <c r="B365" s="93"/>
      <c r="C365" s="93"/>
      <c r="D365" s="106"/>
      <c r="E365" s="93"/>
      <c r="F365" s="93"/>
      <c r="G365" s="93"/>
      <c r="H365" s="50"/>
      <c r="I365" s="93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22.5" customHeight="1">
      <c r="A366" s="93"/>
      <c r="B366" s="93"/>
      <c r="C366" s="93"/>
      <c r="D366" s="106"/>
      <c r="E366" s="93"/>
      <c r="F366" s="93"/>
      <c r="G366" s="93"/>
      <c r="H366" s="50"/>
      <c r="I366" s="93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22.5" customHeight="1">
      <c r="A367" s="93"/>
      <c r="B367" s="93"/>
      <c r="C367" s="93"/>
      <c r="D367" s="106"/>
      <c r="E367" s="93"/>
      <c r="F367" s="93"/>
      <c r="G367" s="93"/>
      <c r="H367" s="50"/>
      <c r="I367" s="93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22.5" customHeight="1">
      <c r="A368" s="93"/>
      <c r="B368" s="93"/>
      <c r="C368" s="93"/>
      <c r="D368" s="106"/>
      <c r="E368" s="93"/>
      <c r="F368" s="93"/>
      <c r="G368" s="93"/>
      <c r="H368" s="50"/>
      <c r="I368" s="93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22.5" customHeight="1">
      <c r="A369" s="93"/>
      <c r="B369" s="93"/>
      <c r="C369" s="93"/>
      <c r="D369" s="106"/>
      <c r="E369" s="93"/>
      <c r="F369" s="93"/>
      <c r="G369" s="93"/>
      <c r="H369" s="50"/>
      <c r="I369" s="93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22.5" customHeight="1">
      <c r="A370" s="93"/>
      <c r="B370" s="93"/>
      <c r="C370" s="93"/>
      <c r="D370" s="106"/>
      <c r="E370" s="93"/>
      <c r="F370" s="93"/>
      <c r="G370" s="93"/>
      <c r="H370" s="50"/>
      <c r="I370" s="93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22.5" customHeight="1">
      <c r="A371" s="93"/>
      <c r="B371" s="93"/>
      <c r="C371" s="93"/>
      <c r="D371" s="106"/>
      <c r="E371" s="93"/>
      <c r="F371" s="93"/>
      <c r="G371" s="93"/>
      <c r="H371" s="50"/>
      <c r="I371" s="93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22.5" customHeight="1">
      <c r="A372" s="93"/>
      <c r="B372" s="93"/>
      <c r="C372" s="93"/>
      <c r="D372" s="106"/>
      <c r="E372" s="93"/>
      <c r="F372" s="93"/>
      <c r="G372" s="93"/>
      <c r="H372" s="50"/>
      <c r="I372" s="93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22.5" customHeight="1">
      <c r="A373" s="93"/>
      <c r="B373" s="93"/>
      <c r="C373" s="93"/>
      <c r="D373" s="106"/>
      <c r="E373" s="93"/>
      <c r="F373" s="93"/>
      <c r="G373" s="93"/>
      <c r="H373" s="50"/>
      <c r="I373" s="93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22.5" customHeight="1">
      <c r="A374" s="93"/>
      <c r="B374" s="93"/>
      <c r="C374" s="93"/>
      <c r="D374" s="106"/>
      <c r="E374" s="93"/>
      <c r="F374" s="93"/>
      <c r="G374" s="93"/>
      <c r="H374" s="50"/>
      <c r="I374" s="93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22.5" customHeight="1">
      <c r="A375" s="93"/>
      <c r="B375" s="93"/>
      <c r="C375" s="93"/>
      <c r="D375" s="106"/>
      <c r="E375" s="93"/>
      <c r="F375" s="93"/>
      <c r="G375" s="93"/>
      <c r="H375" s="50"/>
      <c r="I375" s="93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22.5" customHeight="1">
      <c r="A376" s="93"/>
      <c r="B376" s="93"/>
      <c r="C376" s="93"/>
      <c r="D376" s="106"/>
      <c r="E376" s="93"/>
      <c r="F376" s="93"/>
      <c r="G376" s="93"/>
      <c r="H376" s="50"/>
      <c r="I376" s="93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22.5" customHeight="1">
      <c r="A377" s="93"/>
      <c r="B377" s="93"/>
      <c r="C377" s="93"/>
      <c r="D377" s="106"/>
      <c r="E377" s="93"/>
      <c r="F377" s="93"/>
      <c r="G377" s="93"/>
      <c r="H377" s="50"/>
      <c r="I377" s="93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22.5" customHeight="1">
      <c r="A378" s="93"/>
      <c r="B378" s="93"/>
      <c r="C378" s="93"/>
      <c r="D378" s="106"/>
      <c r="E378" s="93"/>
      <c r="F378" s="93"/>
      <c r="G378" s="93"/>
      <c r="H378" s="50"/>
      <c r="I378" s="93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22.5" customHeight="1">
      <c r="A379" s="93"/>
      <c r="B379" s="93"/>
      <c r="C379" s="93"/>
      <c r="D379" s="106"/>
      <c r="E379" s="93"/>
      <c r="F379" s="93"/>
      <c r="G379" s="93"/>
      <c r="H379" s="50"/>
      <c r="I379" s="93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22.5" customHeight="1">
      <c r="A380" s="93"/>
      <c r="B380" s="93"/>
      <c r="C380" s="93"/>
      <c r="D380" s="106"/>
      <c r="E380" s="93"/>
      <c r="F380" s="93"/>
      <c r="G380" s="93"/>
      <c r="H380" s="50"/>
      <c r="I380" s="93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22.5" customHeight="1">
      <c r="A381" s="93"/>
      <c r="B381" s="93"/>
      <c r="C381" s="93"/>
      <c r="D381" s="106"/>
      <c r="E381" s="93"/>
      <c r="F381" s="93"/>
      <c r="G381" s="93"/>
      <c r="H381" s="50"/>
      <c r="I381" s="93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22.5" customHeight="1">
      <c r="A382" s="93"/>
      <c r="B382" s="93"/>
      <c r="C382" s="93"/>
      <c r="D382" s="106"/>
      <c r="E382" s="93"/>
      <c r="F382" s="93"/>
      <c r="G382" s="93"/>
      <c r="H382" s="50"/>
      <c r="I382" s="93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22.5" customHeight="1">
      <c r="A383" s="93"/>
      <c r="B383" s="93"/>
      <c r="C383" s="93"/>
      <c r="D383" s="106"/>
      <c r="E383" s="93"/>
      <c r="F383" s="93"/>
      <c r="G383" s="93"/>
      <c r="H383" s="50"/>
      <c r="I383" s="93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22.5" customHeight="1">
      <c r="A384" s="93"/>
      <c r="B384" s="93"/>
      <c r="C384" s="93"/>
      <c r="D384" s="106"/>
      <c r="E384" s="93"/>
      <c r="F384" s="93"/>
      <c r="G384" s="93"/>
      <c r="H384" s="50"/>
      <c r="I384" s="93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22.5" customHeight="1">
      <c r="A385" s="93"/>
      <c r="B385" s="93"/>
      <c r="C385" s="93"/>
      <c r="D385" s="106"/>
      <c r="E385" s="93"/>
      <c r="F385" s="93"/>
      <c r="G385" s="93"/>
      <c r="H385" s="50"/>
      <c r="I385" s="93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22.5" customHeight="1">
      <c r="A386" s="93"/>
      <c r="B386" s="93"/>
      <c r="C386" s="93"/>
      <c r="D386" s="106"/>
      <c r="E386" s="93"/>
      <c r="F386" s="93"/>
      <c r="G386" s="93"/>
      <c r="H386" s="50"/>
      <c r="I386" s="93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22.5" customHeight="1">
      <c r="A387" s="93"/>
      <c r="B387" s="93"/>
      <c r="C387" s="93"/>
      <c r="D387" s="106"/>
      <c r="E387" s="93"/>
      <c r="F387" s="93"/>
      <c r="G387" s="93"/>
      <c r="H387" s="50"/>
      <c r="I387" s="93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22.5" customHeight="1">
      <c r="A388" s="93"/>
      <c r="B388" s="93"/>
      <c r="C388" s="93"/>
      <c r="D388" s="106"/>
      <c r="E388" s="93"/>
      <c r="F388" s="93"/>
      <c r="G388" s="93"/>
      <c r="H388" s="50"/>
      <c r="I388" s="93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22.5" customHeight="1">
      <c r="A389" s="93"/>
      <c r="B389" s="93"/>
      <c r="C389" s="93"/>
      <c r="D389" s="106"/>
      <c r="E389" s="93"/>
      <c r="F389" s="93"/>
      <c r="G389" s="93"/>
      <c r="H389" s="50"/>
      <c r="I389" s="93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22.5" customHeight="1">
      <c r="A390" s="93"/>
      <c r="B390" s="93"/>
      <c r="C390" s="93"/>
      <c r="D390" s="106"/>
      <c r="E390" s="93"/>
      <c r="F390" s="93"/>
      <c r="G390" s="93"/>
      <c r="H390" s="50"/>
      <c r="I390" s="93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22.5" customHeight="1">
      <c r="A391" s="93"/>
      <c r="B391" s="93"/>
      <c r="C391" s="93"/>
      <c r="D391" s="106"/>
      <c r="E391" s="93"/>
      <c r="F391" s="93"/>
      <c r="G391" s="93"/>
      <c r="H391" s="50"/>
      <c r="I391" s="93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22.5" customHeight="1">
      <c r="A392" s="93"/>
      <c r="B392" s="93"/>
      <c r="C392" s="93"/>
      <c r="D392" s="106"/>
      <c r="E392" s="93"/>
      <c r="F392" s="93"/>
      <c r="G392" s="93"/>
      <c r="H392" s="50"/>
      <c r="I392" s="93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22.5" customHeight="1">
      <c r="A393" s="93"/>
      <c r="B393" s="93"/>
      <c r="C393" s="93"/>
      <c r="D393" s="106"/>
      <c r="E393" s="93"/>
      <c r="F393" s="93"/>
      <c r="G393" s="93"/>
      <c r="H393" s="50"/>
      <c r="I393" s="93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22.5" customHeight="1">
      <c r="A394" s="93"/>
      <c r="B394" s="93"/>
      <c r="C394" s="93"/>
      <c r="D394" s="106"/>
      <c r="E394" s="93"/>
      <c r="F394" s="93"/>
      <c r="G394" s="93"/>
      <c r="H394" s="50"/>
      <c r="I394" s="93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22.5" customHeight="1">
      <c r="A395" s="93"/>
      <c r="B395" s="93"/>
      <c r="C395" s="93"/>
      <c r="D395" s="106"/>
      <c r="E395" s="93"/>
      <c r="F395" s="93"/>
      <c r="G395" s="93"/>
      <c r="H395" s="50"/>
      <c r="I395" s="93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22.5" customHeight="1">
      <c r="A396" s="93"/>
      <c r="B396" s="93"/>
      <c r="C396" s="93"/>
      <c r="D396" s="106"/>
      <c r="E396" s="93"/>
      <c r="F396" s="93"/>
      <c r="G396" s="93"/>
      <c r="H396" s="50"/>
      <c r="I396" s="93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22.5" customHeight="1">
      <c r="A397" s="93"/>
      <c r="B397" s="93"/>
      <c r="C397" s="93"/>
      <c r="D397" s="106"/>
      <c r="E397" s="93"/>
      <c r="F397" s="93"/>
      <c r="G397" s="93"/>
      <c r="H397" s="50"/>
      <c r="I397" s="93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22.5" customHeight="1">
      <c r="A398" s="93"/>
      <c r="B398" s="93"/>
      <c r="C398" s="93"/>
      <c r="D398" s="106"/>
      <c r="E398" s="93"/>
      <c r="F398" s="93"/>
      <c r="G398" s="93"/>
      <c r="H398" s="50"/>
      <c r="I398" s="93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22.5" customHeight="1">
      <c r="A399" s="93"/>
      <c r="B399" s="93"/>
      <c r="C399" s="93"/>
      <c r="D399" s="106"/>
      <c r="E399" s="93"/>
      <c r="F399" s="93"/>
      <c r="G399" s="93"/>
      <c r="H399" s="50"/>
      <c r="I399" s="93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22.5" customHeight="1">
      <c r="A400" s="93"/>
      <c r="B400" s="93"/>
      <c r="C400" s="93"/>
      <c r="D400" s="106"/>
      <c r="E400" s="93"/>
      <c r="F400" s="93"/>
      <c r="G400" s="93"/>
      <c r="H400" s="50"/>
      <c r="I400" s="93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22.5" customHeight="1">
      <c r="A401" s="93"/>
      <c r="B401" s="93"/>
      <c r="C401" s="93"/>
      <c r="D401" s="106"/>
      <c r="E401" s="93"/>
      <c r="F401" s="93"/>
      <c r="G401" s="93"/>
      <c r="H401" s="50"/>
      <c r="I401" s="93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22.5" customHeight="1">
      <c r="A402" s="93"/>
      <c r="B402" s="93"/>
      <c r="C402" s="93"/>
      <c r="D402" s="106"/>
      <c r="E402" s="93"/>
      <c r="F402" s="93"/>
      <c r="G402" s="93"/>
      <c r="H402" s="50"/>
      <c r="I402" s="93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22.5" customHeight="1">
      <c r="A403" s="93"/>
      <c r="B403" s="93"/>
      <c r="C403" s="93"/>
      <c r="D403" s="106"/>
      <c r="E403" s="93"/>
      <c r="F403" s="93"/>
      <c r="G403" s="93"/>
      <c r="H403" s="50"/>
      <c r="I403" s="93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22.5" customHeight="1">
      <c r="A404" s="93"/>
      <c r="B404" s="93"/>
      <c r="C404" s="93"/>
      <c r="D404" s="106"/>
      <c r="E404" s="93"/>
      <c r="F404" s="93"/>
      <c r="G404" s="93"/>
      <c r="H404" s="50"/>
      <c r="I404" s="93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22.5" customHeight="1">
      <c r="A405" s="93"/>
      <c r="B405" s="93"/>
      <c r="C405" s="93"/>
      <c r="D405" s="106"/>
      <c r="E405" s="93"/>
      <c r="F405" s="93"/>
      <c r="G405" s="93"/>
      <c r="H405" s="50"/>
      <c r="I405" s="93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22.5" customHeight="1">
      <c r="A406" s="93"/>
      <c r="B406" s="93"/>
      <c r="C406" s="93"/>
      <c r="D406" s="106"/>
      <c r="E406" s="93"/>
      <c r="F406" s="93"/>
      <c r="G406" s="93"/>
      <c r="H406" s="50"/>
      <c r="I406" s="93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22.5" customHeight="1">
      <c r="A407" s="93"/>
      <c r="B407" s="93"/>
      <c r="C407" s="93"/>
      <c r="D407" s="106"/>
      <c r="E407" s="93"/>
      <c r="F407" s="93"/>
      <c r="G407" s="93"/>
      <c r="H407" s="50"/>
      <c r="I407" s="93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22.5" customHeight="1">
      <c r="A408" s="93"/>
      <c r="B408" s="93"/>
      <c r="C408" s="93"/>
      <c r="D408" s="106"/>
      <c r="E408" s="93"/>
      <c r="F408" s="93"/>
      <c r="G408" s="93"/>
      <c r="H408" s="50"/>
      <c r="I408" s="93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22.5" customHeight="1">
      <c r="A409" s="93"/>
      <c r="B409" s="93"/>
      <c r="C409" s="93"/>
      <c r="D409" s="106"/>
      <c r="E409" s="93"/>
      <c r="F409" s="93"/>
      <c r="G409" s="93"/>
      <c r="H409" s="50"/>
      <c r="I409" s="93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22.5" customHeight="1">
      <c r="A410" s="93"/>
      <c r="B410" s="93"/>
      <c r="C410" s="93"/>
      <c r="D410" s="106"/>
      <c r="E410" s="93"/>
      <c r="F410" s="93"/>
      <c r="G410" s="93"/>
      <c r="H410" s="50"/>
      <c r="I410" s="93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22.5" customHeight="1">
      <c r="A411" s="93"/>
      <c r="B411" s="93"/>
      <c r="C411" s="93"/>
      <c r="D411" s="106"/>
      <c r="E411" s="93"/>
      <c r="F411" s="93"/>
      <c r="G411" s="93"/>
      <c r="H411" s="50"/>
      <c r="I411" s="93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22.5" customHeight="1">
      <c r="A412" s="93"/>
      <c r="B412" s="93"/>
      <c r="C412" s="93"/>
      <c r="D412" s="106"/>
      <c r="E412" s="93"/>
      <c r="F412" s="93"/>
      <c r="G412" s="93"/>
      <c r="H412" s="50"/>
      <c r="I412" s="93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22.5" customHeight="1">
      <c r="A413" s="93"/>
      <c r="B413" s="93"/>
      <c r="C413" s="93"/>
      <c r="D413" s="106"/>
      <c r="E413" s="93"/>
      <c r="F413" s="93"/>
      <c r="G413" s="93"/>
      <c r="H413" s="50"/>
      <c r="I413" s="93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22.5" customHeight="1">
      <c r="A414" s="93"/>
      <c r="B414" s="93"/>
      <c r="C414" s="93"/>
      <c r="D414" s="106"/>
      <c r="E414" s="93"/>
      <c r="F414" s="93"/>
      <c r="G414" s="93"/>
      <c r="H414" s="50"/>
      <c r="I414" s="93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22.5" customHeight="1">
      <c r="A415" s="93"/>
      <c r="B415" s="93"/>
      <c r="C415" s="93"/>
      <c r="D415" s="106"/>
      <c r="E415" s="93"/>
      <c r="F415" s="93"/>
      <c r="G415" s="93"/>
      <c r="H415" s="50"/>
      <c r="I415" s="93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22.5" customHeight="1">
      <c r="A416" s="93"/>
      <c r="B416" s="93"/>
      <c r="C416" s="93"/>
      <c r="D416" s="106"/>
      <c r="E416" s="93"/>
      <c r="F416" s="93"/>
      <c r="G416" s="93"/>
      <c r="H416" s="50"/>
      <c r="I416" s="93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22.5" customHeight="1">
      <c r="A417" s="93"/>
      <c r="B417" s="93"/>
      <c r="C417" s="93"/>
      <c r="D417" s="106"/>
      <c r="E417" s="93"/>
      <c r="F417" s="93"/>
      <c r="G417" s="93"/>
      <c r="H417" s="50"/>
      <c r="I417" s="93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22.5" customHeight="1">
      <c r="A418" s="93"/>
      <c r="B418" s="93"/>
      <c r="C418" s="93"/>
      <c r="D418" s="106"/>
      <c r="E418" s="93"/>
      <c r="F418" s="93"/>
      <c r="G418" s="93"/>
      <c r="H418" s="50"/>
      <c r="I418" s="93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22.5" customHeight="1">
      <c r="A419" s="93"/>
      <c r="B419" s="93"/>
      <c r="C419" s="93"/>
      <c r="D419" s="106"/>
      <c r="E419" s="93"/>
      <c r="F419" s="93"/>
      <c r="G419" s="93"/>
      <c r="H419" s="50"/>
      <c r="I419" s="9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22.5" customHeight="1">
      <c r="A420" s="93"/>
      <c r="B420" s="93"/>
      <c r="C420" s="93"/>
      <c r="D420" s="106"/>
      <c r="E420" s="93"/>
      <c r="F420" s="93"/>
      <c r="G420" s="93"/>
      <c r="H420" s="50"/>
      <c r="I420" s="9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22.5" customHeight="1">
      <c r="A421" s="93"/>
      <c r="B421" s="93"/>
      <c r="C421" s="93"/>
      <c r="D421" s="106"/>
      <c r="E421" s="93"/>
      <c r="F421" s="93"/>
      <c r="G421" s="93"/>
      <c r="H421" s="50"/>
      <c r="I421" s="9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22.5" customHeight="1">
      <c r="A422" s="93"/>
      <c r="B422" s="93"/>
      <c r="C422" s="93"/>
      <c r="D422" s="106"/>
      <c r="E422" s="93"/>
      <c r="F422" s="93"/>
      <c r="G422" s="93"/>
      <c r="H422" s="50"/>
      <c r="I422" s="9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22.5" customHeight="1">
      <c r="A423" s="93"/>
      <c r="B423" s="93"/>
      <c r="C423" s="93"/>
      <c r="D423" s="106"/>
      <c r="E423" s="93"/>
      <c r="F423" s="93"/>
      <c r="G423" s="93"/>
      <c r="H423" s="50"/>
      <c r="I423" s="9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22.5" customHeight="1">
      <c r="A424" s="93"/>
      <c r="B424" s="93"/>
      <c r="C424" s="93"/>
      <c r="D424" s="106"/>
      <c r="E424" s="93"/>
      <c r="F424" s="93"/>
      <c r="G424" s="93"/>
      <c r="H424" s="50"/>
      <c r="I424" s="9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22.5" customHeight="1">
      <c r="A425" s="93"/>
      <c r="B425" s="93"/>
      <c r="C425" s="93"/>
      <c r="D425" s="106"/>
      <c r="E425" s="93"/>
      <c r="F425" s="93"/>
      <c r="G425" s="93"/>
      <c r="H425" s="50"/>
      <c r="I425" s="9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22.5" customHeight="1">
      <c r="A426" s="93"/>
      <c r="B426" s="93"/>
      <c r="C426" s="93"/>
      <c r="D426" s="106"/>
      <c r="E426" s="93"/>
      <c r="F426" s="93"/>
      <c r="G426" s="93"/>
      <c r="H426" s="50"/>
      <c r="I426" s="9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22.5" customHeight="1">
      <c r="A427" s="93"/>
      <c r="B427" s="93"/>
      <c r="C427" s="93"/>
      <c r="D427" s="106"/>
      <c r="E427" s="93"/>
      <c r="F427" s="93"/>
      <c r="G427" s="93"/>
      <c r="H427" s="50"/>
      <c r="I427" s="9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22.5" customHeight="1">
      <c r="A428" s="93"/>
      <c r="B428" s="93"/>
      <c r="C428" s="93"/>
      <c r="D428" s="106"/>
      <c r="E428" s="93"/>
      <c r="F428" s="93"/>
      <c r="G428" s="93"/>
      <c r="H428" s="50"/>
      <c r="I428" s="9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22.5" customHeight="1">
      <c r="A429" s="93"/>
      <c r="B429" s="93"/>
      <c r="C429" s="93"/>
      <c r="D429" s="106"/>
      <c r="E429" s="93"/>
      <c r="F429" s="93"/>
      <c r="G429" s="93"/>
      <c r="H429" s="50"/>
      <c r="I429" s="9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22.5" customHeight="1">
      <c r="A430" s="93"/>
      <c r="B430" s="93"/>
      <c r="C430" s="93"/>
      <c r="D430" s="106"/>
      <c r="E430" s="93"/>
      <c r="F430" s="93"/>
      <c r="G430" s="93"/>
      <c r="H430" s="50"/>
      <c r="I430" s="9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22.5" customHeight="1">
      <c r="A431" s="93"/>
      <c r="B431" s="93"/>
      <c r="C431" s="93"/>
      <c r="D431" s="106"/>
      <c r="E431" s="93"/>
      <c r="F431" s="93"/>
      <c r="G431" s="93"/>
      <c r="H431" s="50"/>
      <c r="I431" s="9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22.5" customHeight="1">
      <c r="A432" s="93"/>
      <c r="B432" s="93"/>
      <c r="C432" s="93"/>
      <c r="D432" s="106"/>
      <c r="E432" s="93"/>
      <c r="F432" s="93"/>
      <c r="G432" s="93"/>
      <c r="H432" s="50"/>
      <c r="I432" s="9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22.5" customHeight="1">
      <c r="A433" s="93"/>
      <c r="B433" s="93"/>
      <c r="C433" s="93"/>
      <c r="D433" s="106"/>
      <c r="E433" s="93"/>
      <c r="F433" s="93"/>
      <c r="G433" s="93"/>
      <c r="H433" s="50"/>
      <c r="I433" s="9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22.5" customHeight="1">
      <c r="A434" s="93"/>
      <c r="B434" s="93"/>
      <c r="C434" s="93"/>
      <c r="D434" s="106"/>
      <c r="E434" s="93"/>
      <c r="F434" s="93"/>
      <c r="G434" s="93"/>
      <c r="H434" s="50"/>
      <c r="I434" s="9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22.5" customHeight="1">
      <c r="A435" s="93"/>
      <c r="B435" s="93"/>
      <c r="C435" s="93"/>
      <c r="D435" s="106"/>
      <c r="E435" s="93"/>
      <c r="F435" s="93"/>
      <c r="G435" s="93"/>
      <c r="H435" s="50"/>
      <c r="I435" s="9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22.5" customHeight="1">
      <c r="A436" s="93"/>
      <c r="B436" s="93"/>
      <c r="C436" s="93"/>
      <c r="D436" s="106"/>
      <c r="E436" s="93"/>
      <c r="F436" s="93"/>
      <c r="G436" s="93"/>
      <c r="H436" s="50"/>
      <c r="I436" s="9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22.5" customHeight="1">
      <c r="A437" s="93"/>
      <c r="B437" s="93"/>
      <c r="C437" s="93"/>
      <c r="D437" s="106"/>
      <c r="E437" s="93"/>
      <c r="F437" s="93"/>
      <c r="G437" s="93"/>
      <c r="H437" s="50"/>
      <c r="I437" s="9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22.5" customHeight="1">
      <c r="A438" s="93"/>
      <c r="B438" s="93"/>
      <c r="C438" s="93"/>
      <c r="D438" s="106"/>
      <c r="E438" s="93"/>
      <c r="F438" s="93"/>
      <c r="G438" s="93"/>
      <c r="H438" s="50"/>
      <c r="I438" s="9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22.5" customHeight="1">
      <c r="A439" s="93"/>
      <c r="B439" s="93"/>
      <c r="C439" s="93"/>
      <c r="D439" s="106"/>
      <c r="E439" s="93"/>
      <c r="F439" s="93"/>
      <c r="G439" s="93"/>
      <c r="H439" s="50"/>
      <c r="I439" s="9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22.5" customHeight="1">
      <c r="A440" s="93"/>
      <c r="B440" s="93"/>
      <c r="C440" s="93"/>
      <c r="D440" s="106"/>
      <c r="E440" s="93"/>
      <c r="F440" s="93"/>
      <c r="G440" s="93"/>
      <c r="H440" s="50"/>
      <c r="I440" s="9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22.5" customHeight="1">
      <c r="A441" s="93"/>
      <c r="B441" s="93"/>
      <c r="C441" s="93"/>
      <c r="D441" s="106"/>
      <c r="E441" s="93"/>
      <c r="F441" s="93"/>
      <c r="G441" s="93"/>
      <c r="H441" s="50"/>
      <c r="I441" s="9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22.5" customHeight="1">
      <c r="A442" s="93"/>
      <c r="B442" s="93"/>
      <c r="C442" s="93"/>
      <c r="D442" s="106"/>
      <c r="E442" s="93"/>
      <c r="F442" s="93"/>
      <c r="G442" s="93"/>
      <c r="H442" s="50"/>
      <c r="I442" s="9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22.5" customHeight="1">
      <c r="A443" s="93"/>
      <c r="B443" s="93"/>
      <c r="C443" s="93"/>
      <c r="D443" s="106"/>
      <c r="E443" s="93"/>
      <c r="F443" s="93"/>
      <c r="G443" s="93"/>
      <c r="H443" s="50"/>
      <c r="I443" s="9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22.5" customHeight="1">
      <c r="A444" s="93"/>
      <c r="B444" s="93"/>
      <c r="C444" s="93"/>
      <c r="D444" s="106"/>
      <c r="E444" s="93"/>
      <c r="F444" s="93"/>
      <c r="G444" s="93"/>
      <c r="H444" s="50"/>
      <c r="I444" s="9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22.5" customHeight="1">
      <c r="A445" s="93"/>
      <c r="B445" s="93"/>
      <c r="C445" s="93"/>
      <c r="D445" s="106"/>
      <c r="E445" s="93"/>
      <c r="F445" s="93"/>
      <c r="G445" s="93"/>
      <c r="H445" s="50"/>
      <c r="I445" s="9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22.5" customHeight="1">
      <c r="A446" s="93"/>
      <c r="B446" s="93"/>
      <c r="C446" s="93"/>
      <c r="D446" s="106"/>
      <c r="E446" s="93"/>
      <c r="F446" s="93"/>
      <c r="G446" s="93"/>
      <c r="H446" s="50"/>
      <c r="I446" s="9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22.5" customHeight="1">
      <c r="A447" s="93"/>
      <c r="B447" s="93"/>
      <c r="C447" s="93"/>
      <c r="D447" s="106"/>
      <c r="E447" s="93"/>
      <c r="F447" s="93"/>
      <c r="G447" s="93"/>
      <c r="H447" s="50"/>
      <c r="I447" s="9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22.5" customHeight="1">
      <c r="A448" s="93"/>
      <c r="B448" s="93"/>
      <c r="C448" s="93"/>
      <c r="D448" s="106"/>
      <c r="E448" s="93"/>
      <c r="F448" s="93"/>
      <c r="G448" s="93"/>
      <c r="H448" s="50"/>
      <c r="I448" s="9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22.5" customHeight="1">
      <c r="A449" s="93"/>
      <c r="B449" s="93"/>
      <c r="C449" s="93"/>
      <c r="D449" s="106"/>
      <c r="E449" s="93"/>
      <c r="F449" s="93"/>
      <c r="G449" s="93"/>
      <c r="H449" s="50"/>
      <c r="I449" s="9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22.5" customHeight="1">
      <c r="A450" s="93"/>
      <c r="B450" s="93"/>
      <c r="C450" s="93"/>
      <c r="D450" s="106"/>
      <c r="E450" s="93"/>
      <c r="F450" s="93"/>
      <c r="G450" s="93"/>
      <c r="H450" s="50"/>
      <c r="I450" s="9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22.5" customHeight="1">
      <c r="A451" s="93"/>
      <c r="B451" s="93"/>
      <c r="C451" s="93"/>
      <c r="D451" s="106"/>
      <c r="E451" s="93"/>
      <c r="F451" s="93"/>
      <c r="G451" s="93"/>
      <c r="H451" s="50"/>
      <c r="I451" s="9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22.5" customHeight="1">
      <c r="A452" s="93"/>
      <c r="B452" s="93"/>
      <c r="C452" s="93"/>
      <c r="D452" s="106"/>
      <c r="E452" s="93"/>
      <c r="F452" s="93"/>
      <c r="G452" s="93"/>
      <c r="H452" s="50"/>
      <c r="I452" s="9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22.5" customHeight="1">
      <c r="A453" s="93"/>
      <c r="B453" s="93"/>
      <c r="C453" s="93"/>
      <c r="D453" s="106"/>
      <c r="E453" s="93"/>
      <c r="F453" s="93"/>
      <c r="G453" s="93"/>
      <c r="H453" s="50"/>
      <c r="I453" s="9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22.5" customHeight="1">
      <c r="A454" s="93"/>
      <c r="B454" s="93"/>
      <c r="C454" s="93"/>
      <c r="D454" s="106"/>
      <c r="E454" s="93"/>
      <c r="F454" s="93"/>
      <c r="G454" s="93"/>
      <c r="H454" s="50"/>
      <c r="I454" s="9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22.5" customHeight="1">
      <c r="A455" s="93"/>
      <c r="B455" s="93"/>
      <c r="C455" s="93"/>
      <c r="D455" s="106"/>
      <c r="E455" s="93"/>
      <c r="F455" s="93"/>
      <c r="G455" s="93"/>
      <c r="H455" s="50"/>
      <c r="I455" s="9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22.5" customHeight="1">
      <c r="A456" s="93"/>
      <c r="B456" s="93"/>
      <c r="C456" s="93"/>
      <c r="D456" s="106"/>
      <c r="E456" s="93"/>
      <c r="F456" s="93"/>
      <c r="G456" s="93"/>
      <c r="H456" s="50"/>
      <c r="I456" s="9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22.5" customHeight="1">
      <c r="A457" s="93"/>
      <c r="B457" s="93"/>
      <c r="C457" s="93"/>
      <c r="D457" s="106"/>
      <c r="E457" s="93"/>
      <c r="F457" s="93"/>
      <c r="G457" s="93"/>
      <c r="H457" s="50"/>
      <c r="I457" s="9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22.5" customHeight="1">
      <c r="A458" s="93"/>
      <c r="B458" s="93"/>
      <c r="C458" s="93"/>
      <c r="D458" s="106"/>
      <c r="E458" s="93"/>
      <c r="F458" s="93"/>
      <c r="G458" s="93"/>
      <c r="H458" s="50"/>
      <c r="I458" s="9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22.5" customHeight="1">
      <c r="A459" s="93"/>
      <c r="B459" s="93"/>
      <c r="C459" s="93"/>
      <c r="D459" s="106"/>
      <c r="E459" s="93"/>
      <c r="F459" s="93"/>
      <c r="G459" s="93"/>
      <c r="H459" s="50"/>
      <c r="I459" s="9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22.5" customHeight="1">
      <c r="A460" s="93"/>
      <c r="B460" s="93"/>
      <c r="C460" s="93"/>
      <c r="D460" s="106"/>
      <c r="E460" s="93"/>
      <c r="F460" s="93"/>
      <c r="G460" s="93"/>
      <c r="H460" s="50"/>
      <c r="I460" s="9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22.5" customHeight="1">
      <c r="A461" s="93"/>
      <c r="B461" s="93"/>
      <c r="C461" s="93"/>
      <c r="D461" s="106"/>
      <c r="E461" s="93"/>
      <c r="F461" s="93"/>
      <c r="G461" s="93"/>
      <c r="H461" s="50"/>
      <c r="I461" s="9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22.5" customHeight="1">
      <c r="A462" s="93"/>
      <c r="B462" s="93"/>
      <c r="C462" s="93"/>
      <c r="D462" s="106"/>
      <c r="E462" s="93"/>
      <c r="F462" s="93"/>
      <c r="G462" s="93"/>
      <c r="H462" s="50"/>
      <c r="I462" s="9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22.5" customHeight="1">
      <c r="A463" s="93"/>
      <c r="B463" s="93"/>
      <c r="C463" s="93"/>
      <c r="D463" s="106"/>
      <c r="E463" s="93"/>
      <c r="F463" s="93"/>
      <c r="G463" s="93"/>
      <c r="H463" s="50"/>
      <c r="I463" s="9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22.5" customHeight="1">
      <c r="A464" s="93"/>
      <c r="B464" s="93"/>
      <c r="C464" s="93"/>
      <c r="D464" s="106"/>
      <c r="E464" s="93"/>
      <c r="F464" s="93"/>
      <c r="G464" s="93"/>
      <c r="H464" s="50"/>
      <c r="I464" s="9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22.5" customHeight="1">
      <c r="A465" s="93"/>
      <c r="B465" s="93"/>
      <c r="C465" s="93"/>
      <c r="D465" s="106"/>
      <c r="E465" s="93"/>
      <c r="F465" s="93"/>
      <c r="G465" s="93"/>
      <c r="H465" s="50"/>
      <c r="I465" s="9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22.5" customHeight="1">
      <c r="A466" s="93"/>
      <c r="B466" s="93"/>
      <c r="C466" s="93"/>
      <c r="D466" s="106"/>
      <c r="E466" s="93"/>
      <c r="F466" s="93"/>
      <c r="G466" s="93"/>
      <c r="H466" s="50"/>
      <c r="I466" s="9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22.5" customHeight="1">
      <c r="A467" s="93"/>
      <c r="B467" s="93"/>
      <c r="C467" s="93"/>
      <c r="D467" s="106"/>
      <c r="E467" s="93"/>
      <c r="F467" s="93"/>
      <c r="G467" s="93"/>
      <c r="H467" s="50"/>
      <c r="I467" s="9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22.5" customHeight="1">
      <c r="A468" s="93"/>
      <c r="B468" s="93"/>
      <c r="C468" s="93"/>
      <c r="D468" s="106"/>
      <c r="E468" s="93"/>
      <c r="F468" s="93"/>
      <c r="G468" s="93"/>
      <c r="H468" s="50"/>
      <c r="I468" s="9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22.5" customHeight="1">
      <c r="A469" s="93"/>
      <c r="B469" s="93"/>
      <c r="C469" s="93"/>
      <c r="D469" s="106"/>
      <c r="E469" s="93"/>
      <c r="F469" s="93"/>
      <c r="G469" s="93"/>
      <c r="H469" s="50"/>
      <c r="I469" s="9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22.5" customHeight="1">
      <c r="A470" s="93"/>
      <c r="B470" s="93"/>
      <c r="C470" s="93"/>
      <c r="D470" s="106"/>
      <c r="E470" s="93"/>
      <c r="F470" s="93"/>
      <c r="G470" s="93"/>
      <c r="H470" s="50"/>
      <c r="I470" s="9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22.5" customHeight="1">
      <c r="A471" s="93"/>
      <c r="B471" s="93"/>
      <c r="C471" s="93"/>
      <c r="D471" s="106"/>
      <c r="E471" s="93"/>
      <c r="F471" s="93"/>
      <c r="G471" s="93"/>
      <c r="H471" s="50"/>
      <c r="I471" s="9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22.5" customHeight="1">
      <c r="A472" s="93"/>
      <c r="B472" s="93"/>
      <c r="C472" s="93"/>
      <c r="D472" s="106"/>
      <c r="E472" s="93"/>
      <c r="F472" s="93"/>
      <c r="G472" s="93"/>
      <c r="H472" s="50"/>
      <c r="I472" s="9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22.5" customHeight="1">
      <c r="A473" s="93"/>
      <c r="B473" s="93"/>
      <c r="C473" s="93"/>
      <c r="D473" s="106"/>
      <c r="E473" s="93"/>
      <c r="F473" s="93"/>
      <c r="G473" s="93"/>
      <c r="H473" s="50"/>
      <c r="I473" s="9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22.5" customHeight="1">
      <c r="A474" s="93"/>
      <c r="B474" s="93"/>
      <c r="C474" s="93"/>
      <c r="D474" s="106"/>
      <c r="E474" s="93"/>
      <c r="F474" s="93"/>
      <c r="G474" s="93"/>
      <c r="H474" s="50"/>
      <c r="I474" s="9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22.5" customHeight="1">
      <c r="A475" s="93"/>
      <c r="B475" s="93"/>
      <c r="C475" s="93"/>
      <c r="D475" s="106"/>
      <c r="E475" s="93"/>
      <c r="F475" s="93"/>
      <c r="G475" s="93"/>
      <c r="H475" s="50"/>
      <c r="I475" s="9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22.5" customHeight="1">
      <c r="A476" s="93"/>
      <c r="B476" s="93"/>
      <c r="C476" s="93"/>
      <c r="D476" s="106"/>
      <c r="E476" s="93"/>
      <c r="F476" s="93"/>
      <c r="G476" s="93"/>
      <c r="H476" s="50"/>
      <c r="I476" s="9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22.5" customHeight="1">
      <c r="A477" s="93"/>
      <c r="B477" s="93"/>
      <c r="C477" s="93"/>
      <c r="D477" s="106"/>
      <c r="E477" s="93"/>
      <c r="F477" s="93"/>
      <c r="G477" s="93"/>
      <c r="H477" s="50"/>
      <c r="I477" s="9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22.5" customHeight="1">
      <c r="A478" s="93"/>
      <c r="B478" s="93"/>
      <c r="C478" s="93"/>
      <c r="D478" s="106"/>
      <c r="E478" s="93"/>
      <c r="F478" s="93"/>
      <c r="G478" s="93"/>
      <c r="H478" s="50"/>
      <c r="I478" s="9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22.5" customHeight="1">
      <c r="A479" s="93"/>
      <c r="B479" s="93"/>
      <c r="C479" s="93"/>
      <c r="D479" s="106"/>
      <c r="E479" s="93"/>
      <c r="F479" s="93"/>
      <c r="G479" s="93"/>
      <c r="H479" s="50"/>
      <c r="I479" s="9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22.5" customHeight="1">
      <c r="A480" s="93"/>
      <c r="B480" s="93"/>
      <c r="C480" s="93"/>
      <c r="D480" s="106"/>
      <c r="E480" s="93"/>
      <c r="F480" s="93"/>
      <c r="G480" s="93"/>
      <c r="H480" s="50"/>
      <c r="I480" s="9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22.5" customHeight="1">
      <c r="A481" s="93"/>
      <c r="B481" s="93"/>
      <c r="C481" s="93"/>
      <c r="D481" s="106"/>
      <c r="E481" s="93"/>
      <c r="F481" s="93"/>
      <c r="G481" s="93"/>
      <c r="H481" s="50"/>
      <c r="I481" s="9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22.5" customHeight="1">
      <c r="A482" s="93"/>
      <c r="B482" s="93"/>
      <c r="C482" s="93"/>
      <c r="D482" s="106"/>
      <c r="E482" s="93"/>
      <c r="F482" s="93"/>
      <c r="G482" s="93"/>
      <c r="H482" s="50"/>
      <c r="I482" s="9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22.5" customHeight="1">
      <c r="A483" s="93"/>
      <c r="B483" s="93"/>
      <c r="C483" s="93"/>
      <c r="D483" s="106"/>
      <c r="E483" s="93"/>
      <c r="F483" s="93"/>
      <c r="G483" s="93"/>
      <c r="H483" s="50"/>
      <c r="I483" s="9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22.5" customHeight="1">
      <c r="A484" s="93"/>
      <c r="B484" s="93"/>
      <c r="C484" s="93"/>
      <c r="D484" s="106"/>
      <c r="E484" s="93"/>
      <c r="F484" s="93"/>
      <c r="G484" s="93"/>
      <c r="H484" s="50"/>
      <c r="I484" s="9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22.5" customHeight="1">
      <c r="A485" s="93"/>
      <c r="B485" s="93"/>
      <c r="C485" s="93"/>
      <c r="D485" s="106"/>
      <c r="E485" s="93"/>
      <c r="F485" s="93"/>
      <c r="G485" s="93"/>
      <c r="H485" s="50"/>
      <c r="I485" s="9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22.5" customHeight="1">
      <c r="A486" s="93"/>
      <c r="B486" s="93"/>
      <c r="C486" s="93"/>
      <c r="D486" s="106"/>
      <c r="E486" s="93"/>
      <c r="F486" s="93"/>
      <c r="G486" s="93"/>
      <c r="H486" s="50"/>
      <c r="I486" s="9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22.5" customHeight="1">
      <c r="A487" s="93"/>
      <c r="B487" s="93"/>
      <c r="C487" s="93"/>
      <c r="D487" s="106"/>
      <c r="E487" s="93"/>
      <c r="F487" s="93"/>
      <c r="G487" s="93"/>
      <c r="H487" s="50"/>
      <c r="I487" s="9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22.5" customHeight="1">
      <c r="A488" s="93"/>
      <c r="B488" s="93"/>
      <c r="C488" s="93"/>
      <c r="D488" s="106"/>
      <c r="E488" s="93"/>
      <c r="F488" s="93"/>
      <c r="G488" s="93"/>
      <c r="H488" s="50"/>
      <c r="I488" s="9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22.5" customHeight="1">
      <c r="A489" s="93"/>
      <c r="B489" s="93"/>
      <c r="C489" s="93"/>
      <c r="D489" s="106"/>
      <c r="E489" s="93"/>
      <c r="F489" s="93"/>
      <c r="G489" s="93"/>
      <c r="H489" s="50"/>
      <c r="I489" s="9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22.5" customHeight="1">
      <c r="A490" s="93"/>
      <c r="B490" s="93"/>
      <c r="C490" s="93"/>
      <c r="D490" s="106"/>
      <c r="E490" s="93"/>
      <c r="F490" s="93"/>
      <c r="G490" s="93"/>
      <c r="H490" s="50"/>
      <c r="I490" s="9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22.5" customHeight="1">
      <c r="A491" s="93"/>
      <c r="B491" s="93"/>
      <c r="C491" s="93"/>
      <c r="D491" s="106"/>
      <c r="E491" s="93"/>
      <c r="F491" s="93"/>
      <c r="G491" s="93"/>
      <c r="H491" s="50"/>
      <c r="I491" s="9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22.5" customHeight="1">
      <c r="A492" s="93"/>
      <c r="B492" s="93"/>
      <c r="C492" s="93"/>
      <c r="D492" s="106"/>
      <c r="E492" s="93"/>
      <c r="F492" s="93"/>
      <c r="G492" s="93"/>
      <c r="H492" s="50"/>
      <c r="I492" s="9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22.5" customHeight="1">
      <c r="A493" s="93"/>
      <c r="B493" s="93"/>
      <c r="C493" s="93"/>
      <c r="D493" s="106"/>
      <c r="E493" s="93"/>
      <c r="F493" s="93"/>
      <c r="G493" s="93"/>
      <c r="H493" s="50"/>
      <c r="I493" s="9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22.5" customHeight="1">
      <c r="A494" s="93"/>
      <c r="B494" s="93"/>
      <c r="C494" s="93"/>
      <c r="D494" s="106"/>
      <c r="E494" s="93"/>
      <c r="F494" s="93"/>
      <c r="G494" s="93"/>
      <c r="H494" s="50"/>
      <c r="I494" s="9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22.5" customHeight="1">
      <c r="A495" s="93"/>
      <c r="B495" s="93"/>
      <c r="C495" s="93"/>
      <c r="D495" s="106"/>
      <c r="E495" s="93"/>
      <c r="F495" s="93"/>
      <c r="G495" s="93"/>
      <c r="H495" s="50"/>
      <c r="I495" s="9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22.5" customHeight="1">
      <c r="A496" s="93"/>
      <c r="B496" s="93"/>
      <c r="C496" s="93"/>
      <c r="D496" s="106"/>
      <c r="E496" s="93"/>
      <c r="F496" s="93"/>
      <c r="G496" s="93"/>
      <c r="H496" s="50"/>
      <c r="I496" s="9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22.5" customHeight="1">
      <c r="A497" s="93"/>
      <c r="B497" s="93"/>
      <c r="C497" s="93"/>
      <c r="D497" s="106"/>
      <c r="E497" s="93"/>
      <c r="F497" s="93"/>
      <c r="G497" s="93"/>
      <c r="H497" s="50"/>
      <c r="I497" s="9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22.5" customHeight="1">
      <c r="A498" s="93"/>
      <c r="B498" s="93"/>
      <c r="C498" s="93"/>
      <c r="D498" s="106"/>
      <c r="E498" s="93"/>
      <c r="F498" s="93"/>
      <c r="G498" s="93"/>
      <c r="H498" s="50"/>
      <c r="I498" s="9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22.5" customHeight="1">
      <c r="A499" s="93"/>
      <c r="B499" s="93"/>
      <c r="C499" s="93"/>
      <c r="D499" s="106"/>
      <c r="E499" s="93"/>
      <c r="F499" s="93"/>
      <c r="G499" s="93"/>
      <c r="H499" s="50"/>
      <c r="I499" s="9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22.5" customHeight="1">
      <c r="A500" s="93"/>
      <c r="B500" s="93"/>
      <c r="C500" s="93"/>
      <c r="D500" s="106"/>
      <c r="E500" s="93"/>
      <c r="F500" s="93"/>
      <c r="G500" s="93"/>
      <c r="H500" s="50"/>
      <c r="I500" s="9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22.5" customHeight="1">
      <c r="A501" s="93"/>
      <c r="B501" s="93"/>
      <c r="C501" s="93"/>
      <c r="D501" s="106"/>
      <c r="E501" s="93"/>
      <c r="F501" s="93"/>
      <c r="G501" s="93"/>
      <c r="H501" s="50"/>
      <c r="I501" s="9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22.5" customHeight="1">
      <c r="A502" s="93"/>
      <c r="B502" s="93"/>
      <c r="C502" s="93"/>
      <c r="D502" s="106"/>
      <c r="E502" s="93"/>
      <c r="F502" s="93"/>
      <c r="G502" s="93"/>
      <c r="H502" s="50"/>
      <c r="I502" s="9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22.5" customHeight="1">
      <c r="A503" s="93"/>
      <c r="B503" s="93"/>
      <c r="C503" s="93"/>
      <c r="D503" s="106"/>
      <c r="E503" s="93"/>
      <c r="F503" s="93"/>
      <c r="G503" s="93"/>
      <c r="H503" s="50"/>
      <c r="I503" s="9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22.5" customHeight="1">
      <c r="A504" s="93"/>
      <c r="B504" s="93"/>
      <c r="C504" s="93"/>
      <c r="D504" s="106"/>
      <c r="E504" s="93"/>
      <c r="F504" s="93"/>
      <c r="G504" s="93"/>
      <c r="H504" s="50"/>
      <c r="I504" s="9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22.5" customHeight="1">
      <c r="A505" s="93"/>
      <c r="B505" s="93"/>
      <c r="C505" s="93"/>
      <c r="D505" s="106"/>
      <c r="E505" s="93"/>
      <c r="F505" s="93"/>
      <c r="G505" s="93"/>
      <c r="H505" s="50"/>
      <c r="I505" s="9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22.5" customHeight="1">
      <c r="A506" s="93"/>
      <c r="B506" s="93"/>
      <c r="C506" s="93"/>
      <c r="D506" s="106"/>
      <c r="E506" s="93"/>
      <c r="F506" s="93"/>
      <c r="G506" s="93"/>
      <c r="H506" s="50"/>
      <c r="I506" s="9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22.5" customHeight="1">
      <c r="A507" s="93"/>
      <c r="B507" s="93"/>
      <c r="C507" s="93"/>
      <c r="D507" s="106"/>
      <c r="E507" s="93"/>
      <c r="F507" s="93"/>
      <c r="G507" s="93"/>
      <c r="H507" s="50"/>
      <c r="I507" s="9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22.5" customHeight="1">
      <c r="A508" s="93"/>
      <c r="B508" s="93"/>
      <c r="C508" s="93"/>
      <c r="D508" s="106"/>
      <c r="E508" s="93"/>
      <c r="F508" s="93"/>
      <c r="G508" s="93"/>
      <c r="H508" s="50"/>
      <c r="I508" s="9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22.5" customHeight="1">
      <c r="A509" s="93"/>
      <c r="B509" s="93"/>
      <c r="C509" s="93"/>
      <c r="D509" s="106"/>
      <c r="E509" s="93"/>
      <c r="F509" s="93"/>
      <c r="G509" s="93"/>
      <c r="H509" s="50"/>
      <c r="I509" s="9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22.5" customHeight="1">
      <c r="A510" s="93"/>
      <c r="B510" s="93"/>
      <c r="C510" s="93"/>
      <c r="D510" s="106"/>
      <c r="E510" s="93"/>
      <c r="F510" s="93"/>
      <c r="G510" s="93"/>
      <c r="H510" s="50"/>
      <c r="I510" s="9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22.5" customHeight="1">
      <c r="A511" s="93"/>
      <c r="B511" s="93"/>
      <c r="C511" s="93"/>
      <c r="D511" s="106"/>
      <c r="E511" s="93"/>
      <c r="F511" s="93"/>
      <c r="G511" s="93"/>
      <c r="H511" s="50"/>
      <c r="I511" s="9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22.5" customHeight="1">
      <c r="A512" s="93"/>
      <c r="B512" s="93"/>
      <c r="C512" s="93"/>
      <c r="D512" s="106"/>
      <c r="E512" s="93"/>
      <c r="F512" s="93"/>
      <c r="G512" s="93"/>
      <c r="H512" s="50"/>
      <c r="I512" s="9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22.5" customHeight="1">
      <c r="A513" s="93"/>
      <c r="B513" s="93"/>
      <c r="C513" s="93"/>
      <c r="D513" s="106"/>
      <c r="E513" s="93"/>
      <c r="F513" s="93"/>
      <c r="G513" s="93"/>
      <c r="H513" s="50"/>
      <c r="I513" s="9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22.5" customHeight="1">
      <c r="A514" s="93"/>
      <c r="B514" s="93"/>
      <c r="C514" s="93"/>
      <c r="D514" s="106"/>
      <c r="E514" s="93"/>
      <c r="F514" s="93"/>
      <c r="G514" s="93"/>
      <c r="H514" s="50"/>
      <c r="I514" s="9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22.5" customHeight="1">
      <c r="A515" s="93"/>
      <c r="B515" s="93"/>
      <c r="C515" s="93"/>
      <c r="D515" s="106"/>
      <c r="E515" s="93"/>
      <c r="F515" s="93"/>
      <c r="G515" s="93"/>
      <c r="H515" s="50"/>
      <c r="I515" s="9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22.5" customHeight="1">
      <c r="A516" s="93"/>
      <c r="B516" s="93"/>
      <c r="C516" s="93"/>
      <c r="D516" s="106"/>
      <c r="E516" s="93"/>
      <c r="F516" s="93"/>
      <c r="G516" s="93"/>
      <c r="H516" s="50"/>
      <c r="I516" s="9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22.5" customHeight="1">
      <c r="A517" s="93"/>
      <c r="B517" s="93"/>
      <c r="C517" s="93"/>
      <c r="D517" s="106"/>
      <c r="E517" s="93"/>
      <c r="F517" s="93"/>
      <c r="G517" s="93"/>
      <c r="H517" s="50"/>
      <c r="I517" s="9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22.5" customHeight="1">
      <c r="A518" s="93"/>
      <c r="B518" s="93"/>
      <c r="C518" s="93"/>
      <c r="D518" s="106"/>
      <c r="E518" s="93"/>
      <c r="F518" s="93"/>
      <c r="G518" s="93"/>
      <c r="H518" s="50"/>
      <c r="I518" s="9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22.5" customHeight="1">
      <c r="A519" s="93"/>
      <c r="B519" s="93"/>
      <c r="C519" s="93"/>
      <c r="D519" s="106"/>
      <c r="E519" s="93"/>
      <c r="F519" s="93"/>
      <c r="G519" s="93"/>
      <c r="H519" s="50"/>
      <c r="I519" s="9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22.5" customHeight="1">
      <c r="A520" s="93"/>
      <c r="B520" s="93"/>
      <c r="C520" s="93"/>
      <c r="D520" s="106"/>
      <c r="E520" s="93"/>
      <c r="F520" s="93"/>
      <c r="G520" s="93"/>
      <c r="H520" s="50"/>
      <c r="I520" s="9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22.5" customHeight="1">
      <c r="A521" s="93"/>
      <c r="B521" s="93"/>
      <c r="C521" s="93"/>
      <c r="D521" s="106"/>
      <c r="E521" s="93"/>
      <c r="F521" s="93"/>
      <c r="G521" s="93"/>
      <c r="H521" s="50"/>
      <c r="I521" s="9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22.5" customHeight="1">
      <c r="A522" s="93"/>
      <c r="B522" s="93"/>
      <c r="C522" s="93"/>
      <c r="D522" s="106"/>
      <c r="E522" s="93"/>
      <c r="F522" s="93"/>
      <c r="G522" s="93"/>
      <c r="H522" s="50"/>
      <c r="I522" s="9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22.5" customHeight="1">
      <c r="A523" s="93"/>
      <c r="B523" s="93"/>
      <c r="C523" s="93"/>
      <c r="D523" s="106"/>
      <c r="E523" s="93"/>
      <c r="F523" s="93"/>
      <c r="G523" s="93"/>
      <c r="H523" s="50"/>
      <c r="I523" s="9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22.5" customHeight="1">
      <c r="A524" s="93"/>
      <c r="B524" s="93"/>
      <c r="C524" s="93"/>
      <c r="D524" s="106"/>
      <c r="E524" s="93"/>
      <c r="F524" s="93"/>
      <c r="G524" s="93"/>
      <c r="H524" s="50"/>
      <c r="I524" s="9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22.5" customHeight="1">
      <c r="A525" s="93"/>
      <c r="B525" s="93"/>
      <c r="C525" s="93"/>
      <c r="D525" s="106"/>
      <c r="E525" s="93"/>
      <c r="F525" s="93"/>
      <c r="G525" s="93"/>
      <c r="H525" s="50"/>
      <c r="I525" s="9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22.5" customHeight="1">
      <c r="A526" s="93"/>
      <c r="B526" s="93"/>
      <c r="C526" s="93"/>
      <c r="D526" s="106"/>
      <c r="E526" s="93"/>
      <c r="F526" s="93"/>
      <c r="G526" s="93"/>
      <c r="H526" s="50"/>
      <c r="I526" s="9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22.5" customHeight="1">
      <c r="A527" s="93"/>
      <c r="B527" s="93"/>
      <c r="C527" s="93"/>
      <c r="D527" s="106"/>
      <c r="E527" s="93"/>
      <c r="F527" s="93"/>
      <c r="G527" s="93"/>
      <c r="H527" s="50"/>
      <c r="I527" s="9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22.5" customHeight="1">
      <c r="A528" s="93"/>
      <c r="B528" s="93"/>
      <c r="C528" s="93"/>
      <c r="D528" s="106"/>
      <c r="E528" s="93"/>
      <c r="F528" s="93"/>
      <c r="G528" s="93"/>
      <c r="H528" s="50"/>
      <c r="I528" s="9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22.5" customHeight="1">
      <c r="A529" s="93"/>
      <c r="B529" s="93"/>
      <c r="C529" s="93"/>
      <c r="D529" s="106"/>
      <c r="E529" s="93"/>
      <c r="F529" s="93"/>
      <c r="G529" s="93"/>
      <c r="H529" s="50"/>
      <c r="I529" s="9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22.5" customHeight="1">
      <c r="A530" s="93"/>
      <c r="B530" s="93"/>
      <c r="C530" s="93"/>
      <c r="D530" s="106"/>
      <c r="E530" s="93"/>
      <c r="F530" s="93"/>
      <c r="G530" s="93"/>
      <c r="H530" s="50"/>
      <c r="I530" s="9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22.5" customHeight="1">
      <c r="A531" s="93"/>
      <c r="B531" s="93"/>
      <c r="C531" s="93"/>
      <c r="D531" s="106"/>
      <c r="E531" s="93"/>
      <c r="F531" s="93"/>
      <c r="G531" s="93"/>
      <c r="H531" s="50"/>
      <c r="I531" s="9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22.5" customHeight="1">
      <c r="A532" s="93"/>
      <c r="B532" s="93"/>
      <c r="C532" s="93"/>
      <c r="D532" s="106"/>
      <c r="E532" s="93"/>
      <c r="F532" s="93"/>
      <c r="G532" s="93"/>
      <c r="H532" s="50"/>
      <c r="I532" s="9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22.5" customHeight="1">
      <c r="A533" s="93"/>
      <c r="B533" s="93"/>
      <c r="C533" s="93"/>
      <c r="D533" s="106"/>
      <c r="E533" s="93"/>
      <c r="F533" s="93"/>
      <c r="G533" s="93"/>
      <c r="H533" s="50"/>
      <c r="I533" s="9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22.5" customHeight="1">
      <c r="A534" s="93"/>
      <c r="B534" s="93"/>
      <c r="C534" s="93"/>
      <c r="D534" s="106"/>
      <c r="E534" s="93"/>
      <c r="F534" s="93"/>
      <c r="G534" s="93"/>
      <c r="H534" s="50"/>
      <c r="I534" s="9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22.5" customHeight="1">
      <c r="A535" s="93"/>
      <c r="B535" s="93"/>
      <c r="C535" s="93"/>
      <c r="D535" s="106"/>
      <c r="E535" s="93"/>
      <c r="F535" s="93"/>
      <c r="G535" s="93"/>
      <c r="H535" s="50"/>
      <c r="I535" s="9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22.5" customHeight="1">
      <c r="A536" s="93"/>
      <c r="B536" s="93"/>
      <c r="C536" s="93"/>
      <c r="D536" s="106"/>
      <c r="E536" s="93"/>
      <c r="F536" s="93"/>
      <c r="G536" s="93"/>
      <c r="H536" s="50"/>
      <c r="I536" s="9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22.5" customHeight="1">
      <c r="A537" s="93"/>
      <c r="B537" s="93"/>
      <c r="C537" s="93"/>
      <c r="D537" s="106"/>
      <c r="E537" s="93"/>
      <c r="F537" s="93"/>
      <c r="G537" s="93"/>
      <c r="H537" s="50"/>
      <c r="I537" s="9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22.5" customHeight="1">
      <c r="A538" s="93"/>
      <c r="B538" s="93"/>
      <c r="C538" s="93"/>
      <c r="D538" s="106"/>
      <c r="E538" s="93"/>
      <c r="F538" s="93"/>
      <c r="G538" s="93"/>
      <c r="H538" s="50"/>
      <c r="I538" s="9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22.5" customHeight="1">
      <c r="A539" s="93"/>
      <c r="B539" s="93"/>
      <c r="C539" s="93"/>
      <c r="D539" s="106"/>
      <c r="E539" s="93"/>
      <c r="F539" s="93"/>
      <c r="G539" s="93"/>
      <c r="H539" s="50"/>
      <c r="I539" s="9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22.5" customHeight="1">
      <c r="A540" s="93"/>
      <c r="B540" s="93"/>
      <c r="C540" s="93"/>
      <c r="D540" s="106"/>
      <c r="E540" s="93"/>
      <c r="F540" s="93"/>
      <c r="G540" s="93"/>
      <c r="H540" s="50"/>
      <c r="I540" s="9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22.5" customHeight="1">
      <c r="A541" s="93"/>
      <c r="B541" s="93"/>
      <c r="C541" s="93"/>
      <c r="D541" s="106"/>
      <c r="E541" s="93"/>
      <c r="F541" s="93"/>
      <c r="G541" s="93"/>
      <c r="H541" s="50"/>
      <c r="I541" s="9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22.5" customHeight="1">
      <c r="A542" s="93"/>
      <c r="B542" s="93"/>
      <c r="C542" s="93"/>
      <c r="D542" s="106"/>
      <c r="E542" s="93"/>
      <c r="F542" s="93"/>
      <c r="G542" s="93"/>
      <c r="H542" s="50"/>
      <c r="I542" s="9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22.5" customHeight="1">
      <c r="A543" s="93"/>
      <c r="B543" s="93"/>
      <c r="C543" s="93"/>
      <c r="D543" s="106"/>
      <c r="E543" s="93"/>
      <c r="F543" s="93"/>
      <c r="G543" s="93"/>
      <c r="H543" s="50"/>
      <c r="I543" s="9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22.5" customHeight="1">
      <c r="A544" s="93"/>
      <c r="B544" s="93"/>
      <c r="C544" s="93"/>
      <c r="D544" s="106"/>
      <c r="E544" s="93"/>
      <c r="F544" s="93"/>
      <c r="G544" s="93"/>
      <c r="H544" s="50"/>
      <c r="I544" s="9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22.5" customHeight="1">
      <c r="A545" s="93"/>
      <c r="B545" s="93"/>
      <c r="C545" s="93"/>
      <c r="D545" s="106"/>
      <c r="E545" s="93"/>
      <c r="F545" s="93"/>
      <c r="G545" s="93"/>
      <c r="H545" s="50"/>
      <c r="I545" s="9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22.5" customHeight="1">
      <c r="A546" s="93"/>
      <c r="B546" s="93"/>
      <c r="C546" s="93"/>
      <c r="D546" s="106"/>
      <c r="E546" s="93"/>
      <c r="F546" s="93"/>
      <c r="G546" s="93"/>
      <c r="H546" s="50"/>
      <c r="I546" s="9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22.5" customHeight="1">
      <c r="A547" s="93"/>
      <c r="B547" s="93"/>
      <c r="C547" s="93"/>
      <c r="D547" s="106"/>
      <c r="E547" s="93"/>
      <c r="F547" s="93"/>
      <c r="G547" s="93"/>
      <c r="H547" s="50"/>
      <c r="I547" s="9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22.5" customHeight="1">
      <c r="A548" s="93"/>
      <c r="B548" s="93"/>
      <c r="C548" s="93"/>
      <c r="D548" s="106"/>
      <c r="E548" s="93"/>
      <c r="F548" s="93"/>
      <c r="G548" s="93"/>
      <c r="H548" s="50"/>
      <c r="I548" s="9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22.5" customHeight="1">
      <c r="A549" s="93"/>
      <c r="B549" s="93"/>
      <c r="C549" s="93"/>
      <c r="D549" s="106"/>
      <c r="E549" s="93"/>
      <c r="F549" s="93"/>
      <c r="G549" s="93"/>
      <c r="H549" s="50"/>
      <c r="I549" s="9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22.5" customHeight="1">
      <c r="A550" s="93"/>
      <c r="B550" s="93"/>
      <c r="C550" s="93"/>
      <c r="D550" s="106"/>
      <c r="E550" s="93"/>
      <c r="F550" s="93"/>
      <c r="G550" s="93"/>
      <c r="H550" s="50"/>
      <c r="I550" s="9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22.5" customHeight="1">
      <c r="A551" s="93"/>
      <c r="B551" s="93"/>
      <c r="C551" s="93"/>
      <c r="D551" s="106"/>
      <c r="E551" s="93"/>
      <c r="F551" s="93"/>
      <c r="G551" s="93"/>
      <c r="H551" s="50"/>
      <c r="I551" s="9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22.5" customHeight="1">
      <c r="A552" s="93"/>
      <c r="B552" s="93"/>
      <c r="C552" s="93"/>
      <c r="D552" s="106"/>
      <c r="E552" s="93"/>
      <c r="F552" s="93"/>
      <c r="G552" s="93"/>
      <c r="H552" s="50"/>
      <c r="I552" s="9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22.5" customHeight="1">
      <c r="A553" s="93"/>
      <c r="B553" s="93"/>
      <c r="C553" s="93"/>
      <c r="D553" s="106"/>
      <c r="E553" s="93"/>
      <c r="F553" s="93"/>
      <c r="G553" s="93"/>
      <c r="H553" s="50"/>
      <c r="I553" s="9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22.5" customHeight="1">
      <c r="A554" s="93"/>
      <c r="B554" s="93"/>
      <c r="C554" s="93"/>
      <c r="D554" s="106"/>
      <c r="E554" s="93"/>
      <c r="F554" s="93"/>
      <c r="G554" s="93"/>
      <c r="H554" s="50"/>
      <c r="I554" s="9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22.5" customHeight="1">
      <c r="A555" s="93"/>
      <c r="B555" s="93"/>
      <c r="C555" s="93"/>
      <c r="D555" s="106"/>
      <c r="E555" s="93"/>
      <c r="F555" s="93"/>
      <c r="G555" s="93"/>
      <c r="H555" s="50"/>
      <c r="I555" s="9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22.5" customHeight="1">
      <c r="A556" s="93"/>
      <c r="B556" s="93"/>
      <c r="C556" s="93"/>
      <c r="D556" s="106"/>
      <c r="E556" s="93"/>
      <c r="F556" s="93"/>
      <c r="G556" s="93"/>
      <c r="H556" s="50"/>
      <c r="I556" s="9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22.5" customHeight="1">
      <c r="A557" s="93"/>
      <c r="B557" s="93"/>
      <c r="C557" s="93"/>
      <c r="D557" s="106"/>
      <c r="E557" s="93"/>
      <c r="F557" s="93"/>
      <c r="G557" s="93"/>
      <c r="H557" s="50"/>
      <c r="I557" s="9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22.5" customHeight="1">
      <c r="A558" s="93"/>
      <c r="B558" s="93"/>
      <c r="C558" s="93"/>
      <c r="D558" s="106"/>
      <c r="E558" s="93"/>
      <c r="F558" s="93"/>
      <c r="G558" s="93"/>
      <c r="H558" s="50"/>
      <c r="I558" s="9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22.5" customHeight="1">
      <c r="A559" s="93"/>
      <c r="B559" s="93"/>
      <c r="C559" s="93"/>
      <c r="D559" s="106"/>
      <c r="E559" s="93"/>
      <c r="F559" s="93"/>
      <c r="G559" s="93"/>
      <c r="H559" s="50"/>
      <c r="I559" s="9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22.5" customHeight="1">
      <c r="A560" s="93"/>
      <c r="B560" s="93"/>
      <c r="C560" s="93"/>
      <c r="D560" s="106"/>
      <c r="E560" s="93"/>
      <c r="F560" s="93"/>
      <c r="G560" s="93"/>
      <c r="H560" s="50"/>
      <c r="I560" s="9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22.5" customHeight="1">
      <c r="A561" s="93"/>
      <c r="B561" s="93"/>
      <c r="C561" s="93"/>
      <c r="D561" s="106"/>
      <c r="E561" s="93"/>
      <c r="F561" s="93"/>
      <c r="G561" s="93"/>
      <c r="H561" s="50"/>
      <c r="I561" s="9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22.5" customHeight="1">
      <c r="A562" s="93"/>
      <c r="B562" s="93"/>
      <c r="C562" s="93"/>
      <c r="D562" s="106"/>
      <c r="E562" s="93"/>
      <c r="F562" s="93"/>
      <c r="G562" s="93"/>
      <c r="H562" s="50"/>
      <c r="I562" s="9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22.5" customHeight="1">
      <c r="A563" s="93"/>
      <c r="B563" s="93"/>
      <c r="C563" s="93"/>
      <c r="D563" s="106"/>
      <c r="E563" s="93"/>
      <c r="F563" s="93"/>
      <c r="G563" s="93"/>
      <c r="H563" s="50"/>
      <c r="I563" s="9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22.5" customHeight="1">
      <c r="A564" s="93"/>
      <c r="B564" s="93"/>
      <c r="C564" s="93"/>
      <c r="D564" s="106"/>
      <c r="E564" s="93"/>
      <c r="F564" s="93"/>
      <c r="G564" s="93"/>
      <c r="H564" s="50"/>
      <c r="I564" s="9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22.5" customHeight="1">
      <c r="A565" s="93"/>
      <c r="B565" s="93"/>
      <c r="C565" s="93"/>
      <c r="D565" s="106"/>
      <c r="E565" s="93"/>
      <c r="F565" s="93"/>
      <c r="G565" s="93"/>
      <c r="H565" s="50"/>
      <c r="I565" s="9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22.5" customHeight="1">
      <c r="A566" s="93"/>
      <c r="B566" s="93"/>
      <c r="C566" s="93"/>
      <c r="D566" s="106"/>
      <c r="E566" s="93"/>
      <c r="F566" s="93"/>
      <c r="G566" s="93"/>
      <c r="H566" s="50"/>
      <c r="I566" s="9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22.5" customHeight="1">
      <c r="A567" s="93"/>
      <c r="B567" s="93"/>
      <c r="C567" s="93"/>
      <c r="D567" s="106"/>
      <c r="E567" s="93"/>
      <c r="F567" s="93"/>
      <c r="G567" s="93"/>
      <c r="H567" s="50"/>
      <c r="I567" s="9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22.5" customHeight="1">
      <c r="A568" s="93"/>
      <c r="B568" s="93"/>
      <c r="C568" s="93"/>
      <c r="D568" s="106"/>
      <c r="E568" s="93"/>
      <c r="F568" s="93"/>
      <c r="G568" s="93"/>
      <c r="H568" s="50"/>
      <c r="I568" s="9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22.5" customHeight="1">
      <c r="A569" s="93"/>
      <c r="B569" s="93"/>
      <c r="C569" s="93"/>
      <c r="D569" s="106"/>
      <c r="E569" s="93"/>
      <c r="F569" s="93"/>
      <c r="G569" s="93"/>
      <c r="H569" s="50"/>
      <c r="I569" s="9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22.5" customHeight="1">
      <c r="A570" s="93"/>
      <c r="B570" s="93"/>
      <c r="C570" s="93"/>
      <c r="D570" s="106"/>
      <c r="E570" s="93"/>
      <c r="F570" s="93"/>
      <c r="G570" s="93"/>
      <c r="H570" s="50"/>
      <c r="I570" s="9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22.5" customHeight="1">
      <c r="A571" s="93"/>
      <c r="B571" s="93"/>
      <c r="C571" s="93"/>
      <c r="D571" s="106"/>
      <c r="E571" s="93"/>
      <c r="F571" s="93"/>
      <c r="G571" s="93"/>
      <c r="H571" s="50"/>
      <c r="I571" s="9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22.5" customHeight="1">
      <c r="A572" s="93"/>
      <c r="B572" s="93"/>
      <c r="C572" s="93"/>
      <c r="D572" s="106"/>
      <c r="E572" s="93"/>
      <c r="F572" s="93"/>
      <c r="G572" s="93"/>
      <c r="H572" s="50"/>
      <c r="I572" s="9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22.5" customHeight="1">
      <c r="A573" s="93"/>
      <c r="B573" s="93"/>
      <c r="C573" s="93"/>
      <c r="D573" s="106"/>
      <c r="E573" s="93"/>
      <c r="F573" s="93"/>
      <c r="G573" s="93"/>
      <c r="H573" s="50"/>
      <c r="I573" s="9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22.5" customHeight="1">
      <c r="A574" s="93"/>
      <c r="B574" s="93"/>
      <c r="C574" s="93"/>
      <c r="D574" s="106"/>
      <c r="E574" s="93"/>
      <c r="F574" s="93"/>
      <c r="G574" s="93"/>
      <c r="H574" s="50"/>
      <c r="I574" s="9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22.5" customHeight="1">
      <c r="A575" s="93"/>
      <c r="B575" s="93"/>
      <c r="C575" s="93"/>
      <c r="D575" s="106"/>
      <c r="E575" s="93"/>
      <c r="F575" s="93"/>
      <c r="G575" s="93"/>
      <c r="H575" s="50"/>
      <c r="I575" s="9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22.5" customHeight="1">
      <c r="A576" s="93"/>
      <c r="B576" s="93"/>
      <c r="C576" s="93"/>
      <c r="D576" s="106"/>
      <c r="E576" s="93"/>
      <c r="F576" s="93"/>
      <c r="G576" s="93"/>
      <c r="H576" s="50"/>
      <c r="I576" s="9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22.5" customHeight="1">
      <c r="A577" s="93"/>
      <c r="B577" s="93"/>
      <c r="C577" s="93"/>
      <c r="D577" s="106"/>
      <c r="E577" s="93"/>
      <c r="F577" s="93"/>
      <c r="G577" s="93"/>
      <c r="H577" s="50"/>
      <c r="I577" s="9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22.5" customHeight="1">
      <c r="A578" s="93"/>
      <c r="B578" s="93"/>
      <c r="C578" s="93"/>
      <c r="D578" s="106"/>
      <c r="E578" s="93"/>
      <c r="F578" s="93"/>
      <c r="G578" s="93"/>
      <c r="H578" s="50"/>
      <c r="I578" s="9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22.5" customHeight="1">
      <c r="A579" s="93"/>
      <c r="B579" s="93"/>
      <c r="C579" s="93"/>
      <c r="D579" s="106"/>
      <c r="E579" s="93"/>
      <c r="F579" s="93"/>
      <c r="G579" s="93"/>
      <c r="H579" s="50"/>
      <c r="I579" s="9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22.5" customHeight="1">
      <c r="A580" s="93"/>
      <c r="B580" s="93"/>
      <c r="C580" s="93"/>
      <c r="D580" s="106"/>
      <c r="E580" s="93"/>
      <c r="F580" s="93"/>
      <c r="G580" s="93"/>
      <c r="H580" s="50"/>
      <c r="I580" s="9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22.5" customHeight="1">
      <c r="A581" s="93"/>
      <c r="B581" s="93"/>
      <c r="C581" s="93"/>
      <c r="D581" s="106"/>
      <c r="E581" s="93"/>
      <c r="F581" s="93"/>
      <c r="G581" s="93"/>
      <c r="H581" s="50"/>
      <c r="I581" s="9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22.5" customHeight="1">
      <c r="A582" s="93"/>
      <c r="B582" s="93"/>
      <c r="C582" s="93"/>
      <c r="D582" s="106"/>
      <c r="E582" s="93"/>
      <c r="F582" s="93"/>
      <c r="G582" s="93"/>
      <c r="H582" s="50"/>
      <c r="I582" s="9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22.5" customHeight="1">
      <c r="A583" s="93"/>
      <c r="B583" s="93"/>
      <c r="C583" s="93"/>
      <c r="D583" s="106"/>
      <c r="E583" s="93"/>
      <c r="F583" s="93"/>
      <c r="G583" s="93"/>
      <c r="H583" s="50"/>
      <c r="I583" s="9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22.5" customHeight="1">
      <c r="A584" s="93"/>
      <c r="B584" s="93"/>
      <c r="C584" s="93"/>
      <c r="D584" s="106"/>
      <c r="E584" s="93"/>
      <c r="F584" s="93"/>
      <c r="G584" s="93"/>
      <c r="H584" s="50"/>
      <c r="I584" s="9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22.5" customHeight="1">
      <c r="A585" s="93"/>
      <c r="B585" s="93"/>
      <c r="C585" s="93"/>
      <c r="D585" s="106"/>
      <c r="E585" s="93"/>
      <c r="F585" s="93"/>
      <c r="G585" s="93"/>
      <c r="H585" s="50"/>
      <c r="I585" s="9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22.5" customHeight="1">
      <c r="A586" s="93"/>
      <c r="B586" s="93"/>
      <c r="C586" s="93"/>
      <c r="D586" s="106"/>
      <c r="E586" s="93"/>
      <c r="F586" s="93"/>
      <c r="G586" s="93"/>
      <c r="H586" s="50"/>
      <c r="I586" s="9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22.5" customHeight="1">
      <c r="A587" s="93"/>
      <c r="B587" s="93"/>
      <c r="C587" s="93"/>
      <c r="D587" s="106"/>
      <c r="E587" s="93"/>
      <c r="F587" s="93"/>
      <c r="G587" s="93"/>
      <c r="H587" s="50"/>
      <c r="I587" s="9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22.5" customHeight="1">
      <c r="A588" s="93"/>
      <c r="B588" s="93"/>
      <c r="C588" s="93"/>
      <c r="D588" s="106"/>
      <c r="E588" s="93"/>
      <c r="F588" s="93"/>
      <c r="G588" s="93"/>
      <c r="H588" s="50"/>
      <c r="I588" s="9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22.5" customHeight="1">
      <c r="A589" s="93"/>
      <c r="B589" s="93"/>
      <c r="C589" s="93"/>
      <c r="D589" s="106"/>
      <c r="E589" s="93"/>
      <c r="F589" s="93"/>
      <c r="G589" s="93"/>
      <c r="H589" s="50"/>
      <c r="I589" s="9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22.5" customHeight="1">
      <c r="A590" s="93"/>
      <c r="B590" s="93"/>
      <c r="C590" s="93"/>
      <c r="D590" s="106"/>
      <c r="E590" s="93"/>
      <c r="F590" s="93"/>
      <c r="G590" s="93"/>
      <c r="H590" s="50"/>
      <c r="I590" s="9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22.5" customHeight="1">
      <c r="A591" s="93"/>
      <c r="B591" s="93"/>
      <c r="C591" s="93"/>
      <c r="D591" s="106"/>
      <c r="E591" s="93"/>
      <c r="F591" s="93"/>
      <c r="G591" s="93"/>
      <c r="H591" s="50"/>
      <c r="I591" s="9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22.5" customHeight="1">
      <c r="A592" s="93"/>
      <c r="B592" s="93"/>
      <c r="C592" s="93"/>
      <c r="D592" s="106"/>
      <c r="E592" s="93"/>
      <c r="F592" s="93"/>
      <c r="G592" s="93"/>
      <c r="H592" s="50"/>
      <c r="I592" s="9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22.5" customHeight="1">
      <c r="A593" s="93"/>
      <c r="B593" s="93"/>
      <c r="C593" s="93"/>
      <c r="D593" s="106"/>
      <c r="E593" s="93"/>
      <c r="F593" s="93"/>
      <c r="G593" s="93"/>
      <c r="H593" s="50"/>
      <c r="I593" s="9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22.5" customHeight="1">
      <c r="A594" s="93"/>
      <c r="B594" s="93"/>
      <c r="C594" s="93"/>
      <c r="D594" s="106"/>
      <c r="E594" s="93"/>
      <c r="F594" s="93"/>
      <c r="G594" s="93"/>
      <c r="H594" s="50"/>
      <c r="I594" s="9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22.5" customHeight="1">
      <c r="A595" s="93"/>
      <c r="B595" s="93"/>
      <c r="C595" s="93"/>
      <c r="D595" s="106"/>
      <c r="E595" s="93"/>
      <c r="F595" s="93"/>
      <c r="G595" s="93"/>
      <c r="H595" s="50"/>
      <c r="I595" s="9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22.5" customHeight="1">
      <c r="A596" s="93"/>
      <c r="B596" s="93"/>
      <c r="C596" s="93"/>
      <c r="D596" s="106"/>
      <c r="E596" s="93"/>
      <c r="F596" s="93"/>
      <c r="G596" s="93"/>
      <c r="H596" s="50"/>
      <c r="I596" s="9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22.5" customHeight="1">
      <c r="A597" s="93"/>
      <c r="B597" s="93"/>
      <c r="C597" s="93"/>
      <c r="D597" s="106"/>
      <c r="E597" s="93"/>
      <c r="F597" s="93"/>
      <c r="G597" s="93"/>
      <c r="H597" s="50"/>
      <c r="I597" s="9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22.5" customHeight="1">
      <c r="A598" s="93"/>
      <c r="B598" s="93"/>
      <c r="C598" s="93"/>
      <c r="D598" s="106"/>
      <c r="E598" s="93"/>
      <c r="F598" s="93"/>
      <c r="G598" s="93"/>
      <c r="H598" s="50"/>
      <c r="I598" s="9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22.5" customHeight="1">
      <c r="A599" s="93"/>
      <c r="B599" s="93"/>
      <c r="C599" s="93"/>
      <c r="D599" s="106"/>
      <c r="E599" s="93"/>
      <c r="F599" s="93"/>
      <c r="G599" s="93"/>
      <c r="H599" s="50"/>
      <c r="I599" s="9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22.5" customHeight="1">
      <c r="A600" s="93"/>
      <c r="B600" s="93"/>
      <c r="C600" s="93"/>
      <c r="D600" s="106"/>
      <c r="E600" s="93"/>
      <c r="F600" s="93"/>
      <c r="G600" s="93"/>
      <c r="H600" s="50"/>
      <c r="I600" s="9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22.5" customHeight="1">
      <c r="A601" s="93"/>
      <c r="B601" s="93"/>
      <c r="C601" s="93"/>
      <c r="D601" s="106"/>
      <c r="E601" s="93"/>
      <c r="F601" s="93"/>
      <c r="G601" s="93"/>
      <c r="H601" s="50"/>
      <c r="I601" s="9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22.5" customHeight="1">
      <c r="A602" s="93"/>
      <c r="B602" s="93"/>
      <c r="C602" s="93"/>
      <c r="D602" s="106"/>
      <c r="E602" s="93"/>
      <c r="F602" s="93"/>
      <c r="G602" s="93"/>
      <c r="H602" s="50"/>
      <c r="I602" s="9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22.5" customHeight="1">
      <c r="A603" s="93"/>
      <c r="B603" s="93"/>
      <c r="C603" s="93"/>
      <c r="D603" s="106"/>
      <c r="E603" s="93"/>
      <c r="F603" s="93"/>
      <c r="G603" s="93"/>
      <c r="H603" s="50"/>
      <c r="I603" s="9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22.5" customHeight="1">
      <c r="A604" s="93"/>
      <c r="B604" s="93"/>
      <c r="C604" s="93"/>
      <c r="D604" s="106"/>
      <c r="E604" s="93"/>
      <c r="F604" s="93"/>
      <c r="G604" s="93"/>
      <c r="H604" s="50"/>
      <c r="I604" s="9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22.5" customHeight="1">
      <c r="A605" s="93"/>
      <c r="B605" s="93"/>
      <c r="C605" s="93"/>
      <c r="D605" s="106"/>
      <c r="E605" s="93"/>
      <c r="F605" s="93"/>
      <c r="G605" s="93"/>
      <c r="H605" s="50"/>
      <c r="I605" s="9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22.5" customHeight="1">
      <c r="A606" s="93"/>
      <c r="B606" s="93"/>
      <c r="C606" s="93"/>
      <c r="D606" s="106"/>
      <c r="E606" s="93"/>
      <c r="F606" s="93"/>
      <c r="G606" s="93"/>
      <c r="H606" s="50"/>
      <c r="I606" s="9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22.5" customHeight="1">
      <c r="A607" s="93"/>
      <c r="B607" s="93"/>
      <c r="C607" s="93"/>
      <c r="D607" s="106"/>
      <c r="E607" s="93"/>
      <c r="F607" s="93"/>
      <c r="G607" s="93"/>
      <c r="H607" s="50"/>
      <c r="I607" s="9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22.5" customHeight="1">
      <c r="A608" s="93"/>
      <c r="B608" s="93"/>
      <c r="C608" s="93"/>
      <c r="D608" s="106"/>
      <c r="E608" s="93"/>
      <c r="F608" s="93"/>
      <c r="G608" s="93"/>
      <c r="H608" s="50"/>
      <c r="I608" s="9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22.5" customHeight="1">
      <c r="A609" s="93"/>
      <c r="B609" s="93"/>
      <c r="C609" s="93"/>
      <c r="D609" s="106"/>
      <c r="E609" s="93"/>
      <c r="F609" s="93"/>
      <c r="G609" s="93"/>
      <c r="H609" s="50"/>
      <c r="I609" s="9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22.5" customHeight="1">
      <c r="A610" s="93"/>
      <c r="B610" s="93"/>
      <c r="C610" s="93"/>
      <c r="D610" s="106"/>
      <c r="E610" s="93"/>
      <c r="F610" s="93"/>
      <c r="G610" s="93"/>
      <c r="H610" s="50"/>
      <c r="I610" s="9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22.5" customHeight="1">
      <c r="A611" s="93"/>
      <c r="B611" s="93"/>
      <c r="C611" s="93"/>
      <c r="D611" s="106"/>
      <c r="E611" s="93"/>
      <c r="F611" s="93"/>
      <c r="G611" s="93"/>
      <c r="H611" s="50"/>
      <c r="I611" s="9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22.5" customHeight="1">
      <c r="A612" s="93"/>
      <c r="B612" s="93"/>
      <c r="C612" s="93"/>
      <c r="D612" s="106"/>
      <c r="E612" s="93"/>
      <c r="F612" s="93"/>
      <c r="G612" s="93"/>
      <c r="H612" s="50"/>
      <c r="I612" s="9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22.5" customHeight="1">
      <c r="A613" s="93"/>
      <c r="B613" s="93"/>
      <c r="C613" s="93"/>
      <c r="D613" s="106"/>
      <c r="E613" s="93"/>
      <c r="F613" s="93"/>
      <c r="G613" s="93"/>
      <c r="H613" s="50"/>
      <c r="I613" s="9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22.5" customHeight="1">
      <c r="A614" s="93"/>
      <c r="B614" s="93"/>
      <c r="C614" s="93"/>
      <c r="D614" s="106"/>
      <c r="E614" s="93"/>
      <c r="F614" s="93"/>
      <c r="G614" s="93"/>
      <c r="H614" s="50"/>
      <c r="I614" s="9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22.5" customHeight="1">
      <c r="A615" s="93"/>
      <c r="B615" s="93"/>
      <c r="C615" s="93"/>
      <c r="D615" s="106"/>
      <c r="E615" s="93"/>
      <c r="F615" s="93"/>
      <c r="G615" s="93"/>
      <c r="H615" s="50"/>
      <c r="I615" s="9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22.5" customHeight="1">
      <c r="A616" s="93"/>
      <c r="B616" s="93"/>
      <c r="C616" s="93"/>
      <c r="D616" s="106"/>
      <c r="E616" s="93"/>
      <c r="F616" s="93"/>
      <c r="G616" s="93"/>
      <c r="H616" s="50"/>
      <c r="I616" s="9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22.5" customHeight="1">
      <c r="A617" s="93"/>
      <c r="B617" s="93"/>
      <c r="C617" s="93"/>
      <c r="D617" s="106"/>
      <c r="E617" s="93"/>
      <c r="F617" s="93"/>
      <c r="G617" s="93"/>
      <c r="H617" s="50"/>
      <c r="I617" s="9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22.5" customHeight="1">
      <c r="A618" s="93"/>
      <c r="B618" s="93"/>
      <c r="C618" s="93"/>
      <c r="D618" s="106"/>
      <c r="E618" s="93"/>
      <c r="F618" s="93"/>
      <c r="G618" s="93"/>
      <c r="H618" s="50"/>
      <c r="I618" s="9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 ht="22.5" customHeight="1">
      <c r="A619" s="93"/>
      <c r="B619" s="93"/>
      <c r="C619" s="93"/>
      <c r="D619" s="106"/>
      <c r="E619" s="93"/>
      <c r="F619" s="93"/>
      <c r="G619" s="93"/>
      <c r="H619" s="50"/>
      <c r="I619" s="93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 ht="22.5" customHeight="1">
      <c r="A620" s="93"/>
      <c r="B620" s="93"/>
      <c r="C620" s="93"/>
      <c r="D620" s="106"/>
      <c r="E620" s="93"/>
      <c r="F620" s="93"/>
      <c r="G620" s="93"/>
      <c r="H620" s="50"/>
      <c r="I620" s="93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 ht="22.5" customHeight="1">
      <c r="A621" s="93"/>
      <c r="B621" s="93"/>
      <c r="C621" s="93"/>
      <c r="D621" s="106"/>
      <c r="E621" s="93"/>
      <c r="F621" s="93"/>
      <c r="G621" s="93"/>
      <c r="H621" s="50"/>
      <c r="I621" s="93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 ht="22.5" customHeight="1">
      <c r="A622" s="93"/>
      <c r="B622" s="93"/>
      <c r="C622" s="93"/>
      <c r="D622" s="106"/>
      <c r="E622" s="93"/>
      <c r="F622" s="93"/>
      <c r="G622" s="93"/>
      <c r="H622" s="50"/>
      <c r="I622" s="93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 ht="22.5" customHeight="1">
      <c r="A623" s="93"/>
      <c r="B623" s="93"/>
      <c r="C623" s="93"/>
      <c r="D623" s="106"/>
      <c r="E623" s="93"/>
      <c r="F623" s="93"/>
      <c r="G623" s="93"/>
      <c r="H623" s="50"/>
      <c r="I623" s="93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 ht="22.5" customHeight="1">
      <c r="A624" s="93"/>
      <c r="B624" s="93"/>
      <c r="C624" s="93"/>
      <c r="D624" s="106"/>
      <c r="E624" s="93"/>
      <c r="F624" s="93"/>
      <c r="G624" s="93"/>
      <c r="H624" s="50"/>
      <c r="I624" s="93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 ht="22.5" customHeight="1">
      <c r="A625" s="93"/>
      <c r="B625" s="93"/>
      <c r="C625" s="93"/>
      <c r="D625" s="106"/>
      <c r="E625" s="93"/>
      <c r="F625" s="93"/>
      <c r="G625" s="93"/>
      <c r="H625" s="50"/>
      <c r="I625" s="93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 ht="22.5" customHeight="1">
      <c r="A626" s="93"/>
      <c r="B626" s="93"/>
      <c r="C626" s="93"/>
      <c r="D626" s="106"/>
      <c r="E626" s="93"/>
      <c r="F626" s="93"/>
      <c r="G626" s="93"/>
      <c r="H626" s="50"/>
      <c r="I626" s="93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 ht="22.5" customHeight="1">
      <c r="A627" s="93"/>
      <c r="B627" s="93"/>
      <c r="C627" s="93"/>
      <c r="D627" s="106"/>
      <c r="E627" s="93"/>
      <c r="F627" s="93"/>
      <c r="G627" s="93"/>
      <c r="H627" s="50"/>
      <c r="I627" s="93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 ht="22.5" customHeight="1">
      <c r="A628" s="93"/>
      <c r="B628" s="93"/>
      <c r="C628" s="93"/>
      <c r="D628" s="106"/>
      <c r="E628" s="93"/>
      <c r="F628" s="93"/>
      <c r="G628" s="93"/>
      <c r="H628" s="50"/>
      <c r="I628" s="93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 ht="22.5" customHeight="1">
      <c r="A629" s="93"/>
      <c r="B629" s="93"/>
      <c r="C629" s="93"/>
      <c r="D629" s="106"/>
      <c r="E629" s="93"/>
      <c r="F629" s="93"/>
      <c r="G629" s="93"/>
      <c r="H629" s="50"/>
      <c r="I629" s="93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 ht="22.5" customHeight="1">
      <c r="A630" s="93"/>
      <c r="B630" s="93"/>
      <c r="C630" s="93"/>
      <c r="D630" s="106"/>
      <c r="E630" s="93"/>
      <c r="F630" s="93"/>
      <c r="G630" s="93"/>
      <c r="H630" s="50"/>
      <c r="I630" s="93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 ht="22.5" customHeight="1">
      <c r="A631" s="93"/>
      <c r="B631" s="93"/>
      <c r="C631" s="93"/>
      <c r="D631" s="106"/>
      <c r="E631" s="93"/>
      <c r="F631" s="93"/>
      <c r="G631" s="93"/>
      <c r="H631" s="50"/>
      <c r="I631" s="93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 ht="22.5" customHeight="1">
      <c r="A632" s="93"/>
      <c r="B632" s="93"/>
      <c r="C632" s="93"/>
      <c r="D632" s="106"/>
      <c r="E632" s="93"/>
      <c r="F632" s="93"/>
      <c r="G632" s="93"/>
      <c r="H632" s="50"/>
      <c r="I632" s="93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 ht="22.5" customHeight="1">
      <c r="A633" s="93"/>
      <c r="B633" s="93"/>
      <c r="C633" s="93"/>
      <c r="D633" s="106"/>
      <c r="E633" s="93"/>
      <c r="F633" s="93"/>
      <c r="G633" s="93"/>
      <c r="H633" s="50"/>
      <c r="I633" s="93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 ht="22.5" customHeight="1">
      <c r="A634" s="93"/>
      <c r="B634" s="93"/>
      <c r="C634" s="93"/>
      <c r="D634" s="106"/>
      <c r="E634" s="93"/>
      <c r="F634" s="93"/>
      <c r="G634" s="93"/>
      <c r="H634" s="50"/>
      <c r="I634" s="93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 ht="22.5" customHeight="1">
      <c r="A635" s="93"/>
      <c r="B635" s="93"/>
      <c r="C635" s="93"/>
      <c r="D635" s="106"/>
      <c r="E635" s="93"/>
      <c r="F635" s="93"/>
      <c r="G635" s="93"/>
      <c r="H635" s="50"/>
      <c r="I635" s="93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 ht="22.5" customHeight="1">
      <c r="A636" s="93"/>
      <c r="B636" s="93"/>
      <c r="C636" s="93"/>
      <c r="D636" s="106"/>
      <c r="E636" s="93"/>
      <c r="F636" s="93"/>
      <c r="G636" s="93"/>
      <c r="H636" s="50"/>
      <c r="I636" s="93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 ht="22.5" customHeight="1">
      <c r="A637" s="93"/>
      <c r="B637" s="93"/>
      <c r="C637" s="93"/>
      <c r="D637" s="106"/>
      <c r="E637" s="93"/>
      <c r="F637" s="93"/>
      <c r="G637" s="93"/>
      <c r="H637" s="50"/>
      <c r="I637" s="93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 ht="22.5" customHeight="1">
      <c r="A638" s="93"/>
      <c r="B638" s="93"/>
      <c r="C638" s="93"/>
      <c r="D638" s="106"/>
      <c r="E638" s="93"/>
      <c r="F638" s="93"/>
      <c r="G638" s="93"/>
      <c r="H638" s="50"/>
      <c r="I638" s="93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 ht="22.5" customHeight="1">
      <c r="A639" s="93"/>
      <c r="B639" s="93"/>
      <c r="C639" s="93"/>
      <c r="D639" s="106"/>
      <c r="E639" s="93"/>
      <c r="F639" s="93"/>
      <c r="G639" s="93"/>
      <c r="H639" s="50"/>
      <c r="I639" s="93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 ht="22.5" customHeight="1">
      <c r="A640" s="93"/>
      <c r="B640" s="93"/>
      <c r="C640" s="93"/>
      <c r="D640" s="106"/>
      <c r="E640" s="93"/>
      <c r="F640" s="93"/>
      <c r="G640" s="93"/>
      <c r="H640" s="50"/>
      <c r="I640" s="93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 ht="22.5" customHeight="1">
      <c r="A641" s="93"/>
      <c r="B641" s="93"/>
      <c r="C641" s="93"/>
      <c r="D641" s="106"/>
      <c r="E641" s="93"/>
      <c r="F641" s="93"/>
      <c r="G641" s="93"/>
      <c r="H641" s="50"/>
      <c r="I641" s="93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 ht="22.5" customHeight="1">
      <c r="A642" s="93"/>
      <c r="B642" s="93"/>
      <c r="C642" s="93"/>
      <c r="D642" s="106"/>
      <c r="E642" s="93"/>
      <c r="F642" s="93"/>
      <c r="G642" s="93"/>
      <c r="H642" s="50"/>
      <c r="I642" s="93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 ht="22.5" customHeight="1">
      <c r="A643" s="93"/>
      <c r="B643" s="93"/>
      <c r="C643" s="93"/>
      <c r="D643" s="106"/>
      <c r="E643" s="93"/>
      <c r="F643" s="93"/>
      <c r="G643" s="93"/>
      <c r="H643" s="50"/>
      <c r="I643" s="93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 ht="22.5" customHeight="1">
      <c r="A644" s="93"/>
      <c r="B644" s="93"/>
      <c r="C644" s="93"/>
      <c r="D644" s="106"/>
      <c r="E644" s="93"/>
      <c r="F644" s="93"/>
      <c r="G644" s="93"/>
      <c r="H644" s="50"/>
      <c r="I644" s="93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 ht="22.5" customHeight="1">
      <c r="A645" s="93"/>
      <c r="B645" s="93"/>
      <c r="C645" s="93"/>
      <c r="D645" s="106"/>
      <c r="E645" s="93"/>
      <c r="F645" s="93"/>
      <c r="G645" s="93"/>
      <c r="H645" s="50"/>
      <c r="I645" s="93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 ht="22.5" customHeight="1">
      <c r="A646" s="93"/>
      <c r="B646" s="93"/>
      <c r="C646" s="93"/>
      <c r="D646" s="106"/>
      <c r="E646" s="93"/>
      <c r="F646" s="93"/>
      <c r="G646" s="93"/>
      <c r="H646" s="50"/>
      <c r="I646" s="93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 ht="22.5" customHeight="1">
      <c r="A647" s="93"/>
      <c r="B647" s="93"/>
      <c r="C647" s="93"/>
      <c r="D647" s="106"/>
      <c r="E647" s="93"/>
      <c r="F647" s="93"/>
      <c r="G647" s="93"/>
      <c r="H647" s="50"/>
      <c r="I647" s="93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 ht="22.5" customHeight="1">
      <c r="A648" s="93"/>
      <c r="B648" s="93"/>
      <c r="C648" s="93"/>
      <c r="D648" s="106"/>
      <c r="E648" s="93"/>
      <c r="F648" s="93"/>
      <c r="G648" s="93"/>
      <c r="H648" s="50"/>
      <c r="I648" s="93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 ht="22.5" customHeight="1">
      <c r="A649" s="93"/>
      <c r="B649" s="93"/>
      <c r="C649" s="93"/>
      <c r="D649" s="106"/>
      <c r="E649" s="93"/>
      <c r="F649" s="93"/>
      <c r="G649" s="93"/>
      <c r="H649" s="50"/>
      <c r="I649" s="93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 ht="22.5" customHeight="1">
      <c r="A650" s="93"/>
      <c r="B650" s="93"/>
      <c r="C650" s="93"/>
      <c r="D650" s="106"/>
      <c r="E650" s="93"/>
      <c r="F650" s="93"/>
      <c r="G650" s="93"/>
      <c r="H650" s="50"/>
      <c r="I650" s="93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 ht="22.5" customHeight="1">
      <c r="A651" s="93"/>
      <c r="B651" s="93"/>
      <c r="C651" s="93"/>
      <c r="D651" s="106"/>
      <c r="E651" s="93"/>
      <c r="F651" s="93"/>
      <c r="G651" s="93"/>
      <c r="H651" s="50"/>
      <c r="I651" s="93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 ht="22.5" customHeight="1">
      <c r="A652" s="93"/>
      <c r="B652" s="93"/>
      <c r="C652" s="93"/>
      <c r="D652" s="106"/>
      <c r="E652" s="93"/>
      <c r="F652" s="93"/>
      <c r="G652" s="93"/>
      <c r="H652" s="50"/>
      <c r="I652" s="93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 ht="22.5" customHeight="1">
      <c r="A653" s="93"/>
      <c r="B653" s="93"/>
      <c r="C653" s="93"/>
      <c r="D653" s="106"/>
      <c r="E653" s="93"/>
      <c r="F653" s="93"/>
      <c r="G653" s="93"/>
      <c r="H653" s="50"/>
      <c r="I653" s="93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 ht="22.5" customHeight="1">
      <c r="A654" s="93"/>
      <c r="B654" s="93"/>
      <c r="C654" s="93"/>
      <c r="D654" s="106"/>
      <c r="E654" s="93"/>
      <c r="F654" s="93"/>
      <c r="G654" s="93"/>
      <c r="H654" s="50"/>
      <c r="I654" s="93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 ht="22.5" customHeight="1">
      <c r="A655" s="93"/>
      <c r="B655" s="93"/>
      <c r="C655" s="93"/>
      <c r="D655" s="106"/>
      <c r="E655" s="93"/>
      <c r="F655" s="93"/>
      <c r="G655" s="93"/>
      <c r="H655" s="50"/>
      <c r="I655" s="93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 ht="22.5" customHeight="1">
      <c r="A656" s="93"/>
      <c r="B656" s="93"/>
      <c r="C656" s="93"/>
      <c r="D656" s="106"/>
      <c r="E656" s="93"/>
      <c r="F656" s="93"/>
      <c r="G656" s="93"/>
      <c r="H656" s="50"/>
      <c r="I656" s="93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 ht="22.5" customHeight="1">
      <c r="A657" s="93"/>
      <c r="B657" s="93"/>
      <c r="C657" s="93"/>
      <c r="D657" s="106"/>
      <c r="E657" s="93"/>
      <c r="F657" s="93"/>
      <c r="G657" s="93"/>
      <c r="H657" s="50"/>
      <c r="I657" s="93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 ht="22.5" customHeight="1">
      <c r="A658" s="93"/>
      <c r="B658" s="93"/>
      <c r="C658" s="93"/>
      <c r="D658" s="106"/>
      <c r="E658" s="93"/>
      <c r="F658" s="93"/>
      <c r="G658" s="93"/>
      <c r="H658" s="50"/>
      <c r="I658" s="93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 ht="22.5" customHeight="1">
      <c r="A659" s="93"/>
      <c r="B659" s="93"/>
      <c r="C659" s="93"/>
      <c r="D659" s="106"/>
      <c r="E659" s="93"/>
      <c r="F659" s="93"/>
      <c r="G659" s="93"/>
      <c r="H659" s="50"/>
      <c r="I659" s="93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 ht="22.5" customHeight="1">
      <c r="A660" s="93"/>
      <c r="B660" s="93"/>
      <c r="C660" s="93"/>
      <c r="D660" s="106"/>
      <c r="E660" s="93"/>
      <c r="F660" s="93"/>
      <c r="G660" s="93"/>
      <c r="H660" s="50"/>
      <c r="I660" s="93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 ht="22.5" customHeight="1">
      <c r="A661" s="93"/>
      <c r="B661" s="93"/>
      <c r="C661" s="93"/>
      <c r="D661" s="106"/>
      <c r="E661" s="93"/>
      <c r="F661" s="93"/>
      <c r="G661" s="93"/>
      <c r="H661" s="50"/>
      <c r="I661" s="93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 ht="22.5" customHeight="1">
      <c r="A662" s="93"/>
      <c r="B662" s="93"/>
      <c r="C662" s="93"/>
      <c r="D662" s="106"/>
      <c r="E662" s="93"/>
      <c r="F662" s="93"/>
      <c r="G662" s="93"/>
      <c r="H662" s="50"/>
      <c r="I662" s="93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ht="22.5" customHeight="1">
      <c r="A663" s="93"/>
      <c r="B663" s="93"/>
      <c r="C663" s="93"/>
      <c r="D663" s="106"/>
      <c r="E663" s="93"/>
      <c r="F663" s="93"/>
      <c r="G663" s="93"/>
      <c r="H663" s="50"/>
      <c r="I663" s="93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 ht="22.5" customHeight="1">
      <c r="A664" s="93"/>
      <c r="B664" s="93"/>
      <c r="C664" s="93"/>
      <c r="D664" s="106"/>
      <c r="E664" s="93"/>
      <c r="F664" s="93"/>
      <c r="G664" s="93"/>
      <c r="H664" s="50"/>
      <c r="I664" s="93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 ht="22.5" customHeight="1">
      <c r="A665" s="93"/>
      <c r="B665" s="93"/>
      <c r="C665" s="93"/>
      <c r="D665" s="106"/>
      <c r="E665" s="93"/>
      <c r="F665" s="93"/>
      <c r="G665" s="93"/>
      <c r="H665" s="50"/>
      <c r="I665" s="93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ht="22.5" customHeight="1">
      <c r="A666" s="93"/>
      <c r="B666" s="93"/>
      <c r="C666" s="93"/>
      <c r="D666" s="106"/>
      <c r="E666" s="93"/>
      <c r="F666" s="93"/>
      <c r="G666" s="93"/>
      <c r="H666" s="50"/>
      <c r="I666" s="93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ht="22.5" customHeight="1">
      <c r="A667" s="93"/>
      <c r="B667" s="93"/>
      <c r="C667" s="93"/>
      <c r="D667" s="106"/>
      <c r="E667" s="93"/>
      <c r="F667" s="93"/>
      <c r="G667" s="93"/>
      <c r="H667" s="50"/>
      <c r="I667" s="93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 ht="22.5" customHeight="1">
      <c r="A668" s="93"/>
      <c r="B668" s="93"/>
      <c r="C668" s="93"/>
      <c r="D668" s="106"/>
      <c r="E668" s="93"/>
      <c r="F668" s="93"/>
      <c r="G668" s="93"/>
      <c r="H668" s="50"/>
      <c r="I668" s="93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 ht="22.5" customHeight="1">
      <c r="A669" s="93"/>
      <c r="B669" s="93"/>
      <c r="C669" s="93"/>
      <c r="D669" s="106"/>
      <c r="E669" s="93"/>
      <c r="F669" s="93"/>
      <c r="G669" s="93"/>
      <c r="H669" s="50"/>
      <c r="I669" s="93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 ht="22.5" customHeight="1">
      <c r="A670" s="93"/>
      <c r="B670" s="93"/>
      <c r="C670" s="93"/>
      <c r="D670" s="106"/>
      <c r="E670" s="93"/>
      <c r="F670" s="93"/>
      <c r="G670" s="93"/>
      <c r="H670" s="50"/>
      <c r="I670" s="93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 ht="22.5" customHeight="1">
      <c r="A671" s="93"/>
      <c r="B671" s="93"/>
      <c r="C671" s="93"/>
      <c r="D671" s="106"/>
      <c r="E671" s="93"/>
      <c r="F671" s="93"/>
      <c r="G671" s="93"/>
      <c r="H671" s="50"/>
      <c r="I671" s="93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 ht="22.5" customHeight="1">
      <c r="A672" s="93"/>
      <c r="B672" s="93"/>
      <c r="C672" s="93"/>
      <c r="D672" s="106"/>
      <c r="E672" s="93"/>
      <c r="F672" s="93"/>
      <c r="G672" s="93"/>
      <c r="H672" s="50"/>
      <c r="I672" s="93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 ht="22.5" customHeight="1">
      <c r="A673" s="93"/>
      <c r="B673" s="93"/>
      <c r="C673" s="93"/>
      <c r="D673" s="106"/>
      <c r="E673" s="93"/>
      <c r="F673" s="93"/>
      <c r="G673" s="93"/>
      <c r="H673" s="50"/>
      <c r="I673" s="93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 ht="22.5" customHeight="1">
      <c r="A674" s="93"/>
      <c r="B674" s="93"/>
      <c r="C674" s="93"/>
      <c r="D674" s="106"/>
      <c r="E674" s="93"/>
      <c r="F674" s="93"/>
      <c r="G674" s="93"/>
      <c r="H674" s="50"/>
      <c r="I674" s="93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 ht="22.5" customHeight="1">
      <c r="A675" s="93"/>
      <c r="B675" s="93"/>
      <c r="C675" s="93"/>
      <c r="D675" s="106"/>
      <c r="E675" s="93"/>
      <c r="F675" s="93"/>
      <c r="G675" s="93"/>
      <c r="H675" s="50"/>
      <c r="I675" s="93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 ht="22.5" customHeight="1">
      <c r="A676" s="93"/>
      <c r="B676" s="93"/>
      <c r="C676" s="93"/>
      <c r="D676" s="106"/>
      <c r="E676" s="93"/>
      <c r="F676" s="93"/>
      <c r="G676" s="93"/>
      <c r="H676" s="50"/>
      <c r="I676" s="93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 ht="22.5" customHeight="1">
      <c r="A677" s="93"/>
      <c r="B677" s="93"/>
      <c r="C677" s="93"/>
      <c r="D677" s="106"/>
      <c r="E677" s="93"/>
      <c r="F677" s="93"/>
      <c r="G677" s="93"/>
      <c r="H677" s="50"/>
      <c r="I677" s="93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 ht="22.5" customHeight="1">
      <c r="A678" s="93"/>
      <c r="B678" s="93"/>
      <c r="C678" s="93"/>
      <c r="D678" s="106"/>
      <c r="E678" s="93"/>
      <c r="F678" s="93"/>
      <c r="G678" s="93"/>
      <c r="H678" s="50"/>
      <c r="I678" s="93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 ht="22.5" customHeight="1">
      <c r="A679" s="93"/>
      <c r="B679" s="93"/>
      <c r="C679" s="93"/>
      <c r="D679" s="106"/>
      <c r="E679" s="93"/>
      <c r="F679" s="93"/>
      <c r="G679" s="93"/>
      <c r="H679" s="50"/>
      <c r="I679" s="93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 ht="22.5" customHeight="1">
      <c r="A680" s="93"/>
      <c r="B680" s="93"/>
      <c r="C680" s="93"/>
      <c r="D680" s="106"/>
      <c r="E680" s="93"/>
      <c r="F680" s="93"/>
      <c r="G680" s="93"/>
      <c r="H680" s="50"/>
      <c r="I680" s="93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 ht="22.5" customHeight="1">
      <c r="A681" s="93"/>
      <c r="B681" s="93"/>
      <c r="C681" s="93"/>
      <c r="D681" s="106"/>
      <c r="E681" s="93"/>
      <c r="F681" s="93"/>
      <c r="G681" s="93"/>
      <c r="H681" s="50"/>
      <c r="I681" s="93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 ht="22.5" customHeight="1">
      <c r="A682" s="93"/>
      <c r="B682" s="93"/>
      <c r="C682" s="93"/>
      <c r="D682" s="106"/>
      <c r="E682" s="93"/>
      <c r="F682" s="93"/>
      <c r="G682" s="93"/>
      <c r="H682" s="50"/>
      <c r="I682" s="93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 ht="22.5" customHeight="1">
      <c r="A683" s="93"/>
      <c r="B683" s="93"/>
      <c r="C683" s="93"/>
      <c r="D683" s="106"/>
      <c r="E683" s="93"/>
      <c r="F683" s="93"/>
      <c r="G683" s="93"/>
      <c r="H683" s="50"/>
      <c r="I683" s="93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 ht="22.5" customHeight="1">
      <c r="A684" s="93"/>
      <c r="B684" s="93"/>
      <c r="C684" s="93"/>
      <c r="D684" s="106"/>
      <c r="E684" s="93"/>
      <c r="F684" s="93"/>
      <c r="G684" s="93"/>
      <c r="H684" s="50"/>
      <c r="I684" s="93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 ht="22.5" customHeight="1">
      <c r="A685" s="93"/>
      <c r="B685" s="93"/>
      <c r="C685" s="93"/>
      <c r="D685" s="106"/>
      <c r="E685" s="93"/>
      <c r="F685" s="93"/>
      <c r="G685" s="93"/>
      <c r="H685" s="50"/>
      <c r="I685" s="93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 ht="22.5" customHeight="1">
      <c r="A686" s="93"/>
      <c r="B686" s="93"/>
      <c r="C686" s="93"/>
      <c r="D686" s="106"/>
      <c r="E686" s="93"/>
      <c r="F686" s="93"/>
      <c r="G686" s="93"/>
      <c r="H686" s="50"/>
      <c r="I686" s="93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 ht="22.5" customHeight="1">
      <c r="A687" s="93"/>
      <c r="B687" s="93"/>
      <c r="C687" s="93"/>
      <c r="D687" s="106"/>
      <c r="E687" s="93"/>
      <c r="F687" s="93"/>
      <c r="G687" s="93"/>
      <c r="H687" s="50"/>
      <c r="I687" s="93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 ht="22.5" customHeight="1">
      <c r="A688" s="93"/>
      <c r="B688" s="93"/>
      <c r="C688" s="93"/>
      <c r="D688" s="106"/>
      <c r="E688" s="93"/>
      <c r="F688" s="93"/>
      <c r="G688" s="93"/>
      <c r="H688" s="50"/>
      <c r="I688" s="93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 ht="22.5" customHeight="1">
      <c r="A689" s="93"/>
      <c r="B689" s="93"/>
      <c r="C689" s="93"/>
      <c r="D689" s="106"/>
      <c r="E689" s="93"/>
      <c r="F689" s="93"/>
      <c r="G689" s="93"/>
      <c r="H689" s="50"/>
      <c r="I689" s="93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 ht="22.5" customHeight="1">
      <c r="A690" s="93"/>
      <c r="B690" s="93"/>
      <c r="C690" s="93"/>
      <c r="D690" s="106"/>
      <c r="E690" s="93"/>
      <c r="F690" s="93"/>
      <c r="G690" s="93"/>
      <c r="H690" s="50"/>
      <c r="I690" s="93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 ht="22.5" customHeight="1">
      <c r="A691" s="93"/>
      <c r="B691" s="93"/>
      <c r="C691" s="93"/>
      <c r="D691" s="106"/>
      <c r="E691" s="93"/>
      <c r="F691" s="93"/>
      <c r="G691" s="93"/>
      <c r="H691" s="50"/>
      <c r="I691" s="93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 ht="22.5" customHeight="1">
      <c r="A692" s="93"/>
      <c r="B692" s="93"/>
      <c r="C692" s="93"/>
      <c r="D692" s="106"/>
      <c r="E692" s="93"/>
      <c r="F692" s="93"/>
      <c r="G692" s="93"/>
      <c r="H692" s="50"/>
      <c r="I692" s="93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 ht="22.5" customHeight="1">
      <c r="A693" s="93"/>
      <c r="B693" s="93"/>
      <c r="C693" s="93"/>
      <c r="D693" s="106"/>
      <c r="E693" s="93"/>
      <c r="F693" s="93"/>
      <c r="G693" s="93"/>
      <c r="H693" s="50"/>
      <c r="I693" s="93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 ht="22.5" customHeight="1">
      <c r="A694" s="93"/>
      <c r="B694" s="93"/>
      <c r="C694" s="93"/>
      <c r="D694" s="106"/>
      <c r="E694" s="93"/>
      <c r="F694" s="93"/>
      <c r="G694" s="93"/>
      <c r="H694" s="50"/>
      <c r="I694" s="93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 ht="22.5" customHeight="1">
      <c r="A695" s="93"/>
      <c r="B695" s="93"/>
      <c r="C695" s="93"/>
      <c r="D695" s="106"/>
      <c r="E695" s="93"/>
      <c r="F695" s="93"/>
      <c r="G695" s="93"/>
      <c r="H695" s="50"/>
      <c r="I695" s="93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 ht="22.5" customHeight="1">
      <c r="A696" s="93"/>
      <c r="B696" s="93"/>
      <c r="C696" s="93"/>
      <c r="D696" s="106"/>
      <c r="E696" s="93"/>
      <c r="F696" s="93"/>
      <c r="G696" s="93"/>
      <c r="H696" s="50"/>
      <c r="I696" s="93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 ht="22.5" customHeight="1">
      <c r="A697" s="93"/>
      <c r="B697" s="93"/>
      <c r="C697" s="93"/>
      <c r="D697" s="106"/>
      <c r="E697" s="93"/>
      <c r="F697" s="93"/>
      <c r="G697" s="93"/>
      <c r="H697" s="50"/>
      <c r="I697" s="93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 ht="22.5" customHeight="1">
      <c r="A698" s="93"/>
      <c r="B698" s="93"/>
      <c r="C698" s="93"/>
      <c r="D698" s="106"/>
      <c r="E698" s="93"/>
      <c r="F698" s="93"/>
      <c r="G698" s="93"/>
      <c r="H698" s="50"/>
      <c r="I698" s="93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 ht="22.5" customHeight="1">
      <c r="A699" s="93"/>
      <c r="B699" s="93"/>
      <c r="C699" s="93"/>
      <c r="D699" s="106"/>
      <c r="E699" s="93"/>
      <c r="F699" s="93"/>
      <c r="G699" s="93"/>
      <c r="H699" s="50"/>
      <c r="I699" s="93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 ht="22.5" customHeight="1">
      <c r="A700" s="93"/>
      <c r="B700" s="93"/>
      <c r="C700" s="93"/>
      <c r="D700" s="106"/>
      <c r="E700" s="93"/>
      <c r="F700" s="93"/>
      <c r="G700" s="93"/>
      <c r="H700" s="50"/>
      <c r="I700" s="93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 ht="22.5" customHeight="1">
      <c r="A701" s="93"/>
      <c r="B701" s="93"/>
      <c r="C701" s="93"/>
      <c r="D701" s="106"/>
      <c r="E701" s="93"/>
      <c r="F701" s="93"/>
      <c r="G701" s="93"/>
      <c r="H701" s="50"/>
      <c r="I701" s="93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 ht="22.5" customHeight="1">
      <c r="A702" s="93"/>
      <c r="B702" s="93"/>
      <c r="C702" s="93"/>
      <c r="D702" s="106"/>
      <c r="E702" s="93"/>
      <c r="F702" s="93"/>
      <c r="G702" s="93"/>
      <c r="H702" s="50"/>
      <c r="I702" s="93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 ht="22.5" customHeight="1">
      <c r="A703" s="93"/>
      <c r="B703" s="93"/>
      <c r="C703" s="93"/>
      <c r="D703" s="106"/>
      <c r="E703" s="93"/>
      <c r="F703" s="93"/>
      <c r="G703" s="93"/>
      <c r="H703" s="50"/>
      <c r="I703" s="93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 ht="22.5" customHeight="1">
      <c r="A704" s="93"/>
      <c r="B704" s="93"/>
      <c r="C704" s="93"/>
      <c r="D704" s="106"/>
      <c r="E704" s="93"/>
      <c r="F704" s="93"/>
      <c r="G704" s="93"/>
      <c r="H704" s="50"/>
      <c r="I704" s="93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 ht="22.5" customHeight="1">
      <c r="A705" s="93"/>
      <c r="B705" s="93"/>
      <c r="C705" s="93"/>
      <c r="D705" s="106"/>
      <c r="E705" s="93"/>
      <c r="F705" s="93"/>
      <c r="G705" s="93"/>
      <c r="H705" s="50"/>
      <c r="I705" s="93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 ht="22.5" customHeight="1">
      <c r="A706" s="93"/>
      <c r="B706" s="93"/>
      <c r="C706" s="93"/>
      <c r="D706" s="106"/>
      <c r="E706" s="93"/>
      <c r="F706" s="93"/>
      <c r="G706" s="93"/>
      <c r="H706" s="50"/>
      <c r="I706" s="93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 ht="22.5" customHeight="1">
      <c r="A707" s="93"/>
      <c r="B707" s="93"/>
      <c r="C707" s="93"/>
      <c r="D707" s="106"/>
      <c r="E707" s="93"/>
      <c r="F707" s="93"/>
      <c r="G707" s="93"/>
      <c r="H707" s="50"/>
      <c r="I707" s="93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 ht="22.5" customHeight="1">
      <c r="A708" s="93"/>
      <c r="B708" s="93"/>
      <c r="C708" s="93"/>
      <c r="D708" s="106"/>
      <c r="E708" s="93"/>
      <c r="F708" s="93"/>
      <c r="G708" s="93"/>
      <c r="H708" s="50"/>
      <c r="I708" s="93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 ht="22.5" customHeight="1">
      <c r="A709" s="93"/>
      <c r="B709" s="93"/>
      <c r="C709" s="93"/>
      <c r="D709" s="106"/>
      <c r="E709" s="93"/>
      <c r="F709" s="93"/>
      <c r="G709" s="93"/>
      <c r="H709" s="50"/>
      <c r="I709" s="93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 ht="22.5" customHeight="1">
      <c r="A710" s="93"/>
      <c r="B710" s="93"/>
      <c r="C710" s="93"/>
      <c r="D710" s="106"/>
      <c r="E710" s="93"/>
      <c r="F710" s="93"/>
      <c r="G710" s="93"/>
      <c r="H710" s="50"/>
      <c r="I710" s="93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 ht="22.5" customHeight="1">
      <c r="A711" s="93"/>
      <c r="B711" s="93"/>
      <c r="C711" s="93"/>
      <c r="D711" s="106"/>
      <c r="E711" s="93"/>
      <c r="F711" s="93"/>
      <c r="G711" s="93"/>
      <c r="H711" s="50"/>
      <c r="I711" s="93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 ht="22.5" customHeight="1">
      <c r="A712" s="93"/>
      <c r="B712" s="93"/>
      <c r="C712" s="93"/>
      <c r="D712" s="106"/>
      <c r="E712" s="93"/>
      <c r="F712" s="93"/>
      <c r="G712" s="93"/>
      <c r="H712" s="50"/>
      <c r="I712" s="93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 ht="22.5" customHeight="1">
      <c r="A713" s="93"/>
      <c r="B713" s="93"/>
      <c r="C713" s="93"/>
      <c r="D713" s="106"/>
      <c r="E713" s="93"/>
      <c r="F713" s="93"/>
      <c r="G713" s="93"/>
      <c r="H713" s="50"/>
      <c r="I713" s="93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 ht="22.5" customHeight="1">
      <c r="A714" s="93"/>
      <c r="B714" s="93"/>
      <c r="C714" s="93"/>
      <c r="D714" s="106"/>
      <c r="E714" s="93"/>
      <c r="F714" s="93"/>
      <c r="G714" s="93"/>
      <c r="H714" s="50"/>
      <c r="I714" s="93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 ht="22.5" customHeight="1">
      <c r="A715" s="93"/>
      <c r="B715" s="93"/>
      <c r="C715" s="93"/>
      <c r="D715" s="106"/>
      <c r="E715" s="93"/>
      <c r="F715" s="93"/>
      <c r="G715" s="93"/>
      <c r="H715" s="50"/>
      <c r="I715" s="93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 ht="22.5" customHeight="1">
      <c r="A716" s="93"/>
      <c r="B716" s="93"/>
      <c r="C716" s="93"/>
      <c r="D716" s="106"/>
      <c r="E716" s="93"/>
      <c r="F716" s="93"/>
      <c r="G716" s="93"/>
      <c r="H716" s="50"/>
      <c r="I716" s="93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 ht="22.5" customHeight="1">
      <c r="A717" s="93"/>
      <c r="B717" s="93"/>
      <c r="C717" s="93"/>
      <c r="D717" s="106"/>
      <c r="E717" s="93"/>
      <c r="F717" s="93"/>
      <c r="G717" s="93"/>
      <c r="H717" s="50"/>
      <c r="I717" s="93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 ht="22.5" customHeight="1">
      <c r="A718" s="93"/>
      <c r="B718" s="93"/>
      <c r="C718" s="93"/>
      <c r="D718" s="106"/>
      <c r="E718" s="93"/>
      <c r="F718" s="93"/>
      <c r="G718" s="93"/>
      <c r="H718" s="50"/>
      <c r="I718" s="93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 ht="22.5" customHeight="1">
      <c r="A719" s="93"/>
      <c r="B719" s="93"/>
      <c r="C719" s="93"/>
      <c r="D719" s="106"/>
      <c r="E719" s="93"/>
      <c r="F719" s="93"/>
      <c r="G719" s="93"/>
      <c r="H719" s="50"/>
      <c r="I719" s="93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 ht="22.5" customHeight="1">
      <c r="A720" s="93"/>
      <c r="B720" s="93"/>
      <c r="C720" s="93"/>
      <c r="D720" s="106"/>
      <c r="E720" s="93"/>
      <c r="F720" s="93"/>
      <c r="G720" s="93"/>
      <c r="H720" s="50"/>
      <c r="I720" s="93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 ht="22.5" customHeight="1">
      <c r="A721" s="93"/>
      <c r="B721" s="93"/>
      <c r="C721" s="93"/>
      <c r="D721" s="106"/>
      <c r="E721" s="93"/>
      <c r="F721" s="93"/>
      <c r="G721" s="93"/>
      <c r="H721" s="50"/>
      <c r="I721" s="93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 ht="22.5" customHeight="1">
      <c r="A722" s="93"/>
      <c r="B722" s="93"/>
      <c r="C722" s="93"/>
      <c r="D722" s="106"/>
      <c r="E722" s="93"/>
      <c r="F722" s="93"/>
      <c r="G722" s="93"/>
      <c r="H722" s="50"/>
      <c r="I722" s="93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 ht="22.5" customHeight="1">
      <c r="A723" s="93"/>
      <c r="B723" s="93"/>
      <c r="C723" s="93"/>
      <c r="D723" s="106"/>
      <c r="E723" s="93"/>
      <c r="F723" s="93"/>
      <c r="G723" s="93"/>
      <c r="H723" s="50"/>
      <c r="I723" s="93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 ht="22.5" customHeight="1">
      <c r="A724" s="93"/>
      <c r="B724" s="93"/>
      <c r="C724" s="93"/>
      <c r="D724" s="106"/>
      <c r="E724" s="93"/>
      <c r="F724" s="93"/>
      <c r="G724" s="93"/>
      <c r="H724" s="50"/>
      <c r="I724" s="93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 ht="22.5" customHeight="1">
      <c r="A725" s="93"/>
      <c r="B725" s="93"/>
      <c r="C725" s="93"/>
      <c r="D725" s="106"/>
      <c r="E725" s="93"/>
      <c r="F725" s="93"/>
      <c r="G725" s="93"/>
      <c r="H725" s="50"/>
      <c r="I725" s="93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 ht="22.5" customHeight="1">
      <c r="A726" s="93"/>
      <c r="B726" s="93"/>
      <c r="C726" s="93"/>
      <c r="D726" s="106"/>
      <c r="E726" s="93"/>
      <c r="F726" s="93"/>
      <c r="G726" s="93"/>
      <c r="H726" s="50"/>
      <c r="I726" s="93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 ht="22.5" customHeight="1">
      <c r="A727" s="93"/>
      <c r="B727" s="93"/>
      <c r="C727" s="93"/>
      <c r="D727" s="106"/>
      <c r="E727" s="93"/>
      <c r="F727" s="93"/>
      <c r="G727" s="93"/>
      <c r="H727" s="50"/>
      <c r="I727" s="93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 ht="22.5" customHeight="1">
      <c r="A728" s="93"/>
      <c r="B728" s="93"/>
      <c r="C728" s="93"/>
      <c r="D728" s="106"/>
      <c r="E728" s="93"/>
      <c r="F728" s="93"/>
      <c r="G728" s="93"/>
      <c r="H728" s="50"/>
      <c r="I728" s="93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 ht="22.5" customHeight="1">
      <c r="A729" s="93"/>
      <c r="B729" s="93"/>
      <c r="C729" s="93"/>
      <c r="D729" s="106"/>
      <c r="E729" s="93"/>
      <c r="F729" s="93"/>
      <c r="G729" s="93"/>
      <c r="H729" s="50"/>
      <c r="I729" s="93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 ht="22.5" customHeight="1">
      <c r="A730" s="93"/>
      <c r="B730" s="93"/>
      <c r="C730" s="93"/>
      <c r="D730" s="106"/>
      <c r="E730" s="93"/>
      <c r="F730" s="93"/>
      <c r="G730" s="93"/>
      <c r="H730" s="50"/>
      <c r="I730" s="93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 ht="22.5" customHeight="1">
      <c r="A731" s="93"/>
      <c r="B731" s="93"/>
      <c r="C731" s="93"/>
      <c r="D731" s="106"/>
      <c r="E731" s="93"/>
      <c r="F731" s="93"/>
      <c r="G731" s="93"/>
      <c r="H731" s="50"/>
      <c r="I731" s="93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 ht="22.5" customHeight="1">
      <c r="A732" s="93"/>
      <c r="B732" s="93"/>
      <c r="C732" s="93"/>
      <c r="D732" s="106"/>
      <c r="E732" s="93"/>
      <c r="F732" s="93"/>
      <c r="G732" s="93"/>
      <c r="H732" s="50"/>
      <c r="I732" s="93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 ht="22.5" customHeight="1">
      <c r="A733" s="93"/>
      <c r="B733" s="93"/>
      <c r="C733" s="93"/>
      <c r="D733" s="106"/>
      <c r="E733" s="93"/>
      <c r="F733" s="93"/>
      <c r="G733" s="93"/>
      <c r="H733" s="50"/>
      <c r="I733" s="93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ht="22.5" customHeight="1">
      <c r="A734" s="93"/>
      <c r="B734" s="93"/>
      <c r="C734" s="93"/>
      <c r="D734" s="106"/>
      <c r="E734" s="93"/>
      <c r="F734" s="93"/>
      <c r="G734" s="93"/>
      <c r="H734" s="50"/>
      <c r="I734" s="93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 ht="22.5" customHeight="1">
      <c r="A735" s="93"/>
      <c r="B735" s="93"/>
      <c r="C735" s="93"/>
      <c r="D735" s="106"/>
      <c r="E735" s="93"/>
      <c r="F735" s="93"/>
      <c r="G735" s="93"/>
      <c r="H735" s="50"/>
      <c r="I735" s="93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 ht="22.5" customHeight="1">
      <c r="A736" s="93"/>
      <c r="B736" s="93"/>
      <c r="C736" s="93"/>
      <c r="D736" s="106"/>
      <c r="E736" s="93"/>
      <c r="F736" s="93"/>
      <c r="G736" s="93"/>
      <c r="H736" s="50"/>
      <c r="I736" s="93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 ht="22.5" customHeight="1">
      <c r="A737" s="93"/>
      <c r="B737" s="93"/>
      <c r="C737" s="93"/>
      <c r="D737" s="106"/>
      <c r="E737" s="93"/>
      <c r="F737" s="93"/>
      <c r="G737" s="93"/>
      <c r="H737" s="50"/>
      <c r="I737" s="93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 ht="22.5" customHeight="1">
      <c r="A738" s="93"/>
      <c r="B738" s="93"/>
      <c r="C738" s="93"/>
      <c r="D738" s="106"/>
      <c r="E738" s="93"/>
      <c r="F738" s="93"/>
      <c r="G738" s="93"/>
      <c r="H738" s="50"/>
      <c r="I738" s="93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ht="22.5" customHeight="1">
      <c r="A739" s="93"/>
      <c r="B739" s="93"/>
      <c r="C739" s="93"/>
      <c r="D739" s="106"/>
      <c r="E739" s="93"/>
      <c r="F739" s="93"/>
      <c r="G739" s="93"/>
      <c r="H739" s="50"/>
      <c r="I739" s="93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ht="22.5" customHeight="1">
      <c r="A740" s="93"/>
      <c r="B740" s="93"/>
      <c r="C740" s="93"/>
      <c r="D740" s="106"/>
      <c r="E740" s="93"/>
      <c r="F740" s="93"/>
      <c r="G740" s="93"/>
      <c r="H740" s="50"/>
      <c r="I740" s="93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 ht="22.5" customHeight="1">
      <c r="A741" s="93"/>
      <c r="B741" s="93"/>
      <c r="C741" s="93"/>
      <c r="D741" s="106"/>
      <c r="E741" s="93"/>
      <c r="F741" s="93"/>
      <c r="G741" s="93"/>
      <c r="H741" s="50"/>
      <c r="I741" s="93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 ht="22.5" customHeight="1">
      <c r="A742" s="93"/>
      <c r="B742" s="93"/>
      <c r="C742" s="93"/>
      <c r="D742" s="106"/>
      <c r="E742" s="93"/>
      <c r="F742" s="93"/>
      <c r="G742" s="93"/>
      <c r="H742" s="50"/>
      <c r="I742" s="93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 ht="22.5" customHeight="1">
      <c r="A743" s="93"/>
      <c r="B743" s="93"/>
      <c r="C743" s="93"/>
      <c r="D743" s="106"/>
      <c r="E743" s="93"/>
      <c r="F743" s="93"/>
      <c r="G743" s="93"/>
      <c r="H743" s="50"/>
      <c r="I743" s="93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 ht="22.5" customHeight="1">
      <c r="A744" s="93"/>
      <c r="B744" s="93"/>
      <c r="C744" s="93"/>
      <c r="D744" s="106"/>
      <c r="E744" s="93"/>
      <c r="F744" s="93"/>
      <c r="G744" s="93"/>
      <c r="H744" s="50"/>
      <c r="I744" s="93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 ht="22.5" customHeight="1">
      <c r="A745" s="93"/>
      <c r="B745" s="93"/>
      <c r="C745" s="93"/>
      <c r="D745" s="106"/>
      <c r="E745" s="93"/>
      <c r="F745" s="93"/>
      <c r="G745" s="93"/>
      <c r="H745" s="50"/>
      <c r="I745" s="93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 ht="22.5" customHeight="1">
      <c r="A746" s="93"/>
      <c r="B746" s="93"/>
      <c r="C746" s="93"/>
      <c r="D746" s="106"/>
      <c r="E746" s="93"/>
      <c r="F746" s="93"/>
      <c r="G746" s="93"/>
      <c r="H746" s="50"/>
      <c r="I746" s="93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 ht="22.5" customHeight="1">
      <c r="A747" s="93"/>
      <c r="B747" s="93"/>
      <c r="C747" s="93"/>
      <c r="D747" s="106"/>
      <c r="E747" s="93"/>
      <c r="F747" s="93"/>
      <c r="G747" s="93"/>
      <c r="H747" s="50"/>
      <c r="I747" s="93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 ht="22.5" customHeight="1">
      <c r="A748" s="93"/>
      <c r="B748" s="93"/>
      <c r="C748" s="93"/>
      <c r="D748" s="106"/>
      <c r="E748" s="93"/>
      <c r="F748" s="93"/>
      <c r="G748" s="93"/>
      <c r="H748" s="50"/>
      <c r="I748" s="93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 ht="22.5" customHeight="1">
      <c r="A749" s="93"/>
      <c r="B749" s="93"/>
      <c r="C749" s="93"/>
      <c r="D749" s="106"/>
      <c r="E749" s="93"/>
      <c r="F749" s="93"/>
      <c r="G749" s="93"/>
      <c r="H749" s="50"/>
      <c r="I749" s="93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 ht="22.5" customHeight="1">
      <c r="A750" s="93"/>
      <c r="B750" s="93"/>
      <c r="C750" s="93"/>
      <c r="D750" s="106"/>
      <c r="E750" s="93"/>
      <c r="F750" s="93"/>
      <c r="G750" s="93"/>
      <c r="H750" s="50"/>
      <c r="I750" s="93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 ht="22.5" customHeight="1">
      <c r="A751" s="93"/>
      <c r="B751" s="93"/>
      <c r="C751" s="93"/>
      <c r="D751" s="106"/>
      <c r="E751" s="93"/>
      <c r="F751" s="93"/>
      <c r="G751" s="93"/>
      <c r="H751" s="50"/>
      <c r="I751" s="93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 ht="22.5" customHeight="1">
      <c r="A752" s="93"/>
      <c r="B752" s="93"/>
      <c r="C752" s="93"/>
      <c r="D752" s="106"/>
      <c r="E752" s="93"/>
      <c r="F752" s="93"/>
      <c r="G752" s="93"/>
      <c r="H752" s="50"/>
      <c r="I752" s="93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 ht="22.5" customHeight="1">
      <c r="A753" s="93"/>
      <c r="B753" s="93"/>
      <c r="C753" s="93"/>
      <c r="D753" s="106"/>
      <c r="E753" s="93"/>
      <c r="F753" s="93"/>
      <c r="G753" s="93"/>
      <c r="H753" s="50"/>
      <c r="I753" s="93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 ht="22.5" customHeight="1">
      <c r="A754" s="93"/>
      <c r="B754" s="93"/>
      <c r="C754" s="93"/>
      <c r="D754" s="106"/>
      <c r="E754" s="93"/>
      <c r="F754" s="93"/>
      <c r="G754" s="93"/>
      <c r="H754" s="50"/>
      <c r="I754" s="93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 ht="22.5" customHeight="1">
      <c r="A755" s="93"/>
      <c r="B755" s="93"/>
      <c r="C755" s="93"/>
      <c r="D755" s="106"/>
      <c r="E755" s="93"/>
      <c r="F755" s="93"/>
      <c r="G755" s="93"/>
      <c r="H755" s="50"/>
      <c r="I755" s="93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 ht="22.5" customHeight="1">
      <c r="A756" s="93"/>
      <c r="B756" s="93"/>
      <c r="C756" s="93"/>
      <c r="D756" s="106"/>
      <c r="E756" s="93"/>
      <c r="F756" s="93"/>
      <c r="G756" s="93"/>
      <c r="H756" s="50"/>
      <c r="I756" s="93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 ht="22.5" customHeight="1">
      <c r="A757" s="93"/>
      <c r="B757" s="93"/>
      <c r="C757" s="93"/>
      <c r="D757" s="106"/>
      <c r="E757" s="93"/>
      <c r="F757" s="93"/>
      <c r="G757" s="93"/>
      <c r="H757" s="50"/>
      <c r="I757" s="93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 ht="22.5" customHeight="1">
      <c r="A758" s="93"/>
      <c r="B758" s="93"/>
      <c r="C758" s="93"/>
      <c r="D758" s="106"/>
      <c r="E758" s="93"/>
      <c r="F758" s="93"/>
      <c r="G758" s="93"/>
      <c r="H758" s="50"/>
      <c r="I758" s="93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 ht="22.5" customHeight="1">
      <c r="A759" s="93"/>
      <c r="B759" s="93"/>
      <c r="C759" s="93"/>
      <c r="D759" s="106"/>
      <c r="E759" s="93"/>
      <c r="F759" s="93"/>
      <c r="G759" s="93"/>
      <c r="H759" s="50"/>
      <c r="I759" s="93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 ht="22.5" customHeight="1">
      <c r="A760" s="93"/>
      <c r="B760" s="93"/>
      <c r="C760" s="93"/>
      <c r="D760" s="106"/>
      <c r="E760" s="93"/>
      <c r="F760" s="93"/>
      <c r="G760" s="93"/>
      <c r="H760" s="50"/>
      <c r="I760" s="93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 ht="22.5" customHeight="1">
      <c r="A761" s="93"/>
      <c r="B761" s="93"/>
      <c r="C761" s="93"/>
      <c r="D761" s="106"/>
      <c r="E761" s="93"/>
      <c r="F761" s="93"/>
      <c r="G761" s="93"/>
      <c r="H761" s="50"/>
      <c r="I761" s="93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 ht="22.5" customHeight="1">
      <c r="A762" s="93"/>
      <c r="B762" s="93"/>
      <c r="C762" s="93"/>
      <c r="D762" s="106"/>
      <c r="E762" s="93"/>
      <c r="F762" s="93"/>
      <c r="G762" s="93"/>
      <c r="H762" s="50"/>
      <c r="I762" s="93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 ht="22.5" customHeight="1">
      <c r="A763" s="93"/>
      <c r="B763" s="93"/>
      <c r="C763" s="93"/>
      <c r="D763" s="106"/>
      <c r="E763" s="93"/>
      <c r="F763" s="93"/>
      <c r="G763" s="93"/>
      <c r="H763" s="50"/>
      <c r="I763" s="93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 ht="22.5" customHeight="1">
      <c r="A764" s="93"/>
      <c r="B764" s="93"/>
      <c r="C764" s="93"/>
      <c r="D764" s="106"/>
      <c r="E764" s="93"/>
      <c r="F764" s="93"/>
      <c r="G764" s="93"/>
      <c r="H764" s="50"/>
      <c r="I764" s="93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 ht="22.5" customHeight="1">
      <c r="A765" s="93"/>
      <c r="B765" s="93"/>
      <c r="C765" s="93"/>
      <c r="D765" s="106"/>
      <c r="E765" s="93"/>
      <c r="F765" s="93"/>
      <c r="G765" s="93"/>
      <c r="H765" s="50"/>
      <c r="I765" s="93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 ht="22.5" customHeight="1">
      <c r="A766" s="93"/>
      <c r="B766" s="93"/>
      <c r="C766" s="93"/>
      <c r="D766" s="106"/>
      <c r="E766" s="93"/>
      <c r="F766" s="93"/>
      <c r="G766" s="93"/>
      <c r="H766" s="50"/>
      <c r="I766" s="93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 ht="22.5" customHeight="1">
      <c r="A767" s="93"/>
      <c r="B767" s="93"/>
      <c r="C767" s="93"/>
      <c r="D767" s="106"/>
      <c r="E767" s="93"/>
      <c r="F767" s="93"/>
      <c r="G767" s="93"/>
      <c r="H767" s="50"/>
      <c r="I767" s="93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 ht="22.5" customHeight="1">
      <c r="A768" s="93"/>
      <c r="B768" s="93"/>
      <c r="C768" s="93"/>
      <c r="D768" s="106"/>
      <c r="E768" s="93"/>
      <c r="F768" s="93"/>
      <c r="G768" s="93"/>
      <c r="H768" s="50"/>
      <c r="I768" s="93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 ht="22.5" customHeight="1">
      <c r="A769" s="93"/>
      <c r="B769" s="93"/>
      <c r="C769" s="93"/>
      <c r="D769" s="106"/>
      <c r="E769" s="93"/>
      <c r="F769" s="93"/>
      <c r="G769" s="93"/>
      <c r="H769" s="50"/>
      <c r="I769" s="93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 ht="22.5" customHeight="1">
      <c r="A770" s="93"/>
      <c r="B770" s="93"/>
      <c r="C770" s="93"/>
      <c r="D770" s="106"/>
      <c r="E770" s="93"/>
      <c r="F770" s="93"/>
      <c r="G770" s="93"/>
      <c r="H770" s="50"/>
      <c r="I770" s="93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 ht="22.5" customHeight="1">
      <c r="A771" s="93"/>
      <c r="B771" s="93"/>
      <c r="C771" s="93"/>
      <c r="D771" s="106"/>
      <c r="E771" s="93"/>
      <c r="F771" s="93"/>
      <c r="G771" s="93"/>
      <c r="H771" s="50"/>
      <c r="I771" s="93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 ht="22.5" customHeight="1">
      <c r="A772" s="93"/>
      <c r="B772" s="93"/>
      <c r="C772" s="93"/>
      <c r="D772" s="106"/>
      <c r="E772" s="93"/>
      <c r="F772" s="93"/>
      <c r="G772" s="93"/>
      <c r="H772" s="50"/>
      <c r="I772" s="93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 ht="22.5" customHeight="1">
      <c r="A773" s="93"/>
      <c r="B773" s="93"/>
      <c r="C773" s="93"/>
      <c r="D773" s="106"/>
      <c r="E773" s="93"/>
      <c r="F773" s="93"/>
      <c r="G773" s="93"/>
      <c r="H773" s="50"/>
      <c r="I773" s="93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 ht="22.5" customHeight="1">
      <c r="A774" s="93"/>
      <c r="B774" s="93"/>
      <c r="C774" s="93"/>
      <c r="D774" s="106"/>
      <c r="E774" s="93"/>
      <c r="F774" s="93"/>
      <c r="G774" s="93"/>
      <c r="H774" s="50"/>
      <c r="I774" s="93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 ht="22.5" customHeight="1">
      <c r="A775" s="93"/>
      <c r="B775" s="93"/>
      <c r="C775" s="93"/>
      <c r="D775" s="106"/>
      <c r="E775" s="93"/>
      <c r="F775" s="93"/>
      <c r="G775" s="93"/>
      <c r="H775" s="50"/>
      <c r="I775" s="93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 ht="22.5" customHeight="1">
      <c r="A776" s="93"/>
      <c r="B776" s="93"/>
      <c r="C776" s="93"/>
      <c r="D776" s="106"/>
      <c r="E776" s="93"/>
      <c r="F776" s="93"/>
      <c r="G776" s="93"/>
      <c r="H776" s="50"/>
      <c r="I776" s="93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 ht="22.5" customHeight="1">
      <c r="A777" s="93"/>
      <c r="B777" s="93"/>
      <c r="C777" s="93"/>
      <c r="D777" s="106"/>
      <c r="E777" s="93"/>
      <c r="F777" s="93"/>
      <c r="G777" s="93"/>
      <c r="H777" s="50"/>
      <c r="I777" s="93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 ht="22.5" customHeight="1">
      <c r="A778" s="93"/>
      <c r="B778" s="93"/>
      <c r="C778" s="93"/>
      <c r="D778" s="106"/>
      <c r="E778" s="93"/>
      <c r="F778" s="93"/>
      <c r="G778" s="93"/>
      <c r="H778" s="50"/>
      <c r="I778" s="93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 ht="22.5" customHeight="1">
      <c r="A779" s="93"/>
      <c r="B779" s="93"/>
      <c r="C779" s="93"/>
      <c r="D779" s="106"/>
      <c r="E779" s="93"/>
      <c r="F779" s="93"/>
      <c r="G779" s="93"/>
      <c r="H779" s="50"/>
      <c r="I779" s="93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 ht="22.5" customHeight="1">
      <c r="A780" s="93"/>
      <c r="B780" s="93"/>
      <c r="C780" s="93"/>
      <c r="D780" s="106"/>
      <c r="E780" s="93"/>
      <c r="F780" s="93"/>
      <c r="G780" s="93"/>
      <c r="H780" s="50"/>
      <c r="I780" s="93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 ht="22.5" customHeight="1">
      <c r="A781" s="93"/>
      <c r="B781" s="93"/>
      <c r="C781" s="93"/>
      <c r="D781" s="106"/>
      <c r="E781" s="93"/>
      <c r="F781" s="93"/>
      <c r="G781" s="93"/>
      <c r="H781" s="50"/>
      <c r="I781" s="93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 ht="22.5" customHeight="1">
      <c r="A782" s="93"/>
      <c r="B782" s="93"/>
      <c r="C782" s="93"/>
      <c r="D782" s="106"/>
      <c r="E782" s="93"/>
      <c r="F782" s="93"/>
      <c r="G782" s="93"/>
      <c r="H782" s="50"/>
      <c r="I782" s="93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 ht="22.5" customHeight="1">
      <c r="A783" s="93"/>
      <c r="B783" s="93"/>
      <c r="C783" s="93"/>
      <c r="D783" s="106"/>
      <c r="E783" s="93"/>
      <c r="F783" s="93"/>
      <c r="G783" s="93"/>
      <c r="H783" s="50"/>
      <c r="I783" s="93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 ht="22.5" customHeight="1">
      <c r="A784" s="93"/>
      <c r="B784" s="93"/>
      <c r="C784" s="93"/>
      <c r="D784" s="106"/>
      <c r="E784" s="93"/>
      <c r="F784" s="93"/>
      <c r="G784" s="93"/>
      <c r="H784" s="50"/>
      <c r="I784" s="93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 ht="22.5" customHeight="1">
      <c r="A785" s="93"/>
      <c r="B785" s="93"/>
      <c r="C785" s="93"/>
      <c r="D785" s="106"/>
      <c r="E785" s="93"/>
      <c r="F785" s="93"/>
      <c r="G785" s="93"/>
      <c r="H785" s="50"/>
      <c r="I785" s="93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 ht="22.5" customHeight="1">
      <c r="A786" s="93"/>
      <c r="B786" s="93"/>
      <c r="C786" s="93"/>
      <c r="D786" s="106"/>
      <c r="E786" s="93"/>
      <c r="F786" s="93"/>
      <c r="G786" s="93"/>
      <c r="H786" s="50"/>
      <c r="I786" s="93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 ht="22.5" customHeight="1">
      <c r="A787" s="93"/>
      <c r="B787" s="93"/>
      <c r="C787" s="93"/>
      <c r="D787" s="106"/>
      <c r="E787" s="93"/>
      <c r="F787" s="93"/>
      <c r="G787" s="93"/>
      <c r="H787" s="50"/>
      <c r="I787" s="93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 ht="22.5" customHeight="1">
      <c r="A788" s="93"/>
      <c r="B788" s="93"/>
      <c r="C788" s="93"/>
      <c r="D788" s="106"/>
      <c r="E788" s="93"/>
      <c r="F788" s="93"/>
      <c r="G788" s="93"/>
      <c r="H788" s="50"/>
      <c r="I788" s="93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 ht="22.5" customHeight="1">
      <c r="A789" s="93"/>
      <c r="B789" s="93"/>
      <c r="C789" s="93"/>
      <c r="D789" s="106"/>
      <c r="E789" s="93"/>
      <c r="F789" s="93"/>
      <c r="G789" s="93"/>
      <c r="H789" s="50"/>
      <c r="I789" s="93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 ht="22.5" customHeight="1">
      <c r="A790" s="93"/>
      <c r="B790" s="93"/>
      <c r="C790" s="93"/>
      <c r="D790" s="106"/>
      <c r="E790" s="93"/>
      <c r="F790" s="93"/>
      <c r="G790" s="93"/>
      <c r="H790" s="50"/>
      <c r="I790" s="93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 ht="22.5" customHeight="1">
      <c r="A791" s="93"/>
      <c r="B791" s="93"/>
      <c r="C791" s="93"/>
      <c r="D791" s="106"/>
      <c r="E791" s="93"/>
      <c r="F791" s="93"/>
      <c r="G791" s="93"/>
      <c r="H791" s="50"/>
      <c r="I791" s="93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 ht="22.5" customHeight="1">
      <c r="A792" s="93"/>
      <c r="B792" s="93"/>
      <c r="C792" s="93"/>
      <c r="D792" s="106"/>
      <c r="E792" s="93"/>
      <c r="F792" s="93"/>
      <c r="G792" s="93"/>
      <c r="H792" s="50"/>
      <c r="I792" s="93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 ht="22.5" customHeight="1">
      <c r="A793" s="93"/>
      <c r="B793" s="93"/>
      <c r="C793" s="93"/>
      <c r="D793" s="106"/>
      <c r="E793" s="93"/>
      <c r="F793" s="93"/>
      <c r="G793" s="93"/>
      <c r="H793" s="50"/>
      <c r="I793" s="93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 ht="22.5" customHeight="1">
      <c r="A794" s="93"/>
      <c r="B794" s="93"/>
      <c r="C794" s="93"/>
      <c r="D794" s="106"/>
      <c r="E794" s="93"/>
      <c r="F794" s="93"/>
      <c r="G794" s="93"/>
      <c r="H794" s="50"/>
      <c r="I794" s="93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 ht="22.5" customHeight="1">
      <c r="A795" s="93"/>
      <c r="B795" s="93"/>
      <c r="C795" s="93"/>
      <c r="D795" s="106"/>
      <c r="E795" s="93"/>
      <c r="F795" s="93"/>
      <c r="G795" s="93"/>
      <c r="H795" s="50"/>
      <c r="I795" s="93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 ht="22.5" customHeight="1">
      <c r="A796" s="93"/>
      <c r="B796" s="93"/>
      <c r="C796" s="93"/>
      <c r="D796" s="106"/>
      <c r="E796" s="93"/>
      <c r="F796" s="93"/>
      <c r="G796" s="93"/>
      <c r="H796" s="50"/>
      <c r="I796" s="93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 ht="22.5" customHeight="1">
      <c r="A797" s="93"/>
      <c r="B797" s="93"/>
      <c r="C797" s="93"/>
      <c r="D797" s="106"/>
      <c r="E797" s="93"/>
      <c r="F797" s="93"/>
      <c r="G797" s="93"/>
      <c r="H797" s="50"/>
      <c r="I797" s="93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 ht="22.5" customHeight="1">
      <c r="A798" s="93"/>
      <c r="B798" s="93"/>
      <c r="C798" s="93"/>
      <c r="D798" s="106"/>
      <c r="E798" s="93"/>
      <c r="F798" s="93"/>
      <c r="G798" s="93"/>
      <c r="H798" s="50"/>
      <c r="I798" s="93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 ht="22.5" customHeight="1">
      <c r="A799" s="93"/>
      <c r="B799" s="93"/>
      <c r="C799" s="93"/>
      <c r="D799" s="106"/>
      <c r="E799" s="93"/>
      <c r="F799" s="93"/>
      <c r="G799" s="93"/>
      <c r="H799" s="50"/>
      <c r="I799" s="93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ht="22.5" customHeight="1">
      <c r="A800" s="93"/>
      <c r="B800" s="93"/>
      <c r="C800" s="93"/>
      <c r="D800" s="106"/>
      <c r="E800" s="93"/>
      <c r="F800" s="93"/>
      <c r="G800" s="93"/>
      <c r="H800" s="50"/>
      <c r="I800" s="93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 ht="22.5" customHeight="1">
      <c r="A801" s="93"/>
      <c r="B801" s="93"/>
      <c r="C801" s="93"/>
      <c r="D801" s="106"/>
      <c r="E801" s="93"/>
      <c r="F801" s="93"/>
      <c r="G801" s="93"/>
      <c r="H801" s="50"/>
      <c r="I801" s="93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 ht="22.5" customHeight="1">
      <c r="A802" s="93"/>
      <c r="B802" s="93"/>
      <c r="C802" s="93"/>
      <c r="D802" s="106"/>
      <c r="E802" s="93"/>
      <c r="F802" s="93"/>
      <c r="G802" s="93"/>
      <c r="H802" s="50"/>
      <c r="I802" s="93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ht="22.5" customHeight="1">
      <c r="A803" s="93"/>
      <c r="B803" s="93"/>
      <c r="C803" s="93"/>
      <c r="D803" s="106"/>
      <c r="E803" s="93"/>
      <c r="F803" s="93"/>
      <c r="G803" s="93"/>
      <c r="H803" s="50"/>
      <c r="I803" s="93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ht="22.5" customHeight="1">
      <c r="A804" s="93"/>
      <c r="B804" s="93"/>
      <c r="C804" s="93"/>
      <c r="D804" s="106"/>
      <c r="E804" s="93"/>
      <c r="F804" s="93"/>
      <c r="G804" s="93"/>
      <c r="H804" s="50"/>
      <c r="I804" s="93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ht="22.5" customHeight="1">
      <c r="A805" s="93"/>
      <c r="B805" s="93"/>
      <c r="C805" s="93"/>
      <c r="D805" s="106"/>
      <c r="E805" s="93"/>
      <c r="F805" s="93"/>
      <c r="G805" s="93"/>
      <c r="H805" s="50"/>
      <c r="I805" s="93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 ht="22.5" customHeight="1">
      <c r="A806" s="93"/>
      <c r="B806" s="93"/>
      <c r="C806" s="93"/>
      <c r="D806" s="106"/>
      <c r="E806" s="93"/>
      <c r="F806" s="93"/>
      <c r="G806" s="93"/>
      <c r="H806" s="50"/>
      <c r="I806" s="93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 ht="22.5" customHeight="1">
      <c r="A807" s="93"/>
      <c r="B807" s="93"/>
      <c r="C807" s="93"/>
      <c r="D807" s="106"/>
      <c r="E807" s="93"/>
      <c r="F807" s="93"/>
      <c r="G807" s="93"/>
      <c r="H807" s="50"/>
      <c r="I807" s="93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 ht="22.5" customHeight="1">
      <c r="A808" s="93"/>
      <c r="B808" s="93"/>
      <c r="C808" s="93"/>
      <c r="D808" s="106"/>
      <c r="E808" s="93"/>
      <c r="F808" s="93"/>
      <c r="G808" s="93"/>
      <c r="H808" s="50"/>
      <c r="I808" s="93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 ht="22.5" customHeight="1">
      <c r="A809" s="93"/>
      <c r="B809" s="93"/>
      <c r="C809" s="93"/>
      <c r="D809" s="106"/>
      <c r="E809" s="93"/>
      <c r="F809" s="93"/>
      <c r="G809" s="93"/>
      <c r="H809" s="50"/>
      <c r="I809" s="93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 ht="22.5" customHeight="1">
      <c r="A810" s="93"/>
      <c r="B810" s="93"/>
      <c r="C810" s="93"/>
      <c r="D810" s="106"/>
      <c r="E810" s="93"/>
      <c r="F810" s="93"/>
      <c r="G810" s="93"/>
      <c r="H810" s="50"/>
      <c r="I810" s="93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 ht="22.5" customHeight="1">
      <c r="A811" s="93"/>
      <c r="B811" s="93"/>
      <c r="C811" s="93"/>
      <c r="D811" s="106"/>
      <c r="E811" s="93"/>
      <c r="F811" s="93"/>
      <c r="G811" s="93"/>
      <c r="H811" s="50"/>
      <c r="I811" s="93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 ht="22.5" customHeight="1">
      <c r="A812" s="93"/>
      <c r="B812" s="93"/>
      <c r="C812" s="93"/>
      <c r="D812" s="106"/>
      <c r="E812" s="93"/>
      <c r="F812" s="93"/>
      <c r="G812" s="93"/>
      <c r="H812" s="50"/>
      <c r="I812" s="93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 ht="22.5" customHeight="1">
      <c r="A813" s="93"/>
      <c r="B813" s="93"/>
      <c r="C813" s="93"/>
      <c r="D813" s="106"/>
      <c r="E813" s="93"/>
      <c r="F813" s="93"/>
      <c r="G813" s="93"/>
      <c r="H813" s="50"/>
      <c r="I813" s="93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 ht="22.5" customHeight="1">
      <c r="A814" s="93"/>
      <c r="B814" s="93"/>
      <c r="C814" s="93"/>
      <c r="D814" s="106"/>
      <c r="E814" s="93"/>
      <c r="F814" s="93"/>
      <c r="G814" s="93"/>
      <c r="H814" s="50"/>
      <c r="I814" s="93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 ht="22.5" customHeight="1">
      <c r="A815" s="93"/>
      <c r="B815" s="93"/>
      <c r="C815" s="93"/>
      <c r="D815" s="106"/>
      <c r="E815" s="93"/>
      <c r="F815" s="93"/>
      <c r="G815" s="93"/>
      <c r="H815" s="50"/>
      <c r="I815" s="93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 ht="22.5" customHeight="1">
      <c r="A816" s="93"/>
      <c r="B816" s="93"/>
      <c r="C816" s="93"/>
      <c r="D816" s="106"/>
      <c r="E816" s="93"/>
      <c r="F816" s="93"/>
      <c r="G816" s="93"/>
      <c r="H816" s="50"/>
      <c r="I816" s="93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 ht="22.5" customHeight="1">
      <c r="A817" s="93"/>
      <c r="B817" s="93"/>
      <c r="C817" s="93"/>
      <c r="D817" s="106"/>
      <c r="E817" s="93"/>
      <c r="F817" s="93"/>
      <c r="G817" s="93"/>
      <c r="H817" s="50"/>
      <c r="I817" s="93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 ht="22.5" customHeight="1">
      <c r="A818" s="93"/>
      <c r="B818" s="93"/>
      <c r="C818" s="93"/>
      <c r="D818" s="106"/>
      <c r="E818" s="93"/>
      <c r="F818" s="93"/>
      <c r="G818" s="93"/>
      <c r="H818" s="50"/>
      <c r="I818" s="93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 ht="22.5" customHeight="1">
      <c r="A819" s="93"/>
      <c r="B819" s="93"/>
      <c r="C819" s="93"/>
      <c r="D819" s="106"/>
      <c r="E819" s="93"/>
      <c r="F819" s="93"/>
      <c r="G819" s="93"/>
      <c r="H819" s="50"/>
      <c r="I819" s="93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 ht="22.5" customHeight="1">
      <c r="A820" s="93"/>
      <c r="B820" s="93"/>
      <c r="C820" s="93"/>
      <c r="D820" s="106"/>
      <c r="E820" s="93"/>
      <c r="F820" s="93"/>
      <c r="G820" s="93"/>
      <c r="H820" s="50"/>
      <c r="I820" s="93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 ht="22.5" customHeight="1">
      <c r="A821" s="93"/>
      <c r="B821" s="93"/>
      <c r="C821" s="93"/>
      <c r="D821" s="106"/>
      <c r="E821" s="93"/>
      <c r="F821" s="93"/>
      <c r="G821" s="93"/>
      <c r="H821" s="50"/>
      <c r="I821" s="93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 ht="22.5" customHeight="1">
      <c r="A822" s="93"/>
      <c r="B822" s="93"/>
      <c r="C822" s="93"/>
      <c r="D822" s="106"/>
      <c r="E822" s="93"/>
      <c r="F822" s="93"/>
      <c r="G822" s="93"/>
      <c r="H822" s="50"/>
      <c r="I822" s="93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 ht="22.5" customHeight="1">
      <c r="A823" s="93"/>
      <c r="B823" s="93"/>
      <c r="C823" s="93"/>
      <c r="D823" s="106"/>
      <c r="E823" s="93"/>
      <c r="F823" s="93"/>
      <c r="G823" s="93"/>
      <c r="H823" s="50"/>
      <c r="I823" s="93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 ht="22.5" customHeight="1">
      <c r="A824" s="93"/>
      <c r="B824" s="93"/>
      <c r="C824" s="93"/>
      <c r="D824" s="106"/>
      <c r="E824" s="93"/>
      <c r="F824" s="93"/>
      <c r="G824" s="93"/>
      <c r="H824" s="50"/>
      <c r="I824" s="93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 ht="22.5" customHeight="1">
      <c r="A825" s="93"/>
      <c r="B825" s="93"/>
      <c r="C825" s="93"/>
      <c r="D825" s="106"/>
      <c r="E825" s="93"/>
      <c r="F825" s="93"/>
      <c r="G825" s="93"/>
      <c r="H825" s="50"/>
      <c r="I825" s="93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 ht="22.5" customHeight="1">
      <c r="A826" s="93"/>
      <c r="B826" s="93"/>
      <c r="C826" s="93"/>
      <c r="D826" s="106"/>
      <c r="E826" s="93"/>
      <c r="F826" s="93"/>
      <c r="G826" s="93"/>
      <c r="H826" s="50"/>
      <c r="I826" s="93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 ht="22.5" customHeight="1">
      <c r="A827" s="93"/>
      <c r="B827" s="93"/>
      <c r="C827" s="93"/>
      <c r="D827" s="106"/>
      <c r="E827" s="93"/>
      <c r="F827" s="93"/>
      <c r="G827" s="93"/>
      <c r="H827" s="50"/>
      <c r="I827" s="93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 ht="22.5" customHeight="1">
      <c r="A828" s="93"/>
      <c r="B828" s="93"/>
      <c r="C828" s="93"/>
      <c r="D828" s="106"/>
      <c r="E828" s="93"/>
      <c r="F828" s="93"/>
      <c r="G828" s="93"/>
      <c r="H828" s="50"/>
      <c r="I828" s="93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 ht="22.5" customHeight="1">
      <c r="A829" s="93"/>
      <c r="B829" s="93"/>
      <c r="C829" s="93"/>
      <c r="D829" s="106"/>
      <c r="E829" s="93"/>
      <c r="F829" s="93"/>
      <c r="G829" s="93"/>
      <c r="H829" s="50"/>
      <c r="I829" s="93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 ht="22.5" customHeight="1">
      <c r="A830" s="93"/>
      <c r="B830" s="93"/>
      <c r="C830" s="93"/>
      <c r="D830" s="106"/>
      <c r="E830" s="93"/>
      <c r="F830" s="93"/>
      <c r="G830" s="93"/>
      <c r="H830" s="50"/>
      <c r="I830" s="93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 ht="22.5" customHeight="1">
      <c r="A831" s="93"/>
      <c r="B831" s="93"/>
      <c r="C831" s="93"/>
      <c r="D831" s="106"/>
      <c r="E831" s="93"/>
      <c r="F831" s="93"/>
      <c r="G831" s="93"/>
      <c r="H831" s="50"/>
      <c r="I831" s="93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 ht="22.5" customHeight="1">
      <c r="A832" s="93"/>
      <c r="B832" s="93"/>
      <c r="C832" s="93"/>
      <c r="D832" s="106"/>
      <c r="E832" s="93"/>
      <c r="F832" s="93"/>
      <c r="G832" s="93"/>
      <c r="H832" s="50"/>
      <c r="I832" s="93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 ht="22.5" customHeight="1">
      <c r="A833" s="93"/>
      <c r="B833" s="93"/>
      <c r="C833" s="93"/>
      <c r="D833" s="106"/>
      <c r="E833" s="93"/>
      <c r="F833" s="93"/>
      <c r="G833" s="93"/>
      <c r="H833" s="50"/>
      <c r="I833" s="93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 ht="22.5" customHeight="1">
      <c r="A834" s="93"/>
      <c r="B834" s="93"/>
      <c r="C834" s="93"/>
      <c r="D834" s="106"/>
      <c r="E834" s="93"/>
      <c r="F834" s="93"/>
      <c r="G834" s="93"/>
      <c r="H834" s="50"/>
      <c r="I834" s="93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 ht="22.5" customHeight="1">
      <c r="A835" s="93"/>
      <c r="B835" s="93"/>
      <c r="C835" s="93"/>
      <c r="D835" s="106"/>
      <c r="E835" s="93"/>
      <c r="F835" s="93"/>
      <c r="G835" s="93"/>
      <c r="H835" s="50"/>
      <c r="I835" s="93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 ht="22.5" customHeight="1">
      <c r="A836" s="93"/>
      <c r="B836" s="93"/>
      <c r="C836" s="93"/>
      <c r="D836" s="106"/>
      <c r="E836" s="93"/>
      <c r="F836" s="93"/>
      <c r="G836" s="93"/>
      <c r="H836" s="50"/>
      <c r="I836" s="93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 ht="22.5" customHeight="1">
      <c r="A837" s="93"/>
      <c r="B837" s="93"/>
      <c r="C837" s="93"/>
      <c r="D837" s="106"/>
      <c r="E837" s="93"/>
      <c r="F837" s="93"/>
      <c r="G837" s="93"/>
      <c r="H837" s="50"/>
      <c r="I837" s="93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 ht="22.5" customHeight="1">
      <c r="A838" s="93"/>
      <c r="B838" s="93"/>
      <c r="C838" s="50"/>
      <c r="D838" s="109"/>
      <c r="E838" s="50"/>
      <c r="F838" s="50"/>
      <c r="G838" s="93"/>
      <c r="H838" s="50"/>
      <c r="I838" s="93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 ht="22.5" customHeight="1">
      <c r="A839" s="93"/>
      <c r="B839" s="93"/>
      <c r="C839" s="50"/>
      <c r="D839" s="109"/>
      <c r="E839" s="50"/>
      <c r="F839" s="50"/>
      <c r="G839" s="93"/>
      <c r="H839" s="50"/>
      <c r="I839" s="93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 ht="22.5" customHeight="1">
      <c r="A840" s="93"/>
      <c r="B840" s="93"/>
      <c r="C840" s="50"/>
      <c r="D840" s="109"/>
      <c r="E840" s="50"/>
      <c r="F840" s="50"/>
      <c r="G840" s="93"/>
      <c r="H840" s="50"/>
      <c r="I840" s="93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 ht="22.5" customHeight="1">
      <c r="A841" s="93"/>
      <c r="B841" s="93"/>
      <c r="C841" s="50"/>
      <c r="D841" s="109"/>
      <c r="E841" s="50"/>
      <c r="F841" s="50"/>
      <c r="G841" s="93"/>
      <c r="H841" s="50"/>
      <c r="I841" s="93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 ht="22.5" customHeight="1">
      <c r="A842" s="93"/>
      <c r="B842" s="93"/>
      <c r="C842" s="50"/>
      <c r="D842" s="109"/>
      <c r="E842" s="50"/>
      <c r="F842" s="50"/>
      <c r="G842" s="93"/>
      <c r="H842" s="50"/>
      <c r="I842" s="93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 ht="22.5" customHeight="1">
      <c r="A843" s="93"/>
      <c r="B843" s="93"/>
      <c r="C843" s="50"/>
      <c r="D843" s="109"/>
      <c r="E843" s="50"/>
      <c r="F843" s="50"/>
      <c r="G843" s="93"/>
      <c r="H843" s="50"/>
      <c r="I843" s="93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 ht="22.5" customHeight="1">
      <c r="A844" s="93"/>
      <c r="B844" s="93"/>
      <c r="C844" s="50"/>
      <c r="D844" s="109"/>
      <c r="E844" s="50"/>
      <c r="F844" s="50"/>
      <c r="G844" s="93"/>
      <c r="H844" s="50"/>
      <c r="I844" s="93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 ht="22.5" customHeight="1">
      <c r="A845" s="93"/>
      <c r="B845" s="93"/>
      <c r="C845" s="50"/>
      <c r="D845" s="109"/>
      <c r="E845" s="50"/>
      <c r="F845" s="50"/>
      <c r="G845" s="93"/>
      <c r="H845" s="50"/>
      <c r="I845" s="93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 ht="22.5" customHeight="1">
      <c r="A846" s="93"/>
      <c r="B846" s="93"/>
      <c r="C846" s="50"/>
      <c r="D846" s="109"/>
      <c r="E846" s="50"/>
      <c r="F846" s="50"/>
      <c r="G846" s="93"/>
      <c r="H846" s="50"/>
      <c r="I846" s="93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 ht="22.5" customHeight="1">
      <c r="A847" s="93"/>
      <c r="B847" s="93"/>
      <c r="C847" s="50"/>
      <c r="D847" s="109"/>
      <c r="E847" s="50"/>
      <c r="F847" s="50"/>
      <c r="G847" s="93"/>
      <c r="H847" s="50"/>
      <c r="I847" s="93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 ht="22.5" customHeight="1">
      <c r="A848" s="93"/>
      <c r="B848" s="93"/>
      <c r="C848" s="50"/>
      <c r="D848" s="109"/>
      <c r="E848" s="50"/>
      <c r="F848" s="50"/>
      <c r="G848" s="93"/>
      <c r="H848" s="50"/>
      <c r="I848" s="93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ht="22.5" customHeight="1">
      <c r="A849" s="93"/>
      <c r="B849" s="93"/>
      <c r="C849" s="50"/>
      <c r="D849" s="109"/>
      <c r="E849" s="50"/>
      <c r="F849" s="50"/>
      <c r="G849" s="93"/>
      <c r="H849" s="50"/>
      <c r="I849" s="93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 ht="22.5" customHeight="1">
      <c r="A850" s="93"/>
      <c r="B850" s="93"/>
      <c r="C850" s="50"/>
      <c r="D850" s="109"/>
      <c r="E850" s="50"/>
      <c r="F850" s="50"/>
      <c r="G850" s="93"/>
      <c r="H850" s="50"/>
      <c r="I850" s="93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 ht="22.5" customHeight="1">
      <c r="A851" s="93"/>
      <c r="B851" s="93"/>
      <c r="C851" s="50"/>
      <c r="D851" s="109"/>
      <c r="E851" s="50"/>
      <c r="F851" s="50"/>
      <c r="G851" s="93"/>
      <c r="H851" s="50"/>
      <c r="I851" s="93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 ht="22.5" customHeight="1">
      <c r="A852" s="93"/>
      <c r="B852" s="93"/>
      <c r="C852" s="50"/>
      <c r="D852" s="109"/>
      <c r="E852" s="50"/>
      <c r="F852" s="50"/>
      <c r="G852" s="93"/>
      <c r="H852" s="50"/>
      <c r="I852" s="93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 ht="22.5" customHeight="1">
      <c r="A853" s="93"/>
      <c r="B853" s="93"/>
      <c r="C853" s="50"/>
      <c r="D853" s="109"/>
      <c r="E853" s="50"/>
      <c r="F853" s="50"/>
      <c r="G853" s="93"/>
      <c r="H853" s="50"/>
      <c r="I853" s="93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 ht="22.5" customHeight="1">
      <c r="A854" s="93"/>
      <c r="B854" s="93"/>
      <c r="C854" s="50"/>
      <c r="D854" s="109"/>
      <c r="E854" s="50"/>
      <c r="F854" s="50"/>
      <c r="G854" s="93"/>
      <c r="H854" s="50"/>
      <c r="I854" s="93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 ht="22.5" customHeight="1">
      <c r="A855" s="93"/>
      <c r="B855" s="93"/>
      <c r="C855" s="50"/>
      <c r="D855" s="109"/>
      <c r="E855" s="50"/>
      <c r="F855" s="50"/>
      <c r="G855" s="93"/>
      <c r="H855" s="50"/>
      <c r="I855" s="93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 ht="22.5" customHeight="1">
      <c r="A856" s="93"/>
      <c r="B856" s="93"/>
      <c r="C856" s="50"/>
      <c r="D856" s="109"/>
      <c r="E856" s="50"/>
      <c r="F856" s="50"/>
      <c r="G856" s="93"/>
      <c r="H856" s="50"/>
      <c r="I856" s="93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 ht="22.5" customHeight="1">
      <c r="A857" s="93"/>
      <c r="B857" s="93"/>
      <c r="C857" s="50"/>
      <c r="D857" s="109"/>
      <c r="E857" s="50"/>
      <c r="F857" s="50"/>
      <c r="G857" s="93"/>
      <c r="H857" s="50"/>
      <c r="I857" s="93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 ht="22.5" customHeight="1">
      <c r="A858" s="93"/>
      <c r="B858" s="93"/>
      <c r="C858" s="50"/>
      <c r="D858" s="109"/>
      <c r="E858" s="50"/>
      <c r="F858" s="50"/>
      <c r="G858" s="93"/>
      <c r="H858" s="50"/>
      <c r="I858" s="93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 ht="22.5" customHeight="1">
      <c r="A859" s="93"/>
      <c r="B859" s="93"/>
      <c r="C859" s="50"/>
      <c r="D859" s="109"/>
      <c r="E859" s="50"/>
      <c r="F859" s="50"/>
      <c r="G859" s="93"/>
      <c r="H859" s="50"/>
      <c r="I859" s="93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 ht="22.5" customHeight="1">
      <c r="A860" s="93"/>
      <c r="B860" s="93"/>
      <c r="C860" s="50"/>
      <c r="D860" s="109"/>
      <c r="E860" s="50"/>
      <c r="F860" s="50"/>
      <c r="G860" s="93"/>
      <c r="H860" s="50"/>
      <c r="I860" s="93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 ht="22.5" customHeight="1">
      <c r="A861" s="93"/>
      <c r="B861" s="93"/>
      <c r="C861" s="50"/>
      <c r="D861" s="109"/>
      <c r="E861" s="50"/>
      <c r="F861" s="50"/>
      <c r="G861" s="93"/>
      <c r="H861" s="50"/>
      <c r="I861" s="93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 ht="22.5" customHeight="1">
      <c r="A862" s="93"/>
      <c r="B862" s="93"/>
      <c r="C862" s="50"/>
      <c r="D862" s="109"/>
      <c r="E862" s="50"/>
      <c r="F862" s="50"/>
      <c r="G862" s="93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 ht="22.5" customHeight="1">
      <c r="A863" s="93"/>
      <c r="B863" s="93"/>
      <c r="C863" s="50"/>
      <c r="D863" s="109"/>
      <c r="E863" s="50"/>
      <c r="F863" s="50"/>
      <c r="G863" s="93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 ht="22.5" customHeight="1">
      <c r="A864" s="93"/>
      <c r="B864" s="93"/>
      <c r="C864" s="50"/>
      <c r="D864" s="109"/>
      <c r="E864" s="50"/>
      <c r="F864" s="50"/>
      <c r="G864" s="93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 ht="22.5" customHeight="1">
      <c r="A865" s="93"/>
      <c r="B865" s="93"/>
      <c r="C865" s="50"/>
      <c r="D865" s="109"/>
      <c r="E865" s="50"/>
      <c r="F865" s="50"/>
      <c r="G865" s="93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 ht="22.5" customHeight="1">
      <c r="A866" s="93"/>
      <c r="B866" s="93"/>
      <c r="C866" s="50"/>
      <c r="D866" s="109"/>
      <c r="E866" s="50"/>
      <c r="F866" s="50"/>
      <c r="G866" s="93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 ht="22.5" customHeight="1">
      <c r="A867" s="93"/>
      <c r="B867" s="93"/>
      <c r="C867" s="50"/>
      <c r="D867" s="109"/>
      <c r="E867" s="50"/>
      <c r="F867" s="50"/>
      <c r="G867" s="93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</row>
    <row r="868" ht="22.5" customHeight="1">
      <c r="A868" s="93"/>
      <c r="B868" s="93"/>
      <c r="C868" s="50"/>
      <c r="D868" s="109"/>
      <c r="E868" s="50"/>
      <c r="F868" s="50"/>
      <c r="G868" s="93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</row>
    <row r="869" ht="22.5" customHeight="1">
      <c r="A869" s="93"/>
      <c r="B869" s="93"/>
      <c r="C869" s="50"/>
      <c r="D869" s="109"/>
      <c r="E869" s="50"/>
      <c r="F869" s="50"/>
      <c r="G869" s="93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</row>
    <row r="870" ht="22.5" customHeight="1">
      <c r="A870" s="93"/>
      <c r="B870" s="93"/>
      <c r="C870" s="50"/>
      <c r="D870" s="109"/>
      <c r="E870" s="50"/>
      <c r="F870" s="50"/>
      <c r="G870" s="93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 ht="22.5" customHeight="1">
      <c r="A871" s="93"/>
      <c r="B871" s="93"/>
      <c r="C871" s="50"/>
      <c r="D871" s="109"/>
      <c r="E871" s="50"/>
      <c r="F871" s="50"/>
      <c r="G871" s="93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</row>
    <row r="872" ht="22.5" customHeight="1">
      <c r="A872" s="93"/>
      <c r="B872" s="93"/>
      <c r="C872" s="50"/>
      <c r="D872" s="109"/>
      <c r="E872" s="50"/>
      <c r="F872" s="50"/>
      <c r="G872" s="93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</row>
    <row r="873" ht="22.5" customHeight="1">
      <c r="A873" s="93"/>
      <c r="B873" s="93"/>
      <c r="C873" s="50"/>
      <c r="D873" s="109"/>
      <c r="E873" s="50"/>
      <c r="F873" s="50"/>
      <c r="G873" s="93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</row>
    <row r="874" ht="22.5" customHeight="1">
      <c r="A874" s="93"/>
      <c r="B874" s="93"/>
      <c r="C874" s="50"/>
      <c r="D874" s="109"/>
      <c r="E874" s="50"/>
      <c r="F874" s="50"/>
      <c r="G874" s="93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</row>
    <row r="875" ht="22.5" customHeight="1">
      <c r="A875" s="93"/>
      <c r="B875" s="93"/>
      <c r="C875" s="50"/>
      <c r="D875" s="109"/>
      <c r="E875" s="50"/>
      <c r="F875" s="50"/>
      <c r="G875" s="93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</row>
    <row r="876" ht="22.5" customHeight="1">
      <c r="A876" s="93"/>
      <c r="B876" s="93"/>
      <c r="C876" s="50"/>
      <c r="D876" s="109"/>
      <c r="E876" s="50"/>
      <c r="F876" s="50"/>
      <c r="G876" s="93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 ht="22.5" customHeight="1">
      <c r="A877" s="93"/>
      <c r="B877" s="93"/>
      <c r="C877" s="50"/>
      <c r="D877" s="109"/>
      <c r="E877" s="50"/>
      <c r="F877" s="50"/>
      <c r="G877" s="93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</row>
    <row r="878" ht="22.5" customHeight="1">
      <c r="A878" s="93"/>
      <c r="B878" s="93"/>
      <c r="C878" s="50"/>
      <c r="D878" s="109"/>
      <c r="E878" s="50"/>
      <c r="F878" s="50"/>
      <c r="G878" s="93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</row>
    <row r="879" ht="22.5" customHeight="1">
      <c r="A879" s="93"/>
      <c r="B879" s="93"/>
      <c r="C879" s="50"/>
      <c r="D879" s="109"/>
      <c r="E879" s="50"/>
      <c r="F879" s="50"/>
      <c r="G879" s="93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</row>
    <row r="880" ht="22.5" customHeight="1">
      <c r="A880" s="93"/>
      <c r="B880" s="93"/>
      <c r="C880" s="50"/>
      <c r="D880" s="109"/>
      <c r="E880" s="50"/>
      <c r="F880" s="50"/>
      <c r="G880" s="93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</row>
    <row r="881" ht="22.5" customHeight="1">
      <c r="A881" s="93"/>
      <c r="B881" s="93"/>
      <c r="C881" s="50"/>
      <c r="D881" s="109"/>
      <c r="E881" s="50"/>
      <c r="F881" s="50"/>
      <c r="G881" s="93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</row>
    <row r="882" ht="22.5" customHeight="1">
      <c r="A882" s="93"/>
      <c r="B882" s="93"/>
      <c r="C882" s="50"/>
      <c r="D882" s="109"/>
      <c r="E882" s="50"/>
      <c r="F882" s="50"/>
      <c r="G882" s="93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</row>
    <row r="883" ht="22.5" customHeight="1">
      <c r="A883" s="93"/>
      <c r="B883" s="93"/>
      <c r="C883" s="50"/>
      <c r="D883" s="109"/>
      <c r="E883" s="50"/>
      <c r="F883" s="50"/>
      <c r="G883" s="93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</row>
    <row r="884" ht="22.5" customHeight="1">
      <c r="A884" s="93"/>
      <c r="B884" s="93"/>
      <c r="C884" s="50"/>
      <c r="D884" s="109"/>
      <c r="E884" s="50"/>
      <c r="F884" s="50"/>
      <c r="G884" s="93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</row>
    <row r="885" ht="22.5" customHeight="1">
      <c r="A885" s="93"/>
      <c r="B885" s="93"/>
      <c r="C885" s="50"/>
      <c r="D885" s="109"/>
      <c r="E885" s="50"/>
      <c r="F885" s="50"/>
      <c r="G885" s="93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</row>
    <row r="886" ht="22.5" customHeight="1">
      <c r="A886" s="93"/>
      <c r="B886" s="93"/>
      <c r="C886" s="50"/>
      <c r="D886" s="109"/>
      <c r="E886" s="50"/>
      <c r="F886" s="50"/>
      <c r="G886" s="93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</row>
    <row r="887" ht="22.5" customHeight="1">
      <c r="A887" s="93"/>
      <c r="B887" s="93"/>
      <c r="C887" s="50"/>
      <c r="D887" s="109"/>
      <c r="E887" s="50"/>
      <c r="F887" s="50"/>
      <c r="G887" s="93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</row>
    <row r="888" ht="22.5" customHeight="1">
      <c r="A888" s="93"/>
      <c r="B888" s="93"/>
      <c r="C888" s="50"/>
      <c r="D888" s="109"/>
      <c r="E888" s="50"/>
      <c r="F888" s="50"/>
      <c r="G888" s="93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</row>
    <row r="889" ht="22.5" customHeight="1">
      <c r="A889" s="93"/>
      <c r="B889" s="93"/>
      <c r="C889" s="50"/>
      <c r="D889" s="109"/>
      <c r="E889" s="50"/>
      <c r="F889" s="50"/>
      <c r="G889" s="93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</row>
    <row r="890" ht="22.5" customHeight="1">
      <c r="A890" s="93"/>
      <c r="B890" s="93"/>
      <c r="C890" s="50"/>
      <c r="D890" s="109"/>
      <c r="E890" s="50"/>
      <c r="F890" s="50"/>
      <c r="G890" s="93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</row>
    <row r="891" ht="22.5" customHeight="1">
      <c r="A891" s="93"/>
      <c r="B891" s="93"/>
      <c r="C891" s="50"/>
      <c r="D891" s="109"/>
      <c r="E891" s="50"/>
      <c r="F891" s="50"/>
      <c r="G891" s="93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</row>
    <row r="892" ht="22.5" customHeight="1">
      <c r="A892" s="93"/>
      <c r="B892" s="93"/>
      <c r="C892" s="50"/>
      <c r="D892" s="109"/>
      <c r="E892" s="50"/>
      <c r="F892" s="50"/>
      <c r="G892" s="93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</row>
    <row r="893" ht="22.5" customHeight="1">
      <c r="A893" s="93"/>
      <c r="B893" s="93"/>
      <c r="C893" s="50"/>
      <c r="D893" s="109"/>
      <c r="E893" s="50"/>
      <c r="F893" s="50"/>
      <c r="G893" s="93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</row>
    <row r="894" ht="22.5" customHeight="1">
      <c r="A894" s="93"/>
      <c r="B894" s="93"/>
      <c r="C894" s="50"/>
      <c r="D894" s="109"/>
      <c r="E894" s="50"/>
      <c r="F894" s="50"/>
      <c r="G894" s="93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</row>
    <row r="895" ht="22.5" customHeight="1">
      <c r="A895" s="93"/>
      <c r="B895" s="93"/>
      <c r="C895" s="50"/>
      <c r="D895" s="109"/>
      <c r="E895" s="50"/>
      <c r="F895" s="50"/>
      <c r="G895" s="93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</row>
    <row r="896" ht="22.5" customHeight="1">
      <c r="A896" s="93"/>
      <c r="B896" s="93"/>
      <c r="C896" s="50"/>
      <c r="D896" s="109"/>
      <c r="E896" s="50"/>
      <c r="F896" s="50"/>
      <c r="G896" s="93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</row>
    <row r="897" ht="22.5" customHeight="1">
      <c r="A897" s="93"/>
      <c r="B897" s="93"/>
      <c r="C897" s="50"/>
      <c r="D897" s="109"/>
      <c r="E897" s="50"/>
      <c r="F897" s="50"/>
      <c r="G897" s="93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</row>
    <row r="898" ht="22.5" customHeight="1">
      <c r="A898" s="93"/>
      <c r="B898" s="93"/>
      <c r="C898" s="50"/>
      <c r="D898" s="109"/>
      <c r="E898" s="50"/>
      <c r="F898" s="50"/>
      <c r="G898" s="93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</row>
    <row r="899" ht="22.5" customHeight="1">
      <c r="A899" s="93"/>
      <c r="B899" s="93"/>
      <c r="C899" s="50"/>
      <c r="D899" s="109"/>
      <c r="E899" s="50"/>
      <c r="F899" s="50"/>
      <c r="G899" s="93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</row>
    <row r="900" ht="22.5" customHeight="1">
      <c r="A900" s="93"/>
      <c r="B900" s="93"/>
      <c r="C900" s="50"/>
      <c r="D900" s="109"/>
      <c r="E900" s="50"/>
      <c r="F900" s="50"/>
      <c r="G900" s="93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</row>
    <row r="901" ht="22.5" customHeight="1">
      <c r="A901" s="93"/>
      <c r="B901" s="93"/>
      <c r="C901" s="50"/>
      <c r="D901" s="109"/>
      <c r="E901" s="50"/>
      <c r="F901" s="50"/>
      <c r="G901" s="93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</row>
  </sheetData>
  <autoFilter ref="$A$1:$V$18">
    <sortState ref="A1:V18">
      <sortCondition ref="E1:E18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9.71"/>
    <col customWidth="1" min="3" max="3" width="23.86"/>
    <col customWidth="1" min="4" max="4" width="19.71"/>
    <col customWidth="1" min="5" max="5" width="14.57"/>
    <col customWidth="1" min="6" max="6" width="17.0"/>
    <col customWidth="1" min="7" max="7" width="17.71"/>
    <col customWidth="1" min="8" max="8" width="62.0"/>
    <col customWidth="1" min="9" max="9" width="31.86"/>
    <col customWidth="1" min="10" max="10" width="12.29"/>
    <col customWidth="1" min="11" max="22" width="30.43"/>
  </cols>
  <sheetData>
    <row r="1" ht="28.5" customHeight="1">
      <c r="A1" s="1" t="s">
        <v>0</v>
      </c>
      <c r="B1" s="1" t="s">
        <v>1</v>
      </c>
      <c r="C1" s="1" t="s">
        <v>2</v>
      </c>
      <c r="D1" s="110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ht="28.5" customHeight="1">
      <c r="A2" s="14" t="s">
        <v>17</v>
      </c>
      <c r="B2" s="14">
        <v>2223.0</v>
      </c>
      <c r="C2" s="19" t="s">
        <v>400</v>
      </c>
      <c r="D2" s="14">
        <v>6.0</v>
      </c>
      <c r="E2" s="111" t="s">
        <v>401</v>
      </c>
      <c r="F2" s="111" t="s">
        <v>402</v>
      </c>
      <c r="G2" s="14">
        <v>8.0</v>
      </c>
      <c r="H2" s="19" t="s">
        <v>309</v>
      </c>
      <c r="I2" s="177" t="s">
        <v>403</v>
      </c>
      <c r="J2" s="13" t="b">
        <v>1</v>
      </c>
      <c r="K2" s="13" t="s">
        <v>311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8.5" customHeight="1">
      <c r="A3" s="14" t="s">
        <v>17</v>
      </c>
      <c r="B3" s="14">
        <v>2225.0</v>
      </c>
      <c r="C3" s="19" t="s">
        <v>404</v>
      </c>
      <c r="D3" s="14">
        <v>2.0</v>
      </c>
      <c r="E3" s="111" t="s">
        <v>401</v>
      </c>
      <c r="F3" s="111" t="s">
        <v>402</v>
      </c>
      <c r="G3" s="14">
        <v>4.0</v>
      </c>
      <c r="H3" s="19" t="s">
        <v>182</v>
      </c>
      <c r="I3" s="177" t="s">
        <v>403</v>
      </c>
      <c r="J3" s="13" t="b">
        <v>1</v>
      </c>
      <c r="K3" s="13" t="s">
        <v>311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8.5" customHeight="1">
      <c r="A4" s="14" t="s">
        <v>17</v>
      </c>
      <c r="B4" s="14">
        <v>2226.0</v>
      </c>
      <c r="C4" s="19" t="s">
        <v>405</v>
      </c>
      <c r="D4" s="14">
        <v>4.0</v>
      </c>
      <c r="E4" s="111" t="s">
        <v>401</v>
      </c>
      <c r="F4" s="111" t="s">
        <v>402</v>
      </c>
      <c r="G4" s="14">
        <v>2.0</v>
      </c>
      <c r="H4" s="19" t="s">
        <v>398</v>
      </c>
      <c r="I4" s="177" t="s">
        <v>403</v>
      </c>
      <c r="J4" s="13" t="b">
        <v>1</v>
      </c>
      <c r="K4" s="13" t="s">
        <v>311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8.5" customHeight="1">
      <c r="A5" s="14" t="s">
        <v>17</v>
      </c>
      <c r="B5" s="14">
        <v>2225.0</v>
      </c>
      <c r="C5" s="19" t="s">
        <v>406</v>
      </c>
      <c r="D5" s="14">
        <v>2.0</v>
      </c>
      <c r="E5" s="111" t="s">
        <v>401</v>
      </c>
      <c r="F5" s="111" t="s">
        <v>402</v>
      </c>
      <c r="G5" s="14">
        <v>4.0</v>
      </c>
      <c r="H5" s="19" t="s">
        <v>182</v>
      </c>
      <c r="I5" s="177" t="s">
        <v>403</v>
      </c>
      <c r="J5" s="13" t="b">
        <v>1</v>
      </c>
      <c r="K5" s="13" t="s">
        <v>311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8.5" customHeight="1">
      <c r="A6" s="14" t="s">
        <v>17</v>
      </c>
      <c r="B6" s="14" t="s">
        <v>25</v>
      </c>
      <c r="C6" s="19" t="s">
        <v>407</v>
      </c>
      <c r="D6" s="14">
        <v>2.0</v>
      </c>
      <c r="E6" s="111" t="s">
        <v>401</v>
      </c>
      <c r="F6" s="111" t="s">
        <v>402</v>
      </c>
      <c r="G6" s="14">
        <v>3.0</v>
      </c>
      <c r="H6" s="19" t="s">
        <v>408</v>
      </c>
      <c r="I6" s="177" t="s">
        <v>403</v>
      </c>
      <c r="J6" s="13" t="b">
        <v>1</v>
      </c>
      <c r="K6" s="13" t="s">
        <v>311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8.5" customHeight="1">
      <c r="A7" s="50"/>
      <c r="B7" s="93"/>
      <c r="C7" s="93"/>
      <c r="D7" s="93">
        <f>SUM(D2:D6)</f>
        <v>16</v>
      </c>
      <c r="E7" s="93"/>
      <c r="F7" s="93"/>
      <c r="G7" s="93"/>
      <c r="H7" s="50"/>
      <c r="I7" s="93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</row>
    <row r="8" ht="28.5" customHeight="1">
      <c r="A8" s="50"/>
      <c r="B8" s="93"/>
      <c r="C8" s="93"/>
      <c r="D8" s="93"/>
      <c r="E8" s="93"/>
      <c r="F8" s="93"/>
      <c r="G8" s="93"/>
      <c r="H8" s="50"/>
      <c r="I8" s="93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</row>
    <row r="9" ht="28.5" customHeight="1">
      <c r="A9" s="50"/>
      <c r="B9" s="93"/>
      <c r="C9" s="93"/>
      <c r="D9" s="93"/>
      <c r="E9" s="93"/>
      <c r="F9" s="93"/>
      <c r="G9" s="93"/>
      <c r="H9" s="50"/>
      <c r="I9" s="9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 ht="28.5" customHeight="1">
      <c r="A10" s="50"/>
      <c r="B10" s="93"/>
      <c r="C10" s="93"/>
      <c r="D10" s="93"/>
      <c r="E10" s="93"/>
      <c r="F10" s="93"/>
      <c r="G10" s="93"/>
      <c r="H10" s="50"/>
      <c r="I10" s="9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ht="28.5" customHeight="1">
      <c r="A11" s="50"/>
      <c r="B11" s="93"/>
      <c r="C11" s="93"/>
      <c r="D11" s="93"/>
      <c r="E11" s="93"/>
      <c r="F11" s="93"/>
      <c r="G11" s="93"/>
      <c r="H11" s="50"/>
      <c r="I11" s="93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 ht="28.5" customHeight="1">
      <c r="A12" s="50"/>
      <c r="B12" s="93"/>
      <c r="C12" s="93"/>
      <c r="D12" s="93"/>
      <c r="E12" s="93"/>
      <c r="F12" s="93"/>
      <c r="G12" s="93"/>
      <c r="H12" s="50"/>
      <c r="I12" s="9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ht="28.5" customHeight="1">
      <c r="A13" s="50"/>
      <c r="B13" s="93"/>
      <c r="C13" s="93"/>
      <c r="D13" s="93"/>
      <c r="E13" s="93"/>
      <c r="F13" s="93"/>
      <c r="G13" s="93"/>
      <c r="H13" s="50"/>
      <c r="I13" s="93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ht="28.5" customHeight="1">
      <c r="A14" s="50"/>
      <c r="B14" s="93"/>
      <c r="C14" s="93"/>
      <c r="D14" s="93"/>
      <c r="E14" s="93"/>
      <c r="F14" s="93"/>
      <c r="G14" s="93"/>
      <c r="H14" s="50"/>
      <c r="I14" s="9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 ht="28.5" customHeight="1">
      <c r="A15" s="50"/>
      <c r="B15" s="93"/>
      <c r="C15" s="93"/>
      <c r="D15" s="93"/>
      <c r="E15" s="93"/>
      <c r="F15" s="93"/>
      <c r="G15" s="93"/>
      <c r="H15" s="50"/>
      <c r="I15" s="93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</row>
    <row r="16" ht="28.5" customHeight="1">
      <c r="A16" s="50"/>
      <c r="B16" s="93"/>
      <c r="C16" s="93"/>
      <c r="D16" s="93"/>
      <c r="E16" s="93"/>
      <c r="F16" s="93"/>
      <c r="G16" s="93"/>
      <c r="H16" s="50"/>
      <c r="I16" s="9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</row>
    <row r="17" ht="28.5" customHeight="1">
      <c r="A17" s="50"/>
      <c r="B17" s="93"/>
      <c r="C17" s="93"/>
      <c r="D17" s="93"/>
      <c r="E17" s="93"/>
      <c r="F17" s="93"/>
      <c r="G17" s="93"/>
      <c r="H17" s="50"/>
      <c r="I17" s="9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 ht="28.5" customHeight="1">
      <c r="A18" s="50"/>
      <c r="B18" s="93"/>
      <c r="C18" s="93"/>
      <c r="D18" s="93"/>
      <c r="E18" s="93"/>
      <c r="F18" s="93"/>
      <c r="G18" s="93"/>
      <c r="H18" s="50"/>
      <c r="I18" s="9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 ht="28.5" customHeight="1">
      <c r="A19" s="50"/>
      <c r="B19" s="93"/>
      <c r="C19" s="93"/>
      <c r="D19" s="93"/>
      <c r="E19" s="93"/>
      <c r="F19" s="93"/>
      <c r="G19" s="93"/>
      <c r="H19" s="50"/>
      <c r="I19" s="9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</row>
    <row r="20" ht="28.5" customHeight="1">
      <c r="A20" s="50"/>
      <c r="B20" s="93"/>
      <c r="C20" s="93"/>
      <c r="D20" s="93"/>
      <c r="E20" s="93"/>
      <c r="F20" s="93"/>
      <c r="G20" s="93"/>
      <c r="H20" s="50"/>
      <c r="I20" s="9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ht="28.5" customHeight="1">
      <c r="A21" s="50"/>
      <c r="B21" s="93"/>
      <c r="C21" s="93"/>
      <c r="D21" s="93"/>
      <c r="E21" s="93"/>
      <c r="F21" s="93"/>
      <c r="G21" s="93"/>
      <c r="H21" s="50"/>
      <c r="I21" s="9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 ht="28.5" customHeight="1">
      <c r="A22" s="50"/>
      <c r="B22" s="93"/>
      <c r="C22" s="93"/>
      <c r="D22" s="93"/>
      <c r="E22" s="93"/>
      <c r="F22" s="93"/>
      <c r="G22" s="93"/>
      <c r="H22" s="50"/>
      <c r="I22" s="9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</row>
    <row r="23" ht="28.5" customHeight="1">
      <c r="A23" s="50"/>
      <c r="B23" s="93"/>
      <c r="C23" s="93"/>
      <c r="D23" s="93"/>
      <c r="E23" s="93"/>
      <c r="F23" s="93"/>
      <c r="G23" s="93"/>
      <c r="H23" s="50"/>
      <c r="I23" s="9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 ht="28.5" customHeight="1">
      <c r="A24" s="50"/>
      <c r="B24" s="93"/>
      <c r="C24" s="93"/>
      <c r="D24" s="93"/>
      <c r="E24" s="93"/>
      <c r="F24" s="93"/>
      <c r="G24" s="93"/>
      <c r="H24" s="50"/>
      <c r="I24" s="9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5" ht="28.5" customHeight="1">
      <c r="A25" s="50"/>
      <c r="B25" s="93"/>
      <c r="C25" s="93"/>
      <c r="D25" s="93"/>
      <c r="E25" s="93"/>
      <c r="F25" s="93"/>
      <c r="G25" s="93"/>
      <c r="H25" s="50"/>
      <c r="I25" s="9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ht="28.5" customHeight="1">
      <c r="A26" s="50"/>
      <c r="B26" s="93"/>
      <c r="C26" s="93"/>
      <c r="D26" s="93"/>
      <c r="E26" s="93"/>
      <c r="F26" s="93"/>
      <c r="G26" s="93"/>
      <c r="H26" s="50"/>
      <c r="I26" s="9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 ht="28.5" customHeight="1">
      <c r="A27" s="50"/>
      <c r="B27" s="93"/>
      <c r="C27" s="93"/>
      <c r="D27" s="93"/>
      <c r="E27" s="93"/>
      <c r="F27" s="93"/>
      <c r="G27" s="93"/>
      <c r="H27" s="50"/>
      <c r="I27" s="9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ht="28.5" customHeight="1">
      <c r="A28" s="50"/>
      <c r="B28" s="93"/>
      <c r="C28" s="93"/>
      <c r="D28" s="93"/>
      <c r="E28" s="93"/>
      <c r="F28" s="93"/>
      <c r="G28" s="93"/>
      <c r="H28" s="50"/>
      <c r="I28" s="9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ht="28.5" customHeight="1">
      <c r="A29" s="50"/>
      <c r="B29" s="93"/>
      <c r="C29" s="93"/>
      <c r="D29" s="93"/>
      <c r="E29" s="93"/>
      <c r="F29" s="93"/>
      <c r="G29" s="93"/>
      <c r="H29" s="50"/>
      <c r="I29" s="9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ht="28.5" customHeight="1">
      <c r="A30" s="50"/>
      <c r="B30" s="93"/>
      <c r="C30" s="93"/>
      <c r="D30" s="93"/>
      <c r="E30" s="93"/>
      <c r="F30" s="93"/>
      <c r="G30" s="93"/>
      <c r="H30" s="50"/>
      <c r="I30" s="9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 ht="28.5" customHeight="1">
      <c r="A31" s="50"/>
      <c r="B31" s="93"/>
      <c r="C31" s="93"/>
      <c r="D31" s="93"/>
      <c r="E31" s="93"/>
      <c r="F31" s="93"/>
      <c r="G31" s="93"/>
      <c r="H31" s="50"/>
      <c r="I31" s="9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ht="28.5" customHeight="1">
      <c r="A32" s="50"/>
      <c r="B32" s="93"/>
      <c r="C32" s="93"/>
      <c r="D32" s="93"/>
      <c r="E32" s="93"/>
      <c r="F32" s="93"/>
      <c r="G32" s="93"/>
      <c r="H32" s="50"/>
      <c r="I32" s="9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ht="28.5" customHeight="1">
      <c r="A33" s="50"/>
      <c r="B33" s="93"/>
      <c r="C33" s="93"/>
      <c r="D33" s="93"/>
      <c r="E33" s="93"/>
      <c r="F33" s="93"/>
      <c r="G33" s="93"/>
      <c r="H33" s="50"/>
      <c r="I33" s="9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ht="28.5" customHeight="1">
      <c r="A34" s="50"/>
      <c r="B34" s="93"/>
      <c r="C34" s="93"/>
      <c r="D34" s="93"/>
      <c r="E34" s="93"/>
      <c r="F34" s="93"/>
      <c r="G34" s="93"/>
      <c r="H34" s="50"/>
      <c r="I34" s="9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ht="28.5" customHeight="1">
      <c r="A35" s="50"/>
      <c r="B35" s="93"/>
      <c r="C35" s="93"/>
      <c r="D35" s="93"/>
      <c r="E35" s="93"/>
      <c r="F35" s="93"/>
      <c r="G35" s="93"/>
      <c r="H35" s="50"/>
      <c r="I35" s="9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ht="28.5" customHeight="1">
      <c r="A36" s="50"/>
      <c r="B36" s="93"/>
      <c r="C36" s="93"/>
      <c r="D36" s="93"/>
      <c r="E36" s="93"/>
      <c r="F36" s="93"/>
      <c r="G36" s="93"/>
      <c r="H36" s="50"/>
      <c r="I36" s="9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ht="28.5" customHeight="1">
      <c r="A37" s="50"/>
      <c r="B37" s="93"/>
      <c r="C37" s="93"/>
      <c r="D37" s="93"/>
      <c r="E37" s="93"/>
      <c r="F37" s="93"/>
      <c r="G37" s="93"/>
      <c r="H37" s="50"/>
      <c r="I37" s="9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 ht="28.5" customHeight="1">
      <c r="A38" s="50"/>
      <c r="B38" s="93"/>
      <c r="C38" s="93"/>
      <c r="D38" s="93"/>
      <c r="E38" s="93"/>
      <c r="F38" s="93"/>
      <c r="G38" s="93"/>
      <c r="H38" s="50"/>
      <c r="I38" s="9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 ht="28.5" customHeight="1">
      <c r="A39" s="50"/>
      <c r="B39" s="93"/>
      <c r="C39" s="93"/>
      <c r="D39" s="93"/>
      <c r="E39" s="93"/>
      <c r="F39" s="93"/>
      <c r="G39" s="93"/>
      <c r="H39" s="50"/>
      <c r="I39" s="9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</row>
    <row r="40" ht="28.5" customHeight="1">
      <c r="A40" s="50"/>
      <c r="B40" s="93"/>
      <c r="C40" s="93"/>
      <c r="D40" s="93"/>
      <c r="E40" s="93"/>
      <c r="F40" s="93"/>
      <c r="G40" s="93"/>
      <c r="H40" s="50"/>
      <c r="I40" s="9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</row>
    <row r="41" ht="28.5" customHeight="1">
      <c r="A41" s="50"/>
      <c r="B41" s="93"/>
      <c r="C41" s="93"/>
      <c r="D41" s="93"/>
      <c r="E41" s="93"/>
      <c r="F41" s="93"/>
      <c r="G41" s="93"/>
      <c r="H41" s="50"/>
      <c r="I41" s="9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</row>
    <row r="42" ht="28.5" customHeight="1">
      <c r="A42" s="50"/>
      <c r="B42" s="93"/>
      <c r="C42" s="93"/>
      <c r="D42" s="93"/>
      <c r="E42" s="93"/>
      <c r="F42" s="93"/>
      <c r="G42" s="93"/>
      <c r="H42" s="50"/>
      <c r="I42" s="9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</row>
    <row r="43" ht="28.5" customHeight="1">
      <c r="A43" s="50"/>
      <c r="B43" s="93"/>
      <c r="C43" s="93"/>
      <c r="D43" s="93"/>
      <c r="E43" s="93"/>
      <c r="F43" s="93"/>
      <c r="G43" s="93"/>
      <c r="H43" s="50"/>
      <c r="I43" s="9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 ht="28.5" customHeight="1">
      <c r="A44" s="50"/>
      <c r="B44" s="93"/>
      <c r="C44" s="93"/>
      <c r="D44" s="93"/>
      <c r="E44" s="93"/>
      <c r="F44" s="93"/>
      <c r="G44" s="93"/>
      <c r="H44" s="50"/>
      <c r="I44" s="9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</row>
    <row r="45" ht="28.5" customHeight="1">
      <c r="A45" s="50"/>
      <c r="B45" s="93"/>
      <c r="C45" s="93"/>
      <c r="D45" s="93"/>
      <c r="E45" s="93"/>
      <c r="F45" s="93"/>
      <c r="G45" s="93"/>
      <c r="H45" s="50"/>
      <c r="I45" s="9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 ht="28.5" customHeight="1">
      <c r="A46" s="50"/>
      <c r="B46" s="93"/>
      <c r="C46" s="93"/>
      <c r="D46" s="93"/>
      <c r="E46" s="93"/>
      <c r="F46" s="93"/>
      <c r="G46" s="93"/>
      <c r="H46" s="50"/>
      <c r="I46" s="9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</row>
    <row r="47" ht="28.5" customHeight="1">
      <c r="A47" s="50"/>
      <c r="B47" s="93"/>
      <c r="C47" s="93"/>
      <c r="D47" s="93"/>
      <c r="E47" s="93"/>
      <c r="F47" s="93"/>
      <c r="G47" s="93"/>
      <c r="H47" s="50"/>
      <c r="I47" s="9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ht="28.5" customHeight="1">
      <c r="A48" s="50"/>
      <c r="B48" s="93"/>
      <c r="C48" s="93"/>
      <c r="D48" s="93"/>
      <c r="E48" s="93"/>
      <c r="F48" s="93"/>
      <c r="G48" s="93"/>
      <c r="H48" s="50"/>
      <c r="I48" s="93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 ht="28.5" customHeight="1">
      <c r="A49" s="50"/>
      <c r="B49" s="93"/>
      <c r="C49" s="93"/>
      <c r="D49" s="93"/>
      <c r="E49" s="93"/>
      <c r="F49" s="93"/>
      <c r="G49" s="93"/>
      <c r="H49" s="50"/>
      <c r="I49" s="93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 ht="28.5" customHeight="1">
      <c r="A50" s="50"/>
      <c r="B50" s="93"/>
      <c r="C50" s="93"/>
      <c r="D50" s="93"/>
      <c r="E50" s="93"/>
      <c r="F50" s="93"/>
      <c r="G50" s="93"/>
      <c r="H50" s="50"/>
      <c r="I50" s="93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 ht="28.5" customHeight="1">
      <c r="A51" s="50"/>
      <c r="B51" s="93"/>
      <c r="C51" s="93"/>
      <c r="D51" s="93"/>
      <c r="E51" s="93"/>
      <c r="F51" s="93"/>
      <c r="G51" s="93"/>
      <c r="H51" s="50"/>
      <c r="I51" s="9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 ht="28.5" customHeight="1">
      <c r="A52" s="50"/>
      <c r="B52" s="93"/>
      <c r="C52" s="93"/>
      <c r="D52" s="93"/>
      <c r="E52" s="93"/>
      <c r="F52" s="93"/>
      <c r="G52" s="93"/>
      <c r="H52" s="50"/>
      <c r="I52" s="9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 ht="28.5" customHeight="1">
      <c r="A53" s="50"/>
      <c r="B53" s="93"/>
      <c r="C53" s="93"/>
      <c r="D53" s="93"/>
      <c r="E53" s="93"/>
      <c r="F53" s="93"/>
      <c r="G53" s="93"/>
      <c r="H53" s="50"/>
      <c r="I53" s="9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28.5" customHeight="1">
      <c r="A54" s="50"/>
      <c r="B54" s="93"/>
      <c r="C54" s="93"/>
      <c r="D54" s="93"/>
      <c r="E54" s="93"/>
      <c r="F54" s="93"/>
      <c r="G54" s="93"/>
      <c r="H54" s="50"/>
      <c r="I54" s="93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28.5" customHeight="1">
      <c r="A55" s="50"/>
      <c r="B55" s="93"/>
      <c r="C55" s="93"/>
      <c r="D55" s="93"/>
      <c r="E55" s="93"/>
      <c r="F55" s="93"/>
      <c r="G55" s="93"/>
      <c r="H55" s="50"/>
      <c r="I55" s="93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28.5" customHeight="1">
      <c r="A56" s="50"/>
      <c r="B56" s="93"/>
      <c r="C56" s="93"/>
      <c r="D56" s="93"/>
      <c r="E56" s="93"/>
      <c r="F56" s="93"/>
      <c r="G56" s="93"/>
      <c r="H56" s="50"/>
      <c r="I56" s="93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28.5" customHeight="1">
      <c r="A57" s="50"/>
      <c r="B57" s="93"/>
      <c r="C57" s="93"/>
      <c r="D57" s="93"/>
      <c r="E57" s="93"/>
      <c r="F57" s="93"/>
      <c r="G57" s="93"/>
      <c r="H57" s="50"/>
      <c r="I57" s="93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28.5" customHeight="1">
      <c r="A58" s="50"/>
      <c r="B58" s="93"/>
      <c r="C58" s="93"/>
      <c r="D58" s="93"/>
      <c r="E58" s="93"/>
      <c r="F58" s="93"/>
      <c r="G58" s="93"/>
      <c r="H58" s="50"/>
      <c r="I58" s="9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28.5" customHeight="1">
      <c r="A59" s="50"/>
      <c r="B59" s="93"/>
      <c r="C59" s="93"/>
      <c r="D59" s="93"/>
      <c r="E59" s="93"/>
      <c r="F59" s="93"/>
      <c r="G59" s="93"/>
      <c r="H59" s="50"/>
      <c r="I59" s="9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28.5" customHeight="1">
      <c r="A60" s="50"/>
      <c r="B60" s="93"/>
      <c r="C60" s="93"/>
      <c r="D60" s="93"/>
      <c r="E60" s="93"/>
      <c r="F60" s="93"/>
      <c r="G60" s="93"/>
      <c r="H60" s="50"/>
      <c r="I60" s="93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28.5" customHeight="1">
      <c r="A61" s="50"/>
      <c r="B61" s="93"/>
      <c r="C61" s="93"/>
      <c r="D61" s="93"/>
      <c r="E61" s="93"/>
      <c r="F61" s="93"/>
      <c r="G61" s="93"/>
      <c r="H61" s="50"/>
      <c r="I61" s="93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28.5" customHeight="1">
      <c r="A62" s="50"/>
      <c r="B62" s="93"/>
      <c r="C62" s="93"/>
      <c r="D62" s="93"/>
      <c r="E62" s="93"/>
      <c r="F62" s="93"/>
      <c r="G62" s="93"/>
      <c r="H62" s="50"/>
      <c r="I62" s="93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28.5" customHeight="1">
      <c r="A63" s="50"/>
      <c r="B63" s="93"/>
      <c r="C63" s="93"/>
      <c r="D63" s="93"/>
      <c r="E63" s="93"/>
      <c r="F63" s="93"/>
      <c r="G63" s="93"/>
      <c r="H63" s="50"/>
      <c r="I63" s="93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28.5" customHeight="1">
      <c r="A64" s="50"/>
      <c r="B64" s="93"/>
      <c r="C64" s="93"/>
      <c r="D64" s="93"/>
      <c r="E64" s="93"/>
      <c r="F64" s="93"/>
      <c r="G64" s="93"/>
      <c r="H64" s="50"/>
      <c r="I64" s="9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28.5" customHeight="1">
      <c r="A65" s="50"/>
      <c r="B65" s="93"/>
      <c r="C65" s="93"/>
      <c r="D65" s="93"/>
      <c r="E65" s="93"/>
      <c r="F65" s="93"/>
      <c r="G65" s="93"/>
      <c r="H65" s="50"/>
      <c r="I65" s="9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28.5" customHeight="1">
      <c r="A66" s="50"/>
      <c r="B66" s="93"/>
      <c r="C66" s="93"/>
      <c r="D66" s="93"/>
      <c r="E66" s="93"/>
      <c r="F66" s="93"/>
      <c r="G66" s="93"/>
      <c r="H66" s="50"/>
      <c r="I66" s="93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28.5" customHeight="1">
      <c r="A67" s="50"/>
      <c r="B67" s="93"/>
      <c r="C67" s="93"/>
      <c r="D67" s="93"/>
      <c r="E67" s="93"/>
      <c r="F67" s="93"/>
      <c r="G67" s="93"/>
      <c r="H67" s="50"/>
      <c r="I67" s="93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28.5" customHeight="1">
      <c r="A68" s="50"/>
      <c r="B68" s="93"/>
      <c r="C68" s="93"/>
      <c r="D68" s="93"/>
      <c r="E68" s="93"/>
      <c r="F68" s="93"/>
      <c r="G68" s="93"/>
      <c r="H68" s="50"/>
      <c r="I68" s="93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28.5" customHeight="1">
      <c r="A69" s="50"/>
      <c r="B69" s="93"/>
      <c r="C69" s="93"/>
      <c r="D69" s="93"/>
      <c r="E69" s="93"/>
      <c r="F69" s="93"/>
      <c r="G69" s="93"/>
      <c r="H69" s="50"/>
      <c r="I69" s="93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28.5" customHeight="1">
      <c r="A70" s="50"/>
      <c r="B70" s="93"/>
      <c r="C70" s="93"/>
      <c r="D70" s="93"/>
      <c r="E70" s="93"/>
      <c r="F70" s="93"/>
      <c r="G70" s="93"/>
      <c r="H70" s="50"/>
      <c r="I70" s="9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28.5" customHeight="1">
      <c r="A71" s="50"/>
      <c r="B71" s="93"/>
      <c r="C71" s="93"/>
      <c r="D71" s="93"/>
      <c r="E71" s="93"/>
      <c r="F71" s="93"/>
      <c r="G71" s="93"/>
      <c r="H71" s="50"/>
      <c r="I71" s="9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28.5" customHeight="1">
      <c r="A72" s="50"/>
      <c r="B72" s="93"/>
      <c r="C72" s="93"/>
      <c r="D72" s="93"/>
      <c r="E72" s="93"/>
      <c r="F72" s="93"/>
      <c r="G72" s="93"/>
      <c r="H72" s="50"/>
      <c r="I72" s="93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28.5" customHeight="1">
      <c r="A73" s="50"/>
      <c r="B73" s="93"/>
      <c r="C73" s="93"/>
      <c r="D73" s="93"/>
      <c r="E73" s="93"/>
      <c r="F73" s="93"/>
      <c r="G73" s="93"/>
      <c r="H73" s="50"/>
      <c r="I73" s="93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28.5" customHeight="1">
      <c r="A74" s="50"/>
      <c r="B74" s="93"/>
      <c r="C74" s="93"/>
      <c r="D74" s="93"/>
      <c r="E74" s="93"/>
      <c r="F74" s="93"/>
      <c r="G74" s="93"/>
      <c r="H74" s="50"/>
      <c r="I74" s="93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28.5" customHeight="1">
      <c r="A75" s="50"/>
      <c r="B75" s="93"/>
      <c r="C75" s="93"/>
      <c r="D75" s="93"/>
      <c r="E75" s="93"/>
      <c r="F75" s="93"/>
      <c r="G75" s="93"/>
      <c r="H75" s="50"/>
      <c r="I75" s="93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28.5" customHeight="1">
      <c r="A76" s="50"/>
      <c r="B76" s="93"/>
      <c r="C76" s="93"/>
      <c r="D76" s="93"/>
      <c r="E76" s="93"/>
      <c r="F76" s="93"/>
      <c r="G76" s="93"/>
      <c r="H76" s="50"/>
      <c r="I76" s="9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28.5" customHeight="1">
      <c r="A77" s="50"/>
      <c r="B77" s="93"/>
      <c r="C77" s="93"/>
      <c r="D77" s="93"/>
      <c r="E77" s="93"/>
      <c r="F77" s="93"/>
      <c r="G77" s="93"/>
      <c r="H77" s="50"/>
      <c r="I77" s="9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28.5" customHeight="1">
      <c r="A78" s="50"/>
      <c r="B78" s="93"/>
      <c r="C78" s="93"/>
      <c r="D78" s="93"/>
      <c r="E78" s="93"/>
      <c r="F78" s="93"/>
      <c r="G78" s="93"/>
      <c r="H78" s="50"/>
      <c r="I78" s="93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28.5" customHeight="1">
      <c r="A79" s="50"/>
      <c r="B79" s="93"/>
      <c r="C79" s="93"/>
      <c r="D79" s="93"/>
      <c r="E79" s="93"/>
      <c r="F79" s="93"/>
      <c r="G79" s="93"/>
      <c r="H79" s="50"/>
      <c r="I79" s="93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28.5" customHeight="1">
      <c r="A80" s="50"/>
      <c r="B80" s="93"/>
      <c r="C80" s="93"/>
      <c r="D80" s="93"/>
      <c r="E80" s="93"/>
      <c r="F80" s="93"/>
      <c r="G80" s="93"/>
      <c r="H80" s="50"/>
      <c r="I80" s="93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28.5" customHeight="1">
      <c r="A81" s="50"/>
      <c r="B81" s="93"/>
      <c r="C81" s="93"/>
      <c r="D81" s="93"/>
      <c r="E81" s="93"/>
      <c r="F81" s="93"/>
      <c r="G81" s="93"/>
      <c r="H81" s="50"/>
      <c r="I81" s="93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28.5" customHeight="1">
      <c r="A82" s="50"/>
      <c r="B82" s="93"/>
      <c r="C82" s="93"/>
      <c r="D82" s="93"/>
      <c r="E82" s="93"/>
      <c r="F82" s="93"/>
      <c r="G82" s="93"/>
      <c r="H82" s="50"/>
      <c r="I82" s="9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28.5" customHeight="1">
      <c r="A83" s="50"/>
      <c r="B83" s="93"/>
      <c r="C83" s="93"/>
      <c r="D83" s="93"/>
      <c r="E83" s="93"/>
      <c r="F83" s="93"/>
      <c r="G83" s="93"/>
      <c r="H83" s="50"/>
      <c r="I83" s="9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28.5" customHeight="1">
      <c r="A84" s="50"/>
      <c r="B84" s="93"/>
      <c r="C84" s="93"/>
      <c r="D84" s="93"/>
      <c r="E84" s="93"/>
      <c r="F84" s="93"/>
      <c r="G84" s="93"/>
      <c r="H84" s="50"/>
      <c r="I84" s="93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28.5" customHeight="1">
      <c r="A85" s="50"/>
      <c r="B85" s="93"/>
      <c r="C85" s="93"/>
      <c r="D85" s="93"/>
      <c r="E85" s="93"/>
      <c r="F85" s="93"/>
      <c r="G85" s="93"/>
      <c r="H85" s="50"/>
      <c r="I85" s="93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28.5" customHeight="1">
      <c r="A86" s="50"/>
      <c r="B86" s="93"/>
      <c r="C86" s="93"/>
      <c r="D86" s="93"/>
      <c r="E86" s="93"/>
      <c r="F86" s="93"/>
      <c r="G86" s="93"/>
      <c r="H86" s="50"/>
      <c r="I86" s="93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28.5" customHeight="1">
      <c r="A87" s="50"/>
      <c r="B87" s="93"/>
      <c r="C87" s="93"/>
      <c r="D87" s="93"/>
      <c r="E87" s="93"/>
      <c r="F87" s="93"/>
      <c r="G87" s="93"/>
      <c r="H87" s="50"/>
      <c r="I87" s="93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28.5" customHeight="1">
      <c r="A88" s="50"/>
      <c r="B88" s="93"/>
      <c r="C88" s="93"/>
      <c r="D88" s="93"/>
      <c r="E88" s="93"/>
      <c r="F88" s="93"/>
      <c r="G88" s="93"/>
      <c r="H88" s="50"/>
      <c r="I88" s="93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28.5" customHeight="1">
      <c r="A89" s="50"/>
      <c r="B89" s="93"/>
      <c r="C89" s="93"/>
      <c r="D89" s="93"/>
      <c r="E89" s="93"/>
      <c r="F89" s="93"/>
      <c r="G89" s="93"/>
      <c r="H89" s="50"/>
      <c r="I89" s="93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28.5" customHeight="1">
      <c r="A90" s="50"/>
      <c r="B90" s="93"/>
      <c r="C90" s="93"/>
      <c r="D90" s="93"/>
      <c r="E90" s="93"/>
      <c r="F90" s="93"/>
      <c r="G90" s="93"/>
      <c r="H90" s="50"/>
      <c r="I90" s="93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28.5" customHeight="1">
      <c r="A91" s="50"/>
      <c r="B91" s="93"/>
      <c r="C91" s="93"/>
      <c r="D91" s="93"/>
      <c r="E91" s="93"/>
      <c r="F91" s="93"/>
      <c r="G91" s="93"/>
      <c r="H91" s="50"/>
      <c r="I91" s="93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28.5" customHeight="1">
      <c r="A92" s="50"/>
      <c r="B92" s="93"/>
      <c r="C92" s="93"/>
      <c r="D92" s="93"/>
      <c r="E92" s="93"/>
      <c r="F92" s="93"/>
      <c r="G92" s="93"/>
      <c r="H92" s="50"/>
      <c r="I92" s="93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28.5" customHeight="1">
      <c r="A93" s="50"/>
      <c r="B93" s="93"/>
      <c r="C93" s="93"/>
      <c r="D93" s="93"/>
      <c r="E93" s="93"/>
      <c r="F93" s="93"/>
      <c r="G93" s="93"/>
      <c r="H93" s="50"/>
      <c r="I93" s="93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28.5" customHeight="1">
      <c r="A94" s="50"/>
      <c r="B94" s="93"/>
      <c r="C94" s="93"/>
      <c r="D94" s="93"/>
      <c r="E94" s="93"/>
      <c r="F94" s="93"/>
      <c r="G94" s="93"/>
      <c r="H94" s="50"/>
      <c r="I94" s="93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28.5" customHeight="1">
      <c r="A95" s="50"/>
      <c r="B95" s="93"/>
      <c r="C95" s="93"/>
      <c r="D95" s="93"/>
      <c r="E95" s="93"/>
      <c r="F95" s="93"/>
      <c r="G95" s="93"/>
      <c r="H95" s="50"/>
      <c r="I95" s="93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28.5" customHeight="1">
      <c r="A96" s="50"/>
      <c r="B96" s="93"/>
      <c r="C96" s="93"/>
      <c r="D96" s="93"/>
      <c r="E96" s="93"/>
      <c r="F96" s="93"/>
      <c r="G96" s="93"/>
      <c r="H96" s="50"/>
      <c r="I96" s="93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28.5" customHeight="1">
      <c r="A97" s="50"/>
      <c r="B97" s="93"/>
      <c r="C97" s="93"/>
      <c r="D97" s="93"/>
      <c r="E97" s="93"/>
      <c r="F97" s="93"/>
      <c r="G97" s="93"/>
      <c r="H97" s="50"/>
      <c r="I97" s="93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28.5" customHeight="1">
      <c r="A98" s="50"/>
      <c r="B98" s="93"/>
      <c r="C98" s="93"/>
      <c r="D98" s="93"/>
      <c r="E98" s="93"/>
      <c r="F98" s="93"/>
      <c r="G98" s="93"/>
      <c r="H98" s="50"/>
      <c r="I98" s="93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28.5" customHeight="1">
      <c r="A99" s="50"/>
      <c r="B99" s="93"/>
      <c r="C99" s="93"/>
      <c r="D99" s="93"/>
      <c r="E99" s="93"/>
      <c r="F99" s="93"/>
      <c r="G99" s="93"/>
      <c r="H99" s="50"/>
      <c r="I99" s="93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28.5" customHeight="1">
      <c r="A100" s="50"/>
      <c r="B100" s="93"/>
      <c r="C100" s="93"/>
      <c r="D100" s="93"/>
      <c r="E100" s="93"/>
      <c r="F100" s="93"/>
      <c r="G100" s="93"/>
      <c r="H100" s="50"/>
      <c r="I100" s="93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28.5" customHeight="1">
      <c r="A101" s="50"/>
      <c r="B101" s="93"/>
      <c r="C101" s="93"/>
      <c r="D101" s="93"/>
      <c r="E101" s="93"/>
      <c r="F101" s="93"/>
      <c r="G101" s="93"/>
      <c r="H101" s="50"/>
      <c r="I101" s="93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28.5" customHeight="1">
      <c r="A102" s="50"/>
      <c r="B102" s="93"/>
      <c r="C102" s="93"/>
      <c r="D102" s="93"/>
      <c r="E102" s="93"/>
      <c r="F102" s="93"/>
      <c r="G102" s="93"/>
      <c r="H102" s="50"/>
      <c r="I102" s="9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28.5" customHeight="1">
      <c r="A103" s="50"/>
      <c r="B103" s="93"/>
      <c r="C103" s="93"/>
      <c r="D103" s="93"/>
      <c r="E103" s="93"/>
      <c r="F103" s="93"/>
      <c r="G103" s="93"/>
      <c r="H103" s="50"/>
      <c r="I103" s="93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28.5" customHeight="1">
      <c r="A104" s="50"/>
      <c r="B104" s="93"/>
      <c r="C104" s="93"/>
      <c r="D104" s="93"/>
      <c r="E104" s="93"/>
      <c r="F104" s="93"/>
      <c r="G104" s="93"/>
      <c r="H104" s="50"/>
      <c r="I104" s="93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28.5" customHeight="1">
      <c r="A105" s="50"/>
      <c r="B105" s="93"/>
      <c r="C105" s="93"/>
      <c r="D105" s="93"/>
      <c r="E105" s="93"/>
      <c r="F105" s="93"/>
      <c r="G105" s="93"/>
      <c r="H105" s="50"/>
      <c r="I105" s="93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28.5" customHeight="1">
      <c r="A106" s="50"/>
      <c r="B106" s="93"/>
      <c r="C106" s="93"/>
      <c r="D106" s="93"/>
      <c r="E106" s="93"/>
      <c r="F106" s="93"/>
      <c r="G106" s="93"/>
      <c r="H106" s="50"/>
      <c r="I106" s="93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28.5" customHeight="1">
      <c r="A107" s="50"/>
      <c r="B107" s="93"/>
      <c r="C107" s="93"/>
      <c r="D107" s="93"/>
      <c r="E107" s="93"/>
      <c r="F107" s="93"/>
      <c r="G107" s="93"/>
      <c r="H107" s="50"/>
      <c r="I107" s="93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28.5" customHeight="1">
      <c r="A108" s="50"/>
      <c r="B108" s="93"/>
      <c r="C108" s="93"/>
      <c r="D108" s="93"/>
      <c r="E108" s="93"/>
      <c r="F108" s="93"/>
      <c r="G108" s="93"/>
      <c r="H108" s="50"/>
      <c r="I108" s="93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28.5" customHeight="1">
      <c r="A109" s="50"/>
      <c r="B109" s="93"/>
      <c r="C109" s="93"/>
      <c r="D109" s="93"/>
      <c r="E109" s="93"/>
      <c r="F109" s="93"/>
      <c r="G109" s="93"/>
      <c r="H109" s="50"/>
      <c r="I109" s="93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28.5" customHeight="1">
      <c r="A110" s="50"/>
      <c r="B110" s="93"/>
      <c r="C110" s="93"/>
      <c r="D110" s="93"/>
      <c r="E110" s="93"/>
      <c r="F110" s="93"/>
      <c r="G110" s="93"/>
      <c r="H110" s="50"/>
      <c r="I110" s="93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28.5" customHeight="1">
      <c r="A111" s="50"/>
      <c r="B111" s="93"/>
      <c r="C111" s="93"/>
      <c r="D111" s="93"/>
      <c r="E111" s="93"/>
      <c r="F111" s="93"/>
      <c r="G111" s="93"/>
      <c r="H111" s="50"/>
      <c r="I111" s="93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28.5" customHeight="1">
      <c r="A112" s="50"/>
      <c r="B112" s="93"/>
      <c r="C112" s="93"/>
      <c r="D112" s="93"/>
      <c r="E112" s="93"/>
      <c r="F112" s="93"/>
      <c r="G112" s="93"/>
      <c r="H112" s="50"/>
      <c r="I112" s="93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28.5" customHeight="1">
      <c r="A113" s="50"/>
      <c r="B113" s="93"/>
      <c r="C113" s="93"/>
      <c r="D113" s="93"/>
      <c r="E113" s="93"/>
      <c r="F113" s="93"/>
      <c r="G113" s="93"/>
      <c r="H113" s="50"/>
      <c r="I113" s="93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28.5" customHeight="1">
      <c r="A114" s="50"/>
      <c r="B114" s="93"/>
      <c r="C114" s="93"/>
      <c r="D114" s="93"/>
      <c r="E114" s="93"/>
      <c r="F114" s="93"/>
      <c r="G114" s="93"/>
      <c r="H114" s="50"/>
      <c r="I114" s="93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28.5" customHeight="1">
      <c r="A115" s="50"/>
      <c r="B115" s="93"/>
      <c r="C115" s="93"/>
      <c r="D115" s="93"/>
      <c r="E115" s="93"/>
      <c r="F115" s="93"/>
      <c r="G115" s="93"/>
      <c r="H115" s="50"/>
      <c r="I115" s="93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28.5" customHeight="1">
      <c r="A116" s="50"/>
      <c r="B116" s="93"/>
      <c r="C116" s="93"/>
      <c r="D116" s="93"/>
      <c r="E116" s="93"/>
      <c r="F116" s="93"/>
      <c r="G116" s="93"/>
      <c r="H116" s="50"/>
      <c r="I116" s="93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28.5" customHeight="1">
      <c r="A117" s="50"/>
      <c r="B117" s="93"/>
      <c r="C117" s="93"/>
      <c r="D117" s="93"/>
      <c r="E117" s="93"/>
      <c r="F117" s="93"/>
      <c r="G117" s="93"/>
      <c r="H117" s="50"/>
      <c r="I117" s="93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28.5" customHeight="1">
      <c r="A118" s="50"/>
      <c r="B118" s="93"/>
      <c r="C118" s="93"/>
      <c r="D118" s="93"/>
      <c r="E118" s="93"/>
      <c r="F118" s="93"/>
      <c r="G118" s="93"/>
      <c r="H118" s="50"/>
      <c r="I118" s="93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28.5" customHeight="1">
      <c r="A119" s="50"/>
      <c r="B119" s="93"/>
      <c r="C119" s="93"/>
      <c r="D119" s="93"/>
      <c r="E119" s="93"/>
      <c r="F119" s="93"/>
      <c r="G119" s="93"/>
      <c r="H119" s="50"/>
      <c r="I119" s="93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28.5" customHeight="1">
      <c r="A120" s="50"/>
      <c r="B120" s="93"/>
      <c r="C120" s="93"/>
      <c r="D120" s="93"/>
      <c r="E120" s="93"/>
      <c r="F120" s="93"/>
      <c r="G120" s="93"/>
      <c r="H120" s="50"/>
      <c r="I120" s="9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28.5" customHeight="1">
      <c r="A121" s="50"/>
      <c r="B121" s="93"/>
      <c r="C121" s="93"/>
      <c r="D121" s="93"/>
      <c r="E121" s="93"/>
      <c r="F121" s="93"/>
      <c r="G121" s="93"/>
      <c r="H121" s="50"/>
      <c r="I121" s="93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28.5" customHeight="1">
      <c r="A122" s="50"/>
      <c r="B122" s="93"/>
      <c r="C122" s="93"/>
      <c r="D122" s="93"/>
      <c r="E122" s="93"/>
      <c r="F122" s="93"/>
      <c r="G122" s="93"/>
      <c r="H122" s="50"/>
      <c r="I122" s="93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28.5" customHeight="1">
      <c r="A123" s="50"/>
      <c r="B123" s="93"/>
      <c r="C123" s="93"/>
      <c r="D123" s="93"/>
      <c r="E123" s="93"/>
      <c r="F123" s="93"/>
      <c r="G123" s="93"/>
      <c r="H123" s="50"/>
      <c r="I123" s="93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28.5" customHeight="1">
      <c r="A124" s="50"/>
      <c r="B124" s="93"/>
      <c r="C124" s="93"/>
      <c r="D124" s="93"/>
      <c r="E124" s="93"/>
      <c r="F124" s="93"/>
      <c r="G124" s="93"/>
      <c r="H124" s="50"/>
      <c r="I124" s="93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28.5" customHeight="1">
      <c r="A125" s="50"/>
      <c r="B125" s="93"/>
      <c r="C125" s="93"/>
      <c r="D125" s="93"/>
      <c r="E125" s="93"/>
      <c r="F125" s="93"/>
      <c r="G125" s="93"/>
      <c r="H125" s="50"/>
      <c r="I125" s="93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28.5" customHeight="1">
      <c r="A126" s="50"/>
      <c r="B126" s="93"/>
      <c r="C126" s="93"/>
      <c r="D126" s="93"/>
      <c r="E126" s="93"/>
      <c r="F126" s="93"/>
      <c r="G126" s="93"/>
      <c r="H126" s="50"/>
      <c r="I126" s="93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28.5" customHeight="1">
      <c r="A127" s="50"/>
      <c r="B127" s="93"/>
      <c r="C127" s="93"/>
      <c r="D127" s="93"/>
      <c r="E127" s="93"/>
      <c r="F127" s="93"/>
      <c r="G127" s="93"/>
      <c r="H127" s="50"/>
      <c r="I127" s="93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28.5" customHeight="1">
      <c r="A128" s="50"/>
      <c r="B128" s="93"/>
      <c r="C128" s="93"/>
      <c r="D128" s="93"/>
      <c r="E128" s="93"/>
      <c r="F128" s="93"/>
      <c r="G128" s="93"/>
      <c r="H128" s="50"/>
      <c r="I128" s="93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28.5" customHeight="1">
      <c r="A129" s="50"/>
      <c r="B129" s="93"/>
      <c r="C129" s="93"/>
      <c r="D129" s="93"/>
      <c r="E129" s="93"/>
      <c r="F129" s="93"/>
      <c r="G129" s="93"/>
      <c r="H129" s="50"/>
      <c r="I129" s="9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28.5" customHeight="1">
      <c r="A130" s="50"/>
      <c r="B130" s="93"/>
      <c r="C130" s="93"/>
      <c r="D130" s="93"/>
      <c r="E130" s="93"/>
      <c r="F130" s="93"/>
      <c r="G130" s="93"/>
      <c r="H130" s="50"/>
      <c r="I130" s="93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28.5" customHeight="1">
      <c r="A131" s="50"/>
      <c r="B131" s="93"/>
      <c r="C131" s="93"/>
      <c r="D131" s="93"/>
      <c r="E131" s="93"/>
      <c r="F131" s="93"/>
      <c r="G131" s="93"/>
      <c r="H131" s="50"/>
      <c r="I131" s="93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28.5" customHeight="1">
      <c r="A132" s="50"/>
      <c r="B132" s="93"/>
      <c r="C132" s="93"/>
      <c r="D132" s="93"/>
      <c r="E132" s="93"/>
      <c r="F132" s="93"/>
      <c r="G132" s="93"/>
      <c r="H132" s="50"/>
      <c r="I132" s="93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28.5" customHeight="1">
      <c r="A133" s="50"/>
      <c r="B133" s="93"/>
      <c r="C133" s="93"/>
      <c r="D133" s="93"/>
      <c r="E133" s="93"/>
      <c r="F133" s="93"/>
      <c r="G133" s="93"/>
      <c r="H133" s="50"/>
      <c r="I133" s="93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28.5" customHeight="1">
      <c r="A134" s="50"/>
      <c r="B134" s="93"/>
      <c r="C134" s="93"/>
      <c r="D134" s="93"/>
      <c r="E134" s="93"/>
      <c r="F134" s="93"/>
      <c r="G134" s="93"/>
      <c r="H134" s="50"/>
      <c r="I134" s="93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28.5" customHeight="1">
      <c r="A135" s="50"/>
      <c r="B135" s="93"/>
      <c r="C135" s="93"/>
      <c r="D135" s="93"/>
      <c r="E135" s="93"/>
      <c r="F135" s="93"/>
      <c r="G135" s="93"/>
      <c r="H135" s="50"/>
      <c r="I135" s="9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28.5" customHeight="1">
      <c r="A136" s="50"/>
      <c r="B136" s="93"/>
      <c r="C136" s="93"/>
      <c r="D136" s="93"/>
      <c r="E136" s="93"/>
      <c r="F136" s="93"/>
      <c r="G136" s="93"/>
      <c r="H136" s="50"/>
      <c r="I136" s="93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28.5" customHeight="1">
      <c r="A137" s="50"/>
      <c r="B137" s="93"/>
      <c r="C137" s="93"/>
      <c r="D137" s="93"/>
      <c r="E137" s="93"/>
      <c r="F137" s="93"/>
      <c r="G137" s="93"/>
      <c r="H137" s="50"/>
      <c r="I137" s="9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28.5" customHeight="1">
      <c r="A138" s="50"/>
      <c r="B138" s="93"/>
      <c r="C138" s="93"/>
      <c r="D138" s="93"/>
      <c r="E138" s="93"/>
      <c r="F138" s="93"/>
      <c r="G138" s="93"/>
      <c r="H138" s="50"/>
      <c r="I138" s="93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28.5" customHeight="1">
      <c r="A139" s="50"/>
      <c r="B139" s="93"/>
      <c r="C139" s="93"/>
      <c r="D139" s="93"/>
      <c r="E139" s="93"/>
      <c r="F139" s="93"/>
      <c r="G139" s="93"/>
      <c r="H139" s="50"/>
      <c r="I139" s="93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28.5" customHeight="1">
      <c r="A140" s="50"/>
      <c r="B140" s="93"/>
      <c r="C140" s="93"/>
      <c r="D140" s="93"/>
      <c r="E140" s="93"/>
      <c r="F140" s="93"/>
      <c r="G140" s="93"/>
      <c r="H140" s="50"/>
      <c r="I140" s="93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28.5" customHeight="1">
      <c r="A141" s="50"/>
      <c r="B141" s="93"/>
      <c r="C141" s="93"/>
      <c r="D141" s="93"/>
      <c r="E141" s="93"/>
      <c r="F141" s="93"/>
      <c r="G141" s="93"/>
      <c r="H141" s="50"/>
      <c r="I141" s="93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28.5" customHeight="1">
      <c r="A142" s="50"/>
      <c r="B142" s="93"/>
      <c r="C142" s="93"/>
      <c r="D142" s="93"/>
      <c r="E142" s="93"/>
      <c r="F142" s="93"/>
      <c r="G142" s="93"/>
      <c r="H142" s="50"/>
      <c r="I142" s="93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28.5" customHeight="1">
      <c r="A143" s="50"/>
      <c r="B143" s="93"/>
      <c r="C143" s="93"/>
      <c r="D143" s="93"/>
      <c r="E143" s="93"/>
      <c r="F143" s="93"/>
      <c r="G143" s="93"/>
      <c r="H143" s="50"/>
      <c r="I143" s="93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28.5" customHeight="1">
      <c r="A144" s="50"/>
      <c r="B144" s="93"/>
      <c r="C144" s="93"/>
      <c r="D144" s="93"/>
      <c r="E144" s="93"/>
      <c r="F144" s="93"/>
      <c r="G144" s="93"/>
      <c r="H144" s="50"/>
      <c r="I144" s="93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28.5" customHeight="1">
      <c r="A145" s="50"/>
      <c r="B145" s="93"/>
      <c r="C145" s="93"/>
      <c r="D145" s="93"/>
      <c r="E145" s="93"/>
      <c r="F145" s="93"/>
      <c r="G145" s="93"/>
      <c r="H145" s="50"/>
      <c r="I145" s="93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28.5" customHeight="1">
      <c r="A146" s="50"/>
      <c r="B146" s="93"/>
      <c r="C146" s="93"/>
      <c r="D146" s="93"/>
      <c r="E146" s="93"/>
      <c r="F146" s="93"/>
      <c r="G146" s="93"/>
      <c r="H146" s="50"/>
      <c r="I146" s="93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28.5" customHeight="1">
      <c r="A147" s="50"/>
      <c r="B147" s="93"/>
      <c r="C147" s="93"/>
      <c r="D147" s="93"/>
      <c r="E147" s="93"/>
      <c r="F147" s="93"/>
      <c r="G147" s="93"/>
      <c r="H147" s="50"/>
      <c r="I147" s="93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28.5" customHeight="1">
      <c r="A148" s="50"/>
      <c r="B148" s="93"/>
      <c r="C148" s="93"/>
      <c r="D148" s="93"/>
      <c r="E148" s="93"/>
      <c r="F148" s="93"/>
      <c r="G148" s="93"/>
      <c r="H148" s="50"/>
      <c r="I148" s="93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28.5" customHeight="1">
      <c r="A149" s="50"/>
      <c r="B149" s="93"/>
      <c r="C149" s="93"/>
      <c r="D149" s="93"/>
      <c r="E149" s="93"/>
      <c r="F149" s="93"/>
      <c r="G149" s="93"/>
      <c r="H149" s="50"/>
      <c r="I149" s="93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28.5" customHeight="1">
      <c r="A150" s="50"/>
      <c r="B150" s="93"/>
      <c r="C150" s="93"/>
      <c r="D150" s="93"/>
      <c r="E150" s="93"/>
      <c r="F150" s="93"/>
      <c r="G150" s="93"/>
      <c r="H150" s="50"/>
      <c r="I150" s="93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28.5" customHeight="1">
      <c r="A151" s="50"/>
      <c r="B151" s="93"/>
      <c r="C151" s="93"/>
      <c r="D151" s="93"/>
      <c r="E151" s="93"/>
      <c r="F151" s="93"/>
      <c r="G151" s="93"/>
      <c r="H151" s="50"/>
      <c r="I151" s="93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28.5" customHeight="1">
      <c r="A152" s="50"/>
      <c r="B152" s="93"/>
      <c r="C152" s="93"/>
      <c r="D152" s="93"/>
      <c r="E152" s="93"/>
      <c r="F152" s="93"/>
      <c r="G152" s="93"/>
      <c r="H152" s="50"/>
      <c r="I152" s="93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28.5" customHeight="1">
      <c r="A153" s="50"/>
      <c r="B153" s="93"/>
      <c r="C153" s="93"/>
      <c r="D153" s="93"/>
      <c r="E153" s="93"/>
      <c r="F153" s="93"/>
      <c r="G153" s="93"/>
      <c r="H153" s="50"/>
      <c r="I153" s="93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28.5" customHeight="1">
      <c r="A154" s="50"/>
      <c r="B154" s="93"/>
      <c r="C154" s="93"/>
      <c r="D154" s="93"/>
      <c r="E154" s="93"/>
      <c r="F154" s="93"/>
      <c r="G154" s="93"/>
      <c r="H154" s="50"/>
      <c r="I154" s="93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28.5" customHeight="1">
      <c r="A155" s="50"/>
      <c r="B155" s="93"/>
      <c r="C155" s="93"/>
      <c r="D155" s="93"/>
      <c r="E155" s="93"/>
      <c r="F155" s="93"/>
      <c r="G155" s="93"/>
      <c r="H155" s="50"/>
      <c r="I155" s="93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28.5" customHeight="1">
      <c r="A156" s="50"/>
      <c r="B156" s="93"/>
      <c r="C156" s="93"/>
      <c r="D156" s="93"/>
      <c r="E156" s="93"/>
      <c r="F156" s="93"/>
      <c r="G156" s="93"/>
      <c r="H156" s="50"/>
      <c r="I156" s="93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28.5" customHeight="1">
      <c r="A157" s="50"/>
      <c r="B157" s="93"/>
      <c r="C157" s="93"/>
      <c r="D157" s="93"/>
      <c r="E157" s="93"/>
      <c r="F157" s="93"/>
      <c r="G157" s="93"/>
      <c r="H157" s="50"/>
      <c r="I157" s="93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28.5" customHeight="1">
      <c r="A158" s="50"/>
      <c r="B158" s="93"/>
      <c r="C158" s="93"/>
      <c r="D158" s="93"/>
      <c r="E158" s="93"/>
      <c r="F158" s="93"/>
      <c r="G158" s="93"/>
      <c r="H158" s="50"/>
      <c r="I158" s="93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28.5" customHeight="1">
      <c r="A159" s="50"/>
      <c r="B159" s="93"/>
      <c r="C159" s="93"/>
      <c r="D159" s="93"/>
      <c r="E159" s="93"/>
      <c r="F159" s="93"/>
      <c r="G159" s="93"/>
      <c r="H159" s="50"/>
      <c r="I159" s="93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28.5" customHeight="1">
      <c r="A160" s="50"/>
      <c r="B160" s="93"/>
      <c r="C160" s="93"/>
      <c r="D160" s="93"/>
      <c r="E160" s="93"/>
      <c r="F160" s="93"/>
      <c r="G160" s="93"/>
      <c r="H160" s="50"/>
      <c r="I160" s="93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28.5" customHeight="1">
      <c r="A161" s="50"/>
      <c r="B161" s="93"/>
      <c r="C161" s="93"/>
      <c r="D161" s="93"/>
      <c r="E161" s="93"/>
      <c r="F161" s="93"/>
      <c r="G161" s="93"/>
      <c r="H161" s="50"/>
      <c r="I161" s="93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28.5" customHeight="1">
      <c r="A162" s="50"/>
      <c r="B162" s="93"/>
      <c r="C162" s="93"/>
      <c r="D162" s="93"/>
      <c r="E162" s="93"/>
      <c r="F162" s="93"/>
      <c r="G162" s="93"/>
      <c r="H162" s="50"/>
      <c r="I162" s="93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28.5" customHeight="1">
      <c r="A163" s="50"/>
      <c r="B163" s="93"/>
      <c r="C163" s="93"/>
      <c r="D163" s="93"/>
      <c r="E163" s="93"/>
      <c r="F163" s="93"/>
      <c r="G163" s="93"/>
      <c r="H163" s="50"/>
      <c r="I163" s="93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28.5" customHeight="1">
      <c r="A164" s="50"/>
      <c r="B164" s="93"/>
      <c r="C164" s="93"/>
      <c r="D164" s="93"/>
      <c r="E164" s="93"/>
      <c r="F164" s="93"/>
      <c r="G164" s="93"/>
      <c r="H164" s="50"/>
      <c r="I164" s="93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28.5" customHeight="1">
      <c r="A165" s="50"/>
      <c r="B165" s="93"/>
      <c r="C165" s="93"/>
      <c r="D165" s="93"/>
      <c r="E165" s="93"/>
      <c r="F165" s="93"/>
      <c r="G165" s="93"/>
      <c r="H165" s="50"/>
      <c r="I165" s="93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28.5" customHeight="1">
      <c r="A166" s="50"/>
      <c r="B166" s="93"/>
      <c r="C166" s="93"/>
      <c r="D166" s="93"/>
      <c r="E166" s="93"/>
      <c r="F166" s="93"/>
      <c r="G166" s="93"/>
      <c r="H166" s="50"/>
      <c r="I166" s="93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28.5" customHeight="1">
      <c r="A167" s="50"/>
      <c r="B167" s="93"/>
      <c r="C167" s="93"/>
      <c r="D167" s="93"/>
      <c r="E167" s="93"/>
      <c r="F167" s="93"/>
      <c r="G167" s="93"/>
      <c r="H167" s="50"/>
      <c r="I167" s="93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28.5" customHeight="1">
      <c r="A168" s="50"/>
      <c r="B168" s="93"/>
      <c r="C168" s="93"/>
      <c r="D168" s="93"/>
      <c r="E168" s="93"/>
      <c r="F168" s="93"/>
      <c r="G168" s="93"/>
      <c r="H168" s="50"/>
      <c r="I168" s="93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28.5" customHeight="1">
      <c r="A169" s="50"/>
      <c r="B169" s="93"/>
      <c r="C169" s="93"/>
      <c r="D169" s="93"/>
      <c r="E169" s="93"/>
      <c r="F169" s="93"/>
      <c r="G169" s="93"/>
      <c r="H169" s="50"/>
      <c r="I169" s="93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28.5" customHeight="1">
      <c r="A170" s="50"/>
      <c r="B170" s="93"/>
      <c r="C170" s="93"/>
      <c r="D170" s="93"/>
      <c r="E170" s="93"/>
      <c r="F170" s="93"/>
      <c r="G170" s="93"/>
      <c r="H170" s="50"/>
      <c r="I170" s="93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28.5" customHeight="1">
      <c r="A171" s="50"/>
      <c r="B171" s="93"/>
      <c r="C171" s="93"/>
      <c r="D171" s="93"/>
      <c r="E171" s="93"/>
      <c r="F171" s="93"/>
      <c r="G171" s="93"/>
      <c r="H171" s="50"/>
      <c r="I171" s="93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28.5" customHeight="1">
      <c r="A172" s="50"/>
      <c r="B172" s="93"/>
      <c r="C172" s="93"/>
      <c r="D172" s="93"/>
      <c r="E172" s="93"/>
      <c r="F172" s="93"/>
      <c r="G172" s="93"/>
      <c r="H172" s="50"/>
      <c r="I172" s="93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28.5" customHeight="1">
      <c r="A173" s="50"/>
      <c r="B173" s="93"/>
      <c r="C173" s="93"/>
      <c r="D173" s="93"/>
      <c r="E173" s="93"/>
      <c r="F173" s="93"/>
      <c r="G173" s="93"/>
      <c r="H173" s="50"/>
      <c r="I173" s="93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28.5" customHeight="1">
      <c r="A174" s="50"/>
      <c r="B174" s="93"/>
      <c r="C174" s="93"/>
      <c r="D174" s="93"/>
      <c r="E174" s="93"/>
      <c r="F174" s="93"/>
      <c r="G174" s="93"/>
      <c r="H174" s="50"/>
      <c r="I174" s="93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28.5" customHeight="1">
      <c r="A175" s="50"/>
      <c r="B175" s="93"/>
      <c r="C175" s="93"/>
      <c r="D175" s="93"/>
      <c r="E175" s="93"/>
      <c r="F175" s="93"/>
      <c r="G175" s="93"/>
      <c r="H175" s="50"/>
      <c r="I175" s="93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28.5" customHeight="1">
      <c r="A176" s="50"/>
      <c r="B176" s="93"/>
      <c r="C176" s="93"/>
      <c r="D176" s="93"/>
      <c r="E176" s="93"/>
      <c r="F176" s="93"/>
      <c r="G176" s="93"/>
      <c r="H176" s="50"/>
      <c r="I176" s="93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28.5" customHeight="1">
      <c r="A177" s="50"/>
      <c r="B177" s="93"/>
      <c r="C177" s="93"/>
      <c r="D177" s="93"/>
      <c r="E177" s="93"/>
      <c r="F177" s="93"/>
      <c r="G177" s="93"/>
      <c r="H177" s="50"/>
      <c r="I177" s="93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28.5" customHeight="1">
      <c r="A178" s="50"/>
      <c r="B178" s="93"/>
      <c r="C178" s="93"/>
      <c r="D178" s="93"/>
      <c r="E178" s="93"/>
      <c r="F178" s="93"/>
      <c r="G178" s="93"/>
      <c r="H178" s="50"/>
      <c r="I178" s="93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28.5" customHeight="1">
      <c r="A179" s="50"/>
      <c r="B179" s="93"/>
      <c r="C179" s="93"/>
      <c r="D179" s="93"/>
      <c r="E179" s="93"/>
      <c r="F179" s="93"/>
      <c r="G179" s="93"/>
      <c r="H179" s="50"/>
      <c r="I179" s="93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28.5" customHeight="1">
      <c r="A180" s="50"/>
      <c r="B180" s="93"/>
      <c r="C180" s="93"/>
      <c r="D180" s="93"/>
      <c r="E180" s="93"/>
      <c r="F180" s="93"/>
      <c r="G180" s="93"/>
      <c r="H180" s="50"/>
      <c r="I180" s="93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28.5" customHeight="1">
      <c r="A181" s="50"/>
      <c r="B181" s="93"/>
      <c r="C181" s="93"/>
      <c r="D181" s="93"/>
      <c r="E181" s="93"/>
      <c r="F181" s="93"/>
      <c r="G181" s="93"/>
      <c r="H181" s="50"/>
      <c r="I181" s="93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28.5" customHeight="1">
      <c r="A182" s="50"/>
      <c r="B182" s="93"/>
      <c r="C182" s="93"/>
      <c r="D182" s="93"/>
      <c r="E182" s="93"/>
      <c r="F182" s="93"/>
      <c r="G182" s="93"/>
      <c r="H182" s="50"/>
      <c r="I182" s="93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28.5" customHeight="1">
      <c r="A183" s="50"/>
      <c r="B183" s="93"/>
      <c r="C183" s="93"/>
      <c r="D183" s="93"/>
      <c r="E183" s="93"/>
      <c r="F183" s="93"/>
      <c r="G183" s="93"/>
      <c r="H183" s="50"/>
      <c r="I183" s="93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28.5" customHeight="1">
      <c r="A184" s="50"/>
      <c r="B184" s="93"/>
      <c r="C184" s="93"/>
      <c r="D184" s="93"/>
      <c r="E184" s="93"/>
      <c r="F184" s="93"/>
      <c r="G184" s="93"/>
      <c r="H184" s="50"/>
      <c r="I184" s="93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28.5" customHeight="1">
      <c r="A185" s="50"/>
      <c r="B185" s="93"/>
      <c r="C185" s="93"/>
      <c r="D185" s="93"/>
      <c r="E185" s="93"/>
      <c r="F185" s="93"/>
      <c r="G185" s="93"/>
      <c r="H185" s="50"/>
      <c r="I185" s="93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28.5" customHeight="1">
      <c r="A186" s="50"/>
      <c r="B186" s="93"/>
      <c r="C186" s="93"/>
      <c r="D186" s="93"/>
      <c r="E186" s="93"/>
      <c r="F186" s="93"/>
      <c r="G186" s="93"/>
      <c r="H186" s="50"/>
      <c r="I186" s="93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28.5" customHeight="1">
      <c r="A187" s="50"/>
      <c r="B187" s="93"/>
      <c r="C187" s="93"/>
      <c r="D187" s="93"/>
      <c r="E187" s="93"/>
      <c r="F187" s="93"/>
      <c r="G187" s="93"/>
      <c r="H187" s="50"/>
      <c r="I187" s="93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28.5" customHeight="1">
      <c r="A188" s="50"/>
      <c r="B188" s="93"/>
      <c r="C188" s="93"/>
      <c r="D188" s="93"/>
      <c r="E188" s="93"/>
      <c r="F188" s="93"/>
      <c r="G188" s="93"/>
      <c r="H188" s="50"/>
      <c r="I188" s="93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28.5" customHeight="1">
      <c r="A189" s="50"/>
      <c r="B189" s="93"/>
      <c r="C189" s="93"/>
      <c r="D189" s="93"/>
      <c r="E189" s="93"/>
      <c r="F189" s="93"/>
      <c r="G189" s="93"/>
      <c r="H189" s="50"/>
      <c r="I189" s="93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28.5" customHeight="1">
      <c r="A190" s="50"/>
      <c r="B190" s="93"/>
      <c r="C190" s="93"/>
      <c r="D190" s="93"/>
      <c r="E190" s="93"/>
      <c r="F190" s="93"/>
      <c r="G190" s="93"/>
      <c r="H190" s="50"/>
      <c r="I190" s="93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28.5" customHeight="1">
      <c r="A191" s="50"/>
      <c r="B191" s="93"/>
      <c r="C191" s="93"/>
      <c r="D191" s="93"/>
      <c r="E191" s="93"/>
      <c r="F191" s="93"/>
      <c r="G191" s="93"/>
      <c r="H191" s="50"/>
      <c r="I191" s="93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28.5" customHeight="1">
      <c r="A192" s="50"/>
      <c r="B192" s="93"/>
      <c r="C192" s="93"/>
      <c r="D192" s="93"/>
      <c r="E192" s="93"/>
      <c r="F192" s="93"/>
      <c r="G192" s="93"/>
      <c r="H192" s="50"/>
      <c r="I192" s="93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28.5" customHeight="1">
      <c r="A193" s="50"/>
      <c r="B193" s="93"/>
      <c r="C193" s="93"/>
      <c r="D193" s="93"/>
      <c r="E193" s="93"/>
      <c r="F193" s="93"/>
      <c r="G193" s="93"/>
      <c r="H193" s="50"/>
      <c r="I193" s="93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28.5" customHeight="1">
      <c r="A194" s="50"/>
      <c r="B194" s="93"/>
      <c r="C194" s="93"/>
      <c r="D194" s="93"/>
      <c r="E194" s="93"/>
      <c r="F194" s="93"/>
      <c r="G194" s="93"/>
      <c r="H194" s="50"/>
      <c r="I194" s="93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28.5" customHeight="1">
      <c r="A195" s="50"/>
      <c r="B195" s="93"/>
      <c r="C195" s="93"/>
      <c r="D195" s="93"/>
      <c r="E195" s="93"/>
      <c r="F195" s="93"/>
      <c r="G195" s="93"/>
      <c r="H195" s="50"/>
      <c r="I195" s="93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28.5" customHeight="1">
      <c r="A196" s="50"/>
      <c r="B196" s="93"/>
      <c r="C196" s="93"/>
      <c r="D196" s="93"/>
      <c r="E196" s="93"/>
      <c r="F196" s="93"/>
      <c r="G196" s="93"/>
      <c r="H196" s="50"/>
      <c r="I196" s="93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28.5" customHeight="1">
      <c r="A197" s="50"/>
      <c r="B197" s="93"/>
      <c r="C197" s="93"/>
      <c r="D197" s="93"/>
      <c r="E197" s="93"/>
      <c r="F197" s="93"/>
      <c r="G197" s="93"/>
      <c r="H197" s="50"/>
      <c r="I197" s="93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28.5" customHeight="1">
      <c r="A198" s="50"/>
      <c r="B198" s="93"/>
      <c r="C198" s="93"/>
      <c r="D198" s="93"/>
      <c r="E198" s="93"/>
      <c r="F198" s="93"/>
      <c r="G198" s="93"/>
      <c r="H198" s="50"/>
      <c r="I198" s="93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28.5" customHeight="1">
      <c r="A199" s="50"/>
      <c r="B199" s="93"/>
      <c r="C199" s="93"/>
      <c r="D199" s="93"/>
      <c r="E199" s="93"/>
      <c r="F199" s="93"/>
      <c r="G199" s="93"/>
      <c r="H199" s="50"/>
      <c r="I199" s="93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28.5" customHeight="1">
      <c r="A200" s="50"/>
      <c r="B200" s="93"/>
      <c r="C200" s="93"/>
      <c r="D200" s="93"/>
      <c r="E200" s="93"/>
      <c r="F200" s="93"/>
      <c r="G200" s="93"/>
      <c r="H200" s="50"/>
      <c r="I200" s="93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28.5" customHeight="1">
      <c r="A201" s="50"/>
      <c r="B201" s="93"/>
      <c r="C201" s="93"/>
      <c r="D201" s="93"/>
      <c r="E201" s="93"/>
      <c r="F201" s="93"/>
      <c r="G201" s="93"/>
      <c r="H201" s="50"/>
      <c r="I201" s="93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28.5" customHeight="1">
      <c r="A202" s="50"/>
      <c r="B202" s="93"/>
      <c r="C202" s="93"/>
      <c r="D202" s="93"/>
      <c r="E202" s="93"/>
      <c r="F202" s="93"/>
      <c r="G202" s="93"/>
      <c r="H202" s="50"/>
      <c r="I202" s="93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28.5" customHeight="1">
      <c r="A203" s="50"/>
      <c r="B203" s="93"/>
      <c r="C203" s="93"/>
      <c r="D203" s="93"/>
      <c r="E203" s="93"/>
      <c r="F203" s="93"/>
      <c r="G203" s="93"/>
      <c r="H203" s="50"/>
      <c r="I203" s="93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28.5" customHeight="1">
      <c r="A204" s="50"/>
      <c r="B204" s="93"/>
      <c r="C204" s="93"/>
      <c r="D204" s="93"/>
      <c r="E204" s="93"/>
      <c r="F204" s="93"/>
      <c r="G204" s="93"/>
      <c r="H204" s="50"/>
      <c r="I204" s="93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28.5" customHeight="1">
      <c r="A205" s="50"/>
      <c r="B205" s="93"/>
      <c r="C205" s="93"/>
      <c r="D205" s="93"/>
      <c r="E205" s="93"/>
      <c r="F205" s="93"/>
      <c r="G205" s="93"/>
      <c r="H205" s="50"/>
      <c r="I205" s="93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28.5" customHeight="1">
      <c r="A206" s="50"/>
      <c r="B206" s="93"/>
      <c r="C206" s="93"/>
      <c r="D206" s="93"/>
      <c r="E206" s="93"/>
      <c r="F206" s="93"/>
      <c r="G206" s="93"/>
      <c r="H206" s="50"/>
      <c r="I206" s="93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28.5" customHeight="1">
      <c r="A207" s="50"/>
      <c r="B207" s="93"/>
      <c r="C207" s="93"/>
      <c r="D207" s="93"/>
      <c r="E207" s="93"/>
      <c r="F207" s="93"/>
      <c r="G207" s="93"/>
      <c r="H207" s="50"/>
      <c r="I207" s="93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28.5" customHeight="1">
      <c r="A208" s="50"/>
      <c r="B208" s="93"/>
      <c r="C208" s="93"/>
      <c r="D208" s="93"/>
      <c r="E208" s="93"/>
      <c r="F208" s="93"/>
      <c r="G208" s="93"/>
      <c r="H208" s="50"/>
      <c r="I208" s="93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28.5" customHeight="1">
      <c r="A209" s="50"/>
      <c r="B209" s="93"/>
      <c r="C209" s="93"/>
      <c r="D209" s="93"/>
      <c r="E209" s="93"/>
      <c r="F209" s="93"/>
      <c r="G209" s="93"/>
      <c r="H209" s="50"/>
      <c r="I209" s="93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28.5" customHeight="1">
      <c r="A210" s="50"/>
      <c r="B210" s="93"/>
      <c r="C210" s="93"/>
      <c r="D210" s="93"/>
      <c r="E210" s="93"/>
      <c r="F210" s="93"/>
      <c r="G210" s="93"/>
      <c r="H210" s="50"/>
      <c r="I210" s="93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28.5" customHeight="1">
      <c r="A211" s="50"/>
      <c r="B211" s="93"/>
      <c r="C211" s="93"/>
      <c r="D211" s="93"/>
      <c r="E211" s="93"/>
      <c r="F211" s="93"/>
      <c r="G211" s="93"/>
      <c r="H211" s="50"/>
      <c r="I211" s="93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28.5" customHeight="1">
      <c r="A212" s="50"/>
      <c r="B212" s="93"/>
      <c r="C212" s="93"/>
      <c r="D212" s="93"/>
      <c r="E212" s="93"/>
      <c r="F212" s="93"/>
      <c r="G212" s="93"/>
      <c r="H212" s="50"/>
      <c r="I212" s="93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28.5" customHeight="1">
      <c r="A213" s="50"/>
      <c r="B213" s="93"/>
      <c r="C213" s="93"/>
      <c r="D213" s="93"/>
      <c r="E213" s="93"/>
      <c r="F213" s="93"/>
      <c r="G213" s="93"/>
      <c r="H213" s="50"/>
      <c r="I213" s="93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28.5" customHeight="1">
      <c r="A214" s="50"/>
      <c r="B214" s="93"/>
      <c r="C214" s="93"/>
      <c r="D214" s="93"/>
      <c r="E214" s="93"/>
      <c r="F214" s="93"/>
      <c r="G214" s="93"/>
      <c r="H214" s="50"/>
      <c r="I214" s="93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28.5" customHeight="1">
      <c r="A215" s="50"/>
      <c r="B215" s="93"/>
      <c r="C215" s="93"/>
      <c r="D215" s="93"/>
      <c r="E215" s="93"/>
      <c r="F215" s="93"/>
      <c r="G215" s="93"/>
      <c r="H215" s="50"/>
      <c r="I215" s="93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28.5" customHeight="1">
      <c r="A216" s="50"/>
      <c r="B216" s="93"/>
      <c r="C216" s="93"/>
      <c r="D216" s="93"/>
      <c r="E216" s="93"/>
      <c r="F216" s="93"/>
      <c r="G216" s="93"/>
      <c r="H216" s="50"/>
      <c r="I216" s="93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28.5" customHeight="1">
      <c r="A217" s="50"/>
      <c r="B217" s="93"/>
      <c r="C217" s="93"/>
      <c r="D217" s="93"/>
      <c r="E217" s="93"/>
      <c r="F217" s="93"/>
      <c r="G217" s="93"/>
      <c r="H217" s="50"/>
      <c r="I217" s="93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28.5" customHeight="1">
      <c r="A218" s="50"/>
      <c r="B218" s="93"/>
      <c r="C218" s="93"/>
      <c r="D218" s="93"/>
      <c r="E218" s="93"/>
      <c r="F218" s="93"/>
      <c r="G218" s="93"/>
      <c r="H218" s="50"/>
      <c r="I218" s="93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28.5" customHeight="1">
      <c r="A219" s="50"/>
      <c r="B219" s="93"/>
      <c r="C219" s="93"/>
      <c r="D219" s="93"/>
      <c r="E219" s="93"/>
      <c r="F219" s="93"/>
      <c r="G219" s="93"/>
      <c r="H219" s="50"/>
      <c r="I219" s="93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28.5" customHeight="1">
      <c r="A220" s="50"/>
      <c r="B220" s="93"/>
      <c r="C220" s="93"/>
      <c r="D220" s="93"/>
      <c r="E220" s="93"/>
      <c r="F220" s="93"/>
      <c r="G220" s="93"/>
      <c r="H220" s="50"/>
      <c r="I220" s="93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28.5" customHeight="1">
      <c r="A221" s="50"/>
      <c r="B221" s="93"/>
      <c r="C221" s="93"/>
      <c r="D221" s="93"/>
      <c r="E221" s="93"/>
      <c r="F221" s="93"/>
      <c r="G221" s="93"/>
      <c r="H221" s="50"/>
      <c r="I221" s="93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28.5" customHeight="1">
      <c r="A222" s="50"/>
      <c r="B222" s="93"/>
      <c r="C222" s="93"/>
      <c r="D222" s="93"/>
      <c r="E222" s="93"/>
      <c r="F222" s="93"/>
      <c r="G222" s="93"/>
      <c r="H222" s="50"/>
      <c r="I222" s="93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28.5" customHeight="1">
      <c r="A223" s="50"/>
      <c r="B223" s="93"/>
      <c r="C223" s="93"/>
      <c r="D223" s="93"/>
      <c r="E223" s="93"/>
      <c r="F223" s="93"/>
      <c r="G223" s="93"/>
      <c r="H223" s="50"/>
      <c r="I223" s="93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28.5" customHeight="1">
      <c r="A224" s="50"/>
      <c r="B224" s="93"/>
      <c r="C224" s="93"/>
      <c r="D224" s="93"/>
      <c r="E224" s="93"/>
      <c r="F224" s="93"/>
      <c r="G224" s="93"/>
      <c r="H224" s="50"/>
      <c r="I224" s="93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28.5" customHeight="1">
      <c r="A225" s="50"/>
      <c r="B225" s="93"/>
      <c r="C225" s="93"/>
      <c r="D225" s="93"/>
      <c r="E225" s="93"/>
      <c r="F225" s="93"/>
      <c r="G225" s="93"/>
      <c r="H225" s="50"/>
      <c r="I225" s="93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28.5" customHeight="1">
      <c r="A226" s="50"/>
      <c r="B226" s="93"/>
      <c r="C226" s="93"/>
      <c r="D226" s="93"/>
      <c r="E226" s="93"/>
      <c r="F226" s="93"/>
      <c r="G226" s="93"/>
      <c r="H226" s="50"/>
      <c r="I226" s="93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28.5" customHeight="1">
      <c r="A227" s="50"/>
      <c r="B227" s="93"/>
      <c r="C227" s="93"/>
      <c r="D227" s="93"/>
      <c r="E227" s="93"/>
      <c r="F227" s="93"/>
      <c r="G227" s="93"/>
      <c r="H227" s="50"/>
      <c r="I227" s="93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28.5" customHeight="1">
      <c r="A228" s="50"/>
      <c r="B228" s="93"/>
      <c r="C228" s="93"/>
      <c r="D228" s="93"/>
      <c r="E228" s="93"/>
      <c r="F228" s="93"/>
      <c r="G228" s="93"/>
      <c r="H228" s="50"/>
      <c r="I228" s="93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28.5" customHeight="1">
      <c r="A229" s="50"/>
      <c r="B229" s="93"/>
      <c r="C229" s="93"/>
      <c r="D229" s="93"/>
      <c r="E229" s="93"/>
      <c r="F229" s="93"/>
      <c r="G229" s="93"/>
      <c r="H229" s="50"/>
      <c r="I229" s="93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28.5" customHeight="1">
      <c r="A230" s="50"/>
      <c r="B230" s="93"/>
      <c r="C230" s="93"/>
      <c r="D230" s="93"/>
      <c r="E230" s="93"/>
      <c r="F230" s="93"/>
      <c r="G230" s="93"/>
      <c r="H230" s="50"/>
      <c r="I230" s="93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28.5" customHeight="1">
      <c r="A231" s="50"/>
      <c r="B231" s="93"/>
      <c r="C231" s="93"/>
      <c r="D231" s="93"/>
      <c r="E231" s="93"/>
      <c r="F231" s="93"/>
      <c r="G231" s="93"/>
      <c r="H231" s="50"/>
      <c r="I231" s="93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28.5" customHeight="1">
      <c r="A232" s="50"/>
      <c r="B232" s="93"/>
      <c r="C232" s="93"/>
      <c r="D232" s="93"/>
      <c r="E232" s="93"/>
      <c r="F232" s="93"/>
      <c r="G232" s="93"/>
      <c r="H232" s="50"/>
      <c r="I232" s="93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28.5" customHeight="1">
      <c r="A233" s="50"/>
      <c r="B233" s="93"/>
      <c r="C233" s="93"/>
      <c r="D233" s="93"/>
      <c r="E233" s="93"/>
      <c r="F233" s="93"/>
      <c r="G233" s="93"/>
      <c r="H233" s="50"/>
      <c r="I233" s="93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28.5" customHeight="1">
      <c r="A234" s="50"/>
      <c r="B234" s="93"/>
      <c r="C234" s="93"/>
      <c r="D234" s="93"/>
      <c r="E234" s="93"/>
      <c r="F234" s="93"/>
      <c r="G234" s="93"/>
      <c r="H234" s="50"/>
      <c r="I234" s="93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28.5" customHeight="1">
      <c r="A235" s="50"/>
      <c r="B235" s="93"/>
      <c r="C235" s="93"/>
      <c r="D235" s="93"/>
      <c r="E235" s="93"/>
      <c r="F235" s="93"/>
      <c r="G235" s="93"/>
      <c r="H235" s="50"/>
      <c r="I235" s="93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28.5" customHeight="1">
      <c r="A236" s="50"/>
      <c r="B236" s="93"/>
      <c r="C236" s="93"/>
      <c r="D236" s="93"/>
      <c r="E236" s="93"/>
      <c r="F236" s="93"/>
      <c r="G236" s="93"/>
      <c r="H236" s="50"/>
      <c r="I236" s="93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28.5" customHeight="1">
      <c r="A237" s="50"/>
      <c r="B237" s="93"/>
      <c r="C237" s="93"/>
      <c r="D237" s="93"/>
      <c r="E237" s="93"/>
      <c r="F237" s="93"/>
      <c r="G237" s="93"/>
      <c r="H237" s="50"/>
      <c r="I237" s="93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28.5" customHeight="1">
      <c r="A238" s="50"/>
      <c r="B238" s="93"/>
      <c r="C238" s="93"/>
      <c r="D238" s="93"/>
      <c r="E238" s="93"/>
      <c r="F238" s="93"/>
      <c r="G238" s="93"/>
      <c r="H238" s="50"/>
      <c r="I238" s="93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28.5" customHeight="1">
      <c r="A239" s="50"/>
      <c r="B239" s="93"/>
      <c r="C239" s="93"/>
      <c r="D239" s="93"/>
      <c r="E239" s="93"/>
      <c r="F239" s="93"/>
      <c r="G239" s="93"/>
      <c r="H239" s="50"/>
      <c r="I239" s="93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28.5" customHeight="1">
      <c r="A240" s="50"/>
      <c r="B240" s="93"/>
      <c r="C240" s="93"/>
      <c r="D240" s="93"/>
      <c r="E240" s="93"/>
      <c r="F240" s="93"/>
      <c r="G240" s="93"/>
      <c r="H240" s="50"/>
      <c r="I240" s="93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28.5" customHeight="1">
      <c r="A241" s="50"/>
      <c r="B241" s="93"/>
      <c r="C241" s="93"/>
      <c r="D241" s="93"/>
      <c r="E241" s="93"/>
      <c r="F241" s="93"/>
      <c r="G241" s="93"/>
      <c r="H241" s="50"/>
      <c r="I241" s="93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28.5" customHeight="1">
      <c r="A242" s="50"/>
      <c r="B242" s="93"/>
      <c r="C242" s="93"/>
      <c r="D242" s="93"/>
      <c r="E242" s="93"/>
      <c r="F242" s="93"/>
      <c r="G242" s="93"/>
      <c r="H242" s="50"/>
      <c r="I242" s="93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28.5" customHeight="1">
      <c r="A243" s="50"/>
      <c r="B243" s="93"/>
      <c r="C243" s="93"/>
      <c r="D243" s="93"/>
      <c r="E243" s="93"/>
      <c r="F243" s="93"/>
      <c r="G243" s="93"/>
      <c r="H243" s="50"/>
      <c r="I243" s="93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28.5" customHeight="1">
      <c r="A244" s="50"/>
      <c r="B244" s="93"/>
      <c r="C244" s="93"/>
      <c r="D244" s="93"/>
      <c r="E244" s="93"/>
      <c r="F244" s="93"/>
      <c r="G244" s="93"/>
      <c r="H244" s="50"/>
      <c r="I244" s="93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28.5" customHeight="1">
      <c r="A245" s="50"/>
      <c r="B245" s="93"/>
      <c r="C245" s="93"/>
      <c r="D245" s="93"/>
      <c r="E245" s="93"/>
      <c r="F245" s="93"/>
      <c r="G245" s="93"/>
      <c r="H245" s="50"/>
      <c r="I245" s="93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28.5" customHeight="1">
      <c r="A246" s="50"/>
      <c r="B246" s="93"/>
      <c r="C246" s="93"/>
      <c r="D246" s="93"/>
      <c r="E246" s="93"/>
      <c r="F246" s="93"/>
      <c r="G246" s="93"/>
      <c r="H246" s="50"/>
      <c r="I246" s="93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28.5" customHeight="1">
      <c r="A247" s="50"/>
      <c r="B247" s="93"/>
      <c r="C247" s="93"/>
      <c r="D247" s="93"/>
      <c r="E247" s="93"/>
      <c r="F247" s="93"/>
      <c r="G247" s="93"/>
      <c r="H247" s="50"/>
      <c r="I247" s="93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28.5" customHeight="1">
      <c r="A248" s="50"/>
      <c r="B248" s="93"/>
      <c r="C248" s="93"/>
      <c r="D248" s="93"/>
      <c r="E248" s="93"/>
      <c r="F248" s="93"/>
      <c r="G248" s="93"/>
      <c r="H248" s="50"/>
      <c r="I248" s="93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28.5" customHeight="1">
      <c r="A249" s="50"/>
      <c r="B249" s="93"/>
      <c r="C249" s="93"/>
      <c r="D249" s="93"/>
      <c r="E249" s="93"/>
      <c r="F249" s="93"/>
      <c r="G249" s="93"/>
      <c r="H249" s="50"/>
      <c r="I249" s="93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28.5" customHeight="1">
      <c r="A250" s="50"/>
      <c r="B250" s="93"/>
      <c r="C250" s="93"/>
      <c r="D250" s="93"/>
      <c r="E250" s="93"/>
      <c r="F250" s="93"/>
      <c r="G250" s="93"/>
      <c r="H250" s="50"/>
      <c r="I250" s="93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28.5" customHeight="1">
      <c r="A251" s="50"/>
      <c r="B251" s="93"/>
      <c r="C251" s="93"/>
      <c r="D251" s="93"/>
      <c r="E251" s="93"/>
      <c r="F251" s="93"/>
      <c r="G251" s="93"/>
      <c r="H251" s="50"/>
      <c r="I251" s="93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28.5" customHeight="1">
      <c r="A252" s="50"/>
      <c r="B252" s="93"/>
      <c r="C252" s="93"/>
      <c r="D252" s="93"/>
      <c r="E252" s="93"/>
      <c r="F252" s="93"/>
      <c r="G252" s="93"/>
      <c r="H252" s="50"/>
      <c r="I252" s="93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28.5" customHeight="1">
      <c r="A253" s="50"/>
      <c r="B253" s="93"/>
      <c r="C253" s="93"/>
      <c r="D253" s="93"/>
      <c r="E253" s="93"/>
      <c r="F253" s="93"/>
      <c r="G253" s="93"/>
      <c r="H253" s="50"/>
      <c r="I253" s="93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28.5" customHeight="1">
      <c r="A254" s="50"/>
      <c r="B254" s="93"/>
      <c r="C254" s="93"/>
      <c r="D254" s="93"/>
      <c r="E254" s="93"/>
      <c r="F254" s="93"/>
      <c r="G254" s="93"/>
      <c r="H254" s="50"/>
      <c r="I254" s="93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28.5" customHeight="1">
      <c r="A255" s="50"/>
      <c r="B255" s="93"/>
      <c r="C255" s="93"/>
      <c r="D255" s="93"/>
      <c r="E255" s="93"/>
      <c r="F255" s="93"/>
      <c r="G255" s="93"/>
      <c r="H255" s="50"/>
      <c r="I255" s="93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28.5" customHeight="1">
      <c r="A256" s="50"/>
      <c r="B256" s="93"/>
      <c r="C256" s="93"/>
      <c r="D256" s="93"/>
      <c r="E256" s="93"/>
      <c r="F256" s="93"/>
      <c r="G256" s="93"/>
      <c r="H256" s="50"/>
      <c r="I256" s="93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28.5" customHeight="1">
      <c r="A257" s="50"/>
      <c r="B257" s="93"/>
      <c r="C257" s="93"/>
      <c r="D257" s="93"/>
      <c r="E257" s="93"/>
      <c r="F257" s="93"/>
      <c r="G257" s="93"/>
      <c r="H257" s="50"/>
      <c r="I257" s="93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28.5" customHeight="1">
      <c r="A258" s="50"/>
      <c r="B258" s="93"/>
      <c r="C258" s="93"/>
      <c r="D258" s="93"/>
      <c r="E258" s="93"/>
      <c r="F258" s="93"/>
      <c r="G258" s="93"/>
      <c r="H258" s="50"/>
      <c r="I258" s="93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28.5" customHeight="1">
      <c r="A259" s="50"/>
      <c r="B259" s="93"/>
      <c r="C259" s="93"/>
      <c r="D259" s="93"/>
      <c r="E259" s="93"/>
      <c r="F259" s="93"/>
      <c r="G259" s="93"/>
      <c r="H259" s="50"/>
      <c r="I259" s="93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28.5" customHeight="1">
      <c r="A260" s="50"/>
      <c r="B260" s="93"/>
      <c r="C260" s="93"/>
      <c r="D260" s="93"/>
      <c r="E260" s="93"/>
      <c r="F260" s="93"/>
      <c r="G260" s="93"/>
      <c r="H260" s="50"/>
      <c r="I260" s="93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28.5" customHeight="1">
      <c r="A261" s="50"/>
      <c r="B261" s="93"/>
      <c r="C261" s="93"/>
      <c r="D261" s="93"/>
      <c r="E261" s="93"/>
      <c r="F261" s="93"/>
      <c r="G261" s="93"/>
      <c r="H261" s="50"/>
      <c r="I261" s="93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28.5" customHeight="1">
      <c r="A262" s="50"/>
      <c r="B262" s="93"/>
      <c r="C262" s="93"/>
      <c r="D262" s="93"/>
      <c r="E262" s="93"/>
      <c r="F262" s="93"/>
      <c r="G262" s="93"/>
      <c r="H262" s="50"/>
      <c r="I262" s="93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28.5" customHeight="1">
      <c r="A263" s="50"/>
      <c r="B263" s="93"/>
      <c r="C263" s="93"/>
      <c r="D263" s="93"/>
      <c r="E263" s="93"/>
      <c r="F263" s="93"/>
      <c r="G263" s="93"/>
      <c r="H263" s="50"/>
      <c r="I263" s="93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28.5" customHeight="1">
      <c r="A264" s="50"/>
      <c r="B264" s="93"/>
      <c r="C264" s="93"/>
      <c r="D264" s="93"/>
      <c r="E264" s="93"/>
      <c r="F264" s="93"/>
      <c r="G264" s="93"/>
      <c r="H264" s="50"/>
      <c r="I264" s="93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28.5" customHeight="1">
      <c r="A265" s="50"/>
      <c r="B265" s="93"/>
      <c r="C265" s="93"/>
      <c r="D265" s="93"/>
      <c r="E265" s="93"/>
      <c r="F265" s="93"/>
      <c r="G265" s="93"/>
      <c r="H265" s="50"/>
      <c r="I265" s="93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28.5" customHeight="1">
      <c r="A266" s="50"/>
      <c r="B266" s="93"/>
      <c r="C266" s="93"/>
      <c r="D266" s="93"/>
      <c r="E266" s="93"/>
      <c r="F266" s="93"/>
      <c r="G266" s="93"/>
      <c r="H266" s="50"/>
      <c r="I266" s="93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28.5" customHeight="1">
      <c r="A267" s="50"/>
      <c r="B267" s="93"/>
      <c r="C267" s="93"/>
      <c r="D267" s="93"/>
      <c r="E267" s="93"/>
      <c r="F267" s="93"/>
      <c r="G267" s="93"/>
      <c r="H267" s="50"/>
      <c r="I267" s="93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28.5" customHeight="1">
      <c r="A268" s="50"/>
      <c r="B268" s="93"/>
      <c r="C268" s="93"/>
      <c r="D268" s="93"/>
      <c r="E268" s="93"/>
      <c r="F268" s="93"/>
      <c r="G268" s="93"/>
      <c r="H268" s="50"/>
      <c r="I268" s="93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28.5" customHeight="1">
      <c r="A269" s="50"/>
      <c r="B269" s="93"/>
      <c r="C269" s="93"/>
      <c r="D269" s="93"/>
      <c r="E269" s="93"/>
      <c r="F269" s="93"/>
      <c r="G269" s="93"/>
      <c r="H269" s="50"/>
      <c r="I269" s="93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28.5" customHeight="1">
      <c r="A270" s="50"/>
      <c r="B270" s="93"/>
      <c r="C270" s="93"/>
      <c r="D270" s="93"/>
      <c r="E270" s="93"/>
      <c r="F270" s="93"/>
      <c r="G270" s="93"/>
      <c r="H270" s="50"/>
      <c r="I270" s="93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28.5" customHeight="1">
      <c r="A271" s="50"/>
      <c r="B271" s="93"/>
      <c r="C271" s="93"/>
      <c r="D271" s="93"/>
      <c r="E271" s="93"/>
      <c r="F271" s="93"/>
      <c r="G271" s="93"/>
      <c r="H271" s="50"/>
      <c r="I271" s="93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28.5" customHeight="1">
      <c r="A272" s="50"/>
      <c r="B272" s="93"/>
      <c r="C272" s="93"/>
      <c r="D272" s="93"/>
      <c r="E272" s="93"/>
      <c r="F272" s="93"/>
      <c r="G272" s="93"/>
      <c r="H272" s="50"/>
      <c r="I272" s="93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28.5" customHeight="1">
      <c r="A273" s="50"/>
      <c r="B273" s="93"/>
      <c r="C273" s="93"/>
      <c r="D273" s="93"/>
      <c r="E273" s="93"/>
      <c r="F273" s="93"/>
      <c r="G273" s="93"/>
      <c r="H273" s="50"/>
      <c r="I273" s="93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28.5" customHeight="1">
      <c r="A274" s="50"/>
      <c r="B274" s="93"/>
      <c r="C274" s="93"/>
      <c r="D274" s="93"/>
      <c r="E274" s="93"/>
      <c r="F274" s="93"/>
      <c r="G274" s="93"/>
      <c r="H274" s="50"/>
      <c r="I274" s="93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28.5" customHeight="1">
      <c r="A275" s="50"/>
      <c r="B275" s="93"/>
      <c r="C275" s="93"/>
      <c r="D275" s="93"/>
      <c r="E275" s="93"/>
      <c r="F275" s="93"/>
      <c r="G275" s="93"/>
      <c r="H275" s="50"/>
      <c r="I275" s="93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28.5" customHeight="1">
      <c r="A276" s="50"/>
      <c r="B276" s="93"/>
      <c r="C276" s="93"/>
      <c r="D276" s="93"/>
      <c r="E276" s="93"/>
      <c r="F276" s="93"/>
      <c r="G276" s="93"/>
      <c r="H276" s="50"/>
      <c r="I276" s="93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28.5" customHeight="1">
      <c r="A277" s="50"/>
      <c r="B277" s="93"/>
      <c r="C277" s="93"/>
      <c r="D277" s="93"/>
      <c r="E277" s="93"/>
      <c r="F277" s="93"/>
      <c r="G277" s="93"/>
      <c r="H277" s="50"/>
      <c r="I277" s="93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28.5" customHeight="1">
      <c r="A278" s="50"/>
      <c r="B278" s="93"/>
      <c r="C278" s="93"/>
      <c r="D278" s="93"/>
      <c r="E278" s="93"/>
      <c r="F278" s="93"/>
      <c r="G278" s="93"/>
      <c r="H278" s="50"/>
      <c r="I278" s="93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28.5" customHeight="1">
      <c r="A279" s="50"/>
      <c r="B279" s="93"/>
      <c r="C279" s="93"/>
      <c r="D279" s="93"/>
      <c r="E279" s="93"/>
      <c r="F279" s="93"/>
      <c r="G279" s="93"/>
      <c r="H279" s="50"/>
      <c r="I279" s="93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28.5" customHeight="1">
      <c r="A280" s="50"/>
      <c r="B280" s="93"/>
      <c r="C280" s="93"/>
      <c r="D280" s="93"/>
      <c r="E280" s="93"/>
      <c r="F280" s="93"/>
      <c r="G280" s="93"/>
      <c r="H280" s="50"/>
      <c r="I280" s="93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28.5" customHeight="1">
      <c r="A281" s="50"/>
      <c r="B281" s="93"/>
      <c r="C281" s="93"/>
      <c r="D281" s="93"/>
      <c r="E281" s="93"/>
      <c r="F281" s="93"/>
      <c r="G281" s="93"/>
      <c r="H281" s="50"/>
      <c r="I281" s="93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28.5" customHeight="1">
      <c r="A282" s="50"/>
      <c r="B282" s="93"/>
      <c r="C282" s="93"/>
      <c r="D282" s="93"/>
      <c r="E282" s="93"/>
      <c r="F282" s="93"/>
      <c r="G282" s="93"/>
      <c r="H282" s="50"/>
      <c r="I282" s="93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28.5" customHeight="1">
      <c r="A283" s="50"/>
      <c r="B283" s="93"/>
      <c r="C283" s="93"/>
      <c r="D283" s="93"/>
      <c r="E283" s="93"/>
      <c r="F283" s="93"/>
      <c r="G283" s="93"/>
      <c r="H283" s="50"/>
      <c r="I283" s="93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28.5" customHeight="1">
      <c r="A284" s="50"/>
      <c r="B284" s="93"/>
      <c r="C284" s="93"/>
      <c r="D284" s="93"/>
      <c r="E284" s="93"/>
      <c r="F284" s="93"/>
      <c r="G284" s="93"/>
      <c r="H284" s="50"/>
      <c r="I284" s="93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28.5" customHeight="1">
      <c r="A285" s="50"/>
      <c r="B285" s="93"/>
      <c r="C285" s="93"/>
      <c r="D285" s="93"/>
      <c r="E285" s="93"/>
      <c r="F285" s="93"/>
      <c r="G285" s="93"/>
      <c r="H285" s="50"/>
      <c r="I285" s="93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28.5" customHeight="1">
      <c r="A286" s="50"/>
      <c r="B286" s="93"/>
      <c r="C286" s="93"/>
      <c r="D286" s="93"/>
      <c r="E286" s="93"/>
      <c r="F286" s="93"/>
      <c r="G286" s="93"/>
      <c r="H286" s="50"/>
      <c r="I286" s="93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28.5" customHeight="1">
      <c r="A287" s="50"/>
      <c r="B287" s="93"/>
      <c r="C287" s="93"/>
      <c r="D287" s="93"/>
      <c r="E287" s="93"/>
      <c r="F287" s="93"/>
      <c r="G287" s="93"/>
      <c r="H287" s="50"/>
      <c r="I287" s="93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28.5" customHeight="1">
      <c r="A288" s="50"/>
      <c r="B288" s="93"/>
      <c r="C288" s="93"/>
      <c r="D288" s="93"/>
      <c r="E288" s="93"/>
      <c r="F288" s="93"/>
      <c r="G288" s="93"/>
      <c r="H288" s="50"/>
      <c r="I288" s="93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28.5" customHeight="1">
      <c r="A289" s="50"/>
      <c r="B289" s="93"/>
      <c r="C289" s="93"/>
      <c r="D289" s="93"/>
      <c r="E289" s="93"/>
      <c r="F289" s="93"/>
      <c r="G289" s="93"/>
      <c r="H289" s="50"/>
      <c r="I289" s="93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28.5" customHeight="1">
      <c r="A290" s="50"/>
      <c r="B290" s="93"/>
      <c r="C290" s="93"/>
      <c r="D290" s="93"/>
      <c r="E290" s="93"/>
      <c r="F290" s="93"/>
      <c r="G290" s="93"/>
      <c r="H290" s="50"/>
      <c r="I290" s="93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28.5" customHeight="1">
      <c r="A291" s="50"/>
      <c r="B291" s="93"/>
      <c r="C291" s="93"/>
      <c r="D291" s="93"/>
      <c r="E291" s="93"/>
      <c r="F291" s="93"/>
      <c r="G291" s="93"/>
      <c r="H291" s="50"/>
      <c r="I291" s="93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28.5" customHeight="1">
      <c r="A292" s="50"/>
      <c r="B292" s="93"/>
      <c r="C292" s="93"/>
      <c r="D292" s="93"/>
      <c r="E292" s="93"/>
      <c r="F292" s="93"/>
      <c r="G292" s="93"/>
      <c r="H292" s="50"/>
      <c r="I292" s="93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28.5" customHeight="1">
      <c r="A293" s="50"/>
      <c r="B293" s="93"/>
      <c r="C293" s="93"/>
      <c r="D293" s="93"/>
      <c r="E293" s="93"/>
      <c r="F293" s="93"/>
      <c r="G293" s="93"/>
      <c r="H293" s="50"/>
      <c r="I293" s="93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28.5" customHeight="1">
      <c r="A294" s="50"/>
      <c r="B294" s="93"/>
      <c r="C294" s="93"/>
      <c r="D294" s="93"/>
      <c r="E294" s="93"/>
      <c r="F294" s="93"/>
      <c r="G294" s="93"/>
      <c r="H294" s="50"/>
      <c r="I294" s="93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28.5" customHeight="1">
      <c r="A295" s="50"/>
      <c r="B295" s="93"/>
      <c r="C295" s="93"/>
      <c r="D295" s="93"/>
      <c r="E295" s="93"/>
      <c r="F295" s="93"/>
      <c r="G295" s="93"/>
      <c r="H295" s="50"/>
      <c r="I295" s="93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28.5" customHeight="1">
      <c r="A296" s="50"/>
      <c r="B296" s="93"/>
      <c r="C296" s="93"/>
      <c r="D296" s="93"/>
      <c r="E296" s="93"/>
      <c r="F296" s="93"/>
      <c r="G296" s="93"/>
      <c r="H296" s="50"/>
      <c r="I296" s="93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28.5" customHeight="1">
      <c r="A297" s="50"/>
      <c r="B297" s="93"/>
      <c r="C297" s="93"/>
      <c r="D297" s="93"/>
      <c r="E297" s="93"/>
      <c r="F297" s="93"/>
      <c r="G297" s="93"/>
      <c r="H297" s="50"/>
      <c r="I297" s="93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28.5" customHeight="1">
      <c r="A298" s="50"/>
      <c r="B298" s="93"/>
      <c r="C298" s="93"/>
      <c r="D298" s="93"/>
      <c r="E298" s="93"/>
      <c r="F298" s="93"/>
      <c r="G298" s="93"/>
      <c r="H298" s="50"/>
      <c r="I298" s="93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28.5" customHeight="1">
      <c r="A299" s="50"/>
      <c r="B299" s="93"/>
      <c r="C299" s="93"/>
      <c r="D299" s="93"/>
      <c r="E299" s="93"/>
      <c r="F299" s="93"/>
      <c r="G299" s="93"/>
      <c r="H299" s="50"/>
      <c r="I299" s="93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28.5" customHeight="1">
      <c r="A300" s="50"/>
      <c r="B300" s="93"/>
      <c r="C300" s="93"/>
      <c r="D300" s="93"/>
      <c r="E300" s="93"/>
      <c r="F300" s="93"/>
      <c r="G300" s="93"/>
      <c r="H300" s="50"/>
      <c r="I300" s="93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28.5" customHeight="1">
      <c r="A301" s="50"/>
      <c r="B301" s="93"/>
      <c r="C301" s="93"/>
      <c r="D301" s="93"/>
      <c r="E301" s="93"/>
      <c r="F301" s="93"/>
      <c r="G301" s="93"/>
      <c r="H301" s="50"/>
      <c r="I301" s="93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28.5" customHeight="1">
      <c r="A302" s="50"/>
      <c r="B302" s="93"/>
      <c r="C302" s="93"/>
      <c r="D302" s="93"/>
      <c r="E302" s="93"/>
      <c r="F302" s="93"/>
      <c r="G302" s="93"/>
      <c r="H302" s="50"/>
      <c r="I302" s="93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28.5" customHeight="1">
      <c r="A303" s="50"/>
      <c r="B303" s="93"/>
      <c r="C303" s="93"/>
      <c r="D303" s="93"/>
      <c r="E303" s="93"/>
      <c r="F303" s="93"/>
      <c r="G303" s="93"/>
      <c r="H303" s="50"/>
      <c r="I303" s="93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28.5" customHeight="1">
      <c r="A304" s="50"/>
      <c r="B304" s="93"/>
      <c r="C304" s="93"/>
      <c r="D304" s="93"/>
      <c r="E304" s="93"/>
      <c r="F304" s="93"/>
      <c r="G304" s="93"/>
      <c r="H304" s="50"/>
      <c r="I304" s="93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28.5" customHeight="1">
      <c r="A305" s="50"/>
      <c r="B305" s="93"/>
      <c r="C305" s="93"/>
      <c r="D305" s="93"/>
      <c r="E305" s="93"/>
      <c r="F305" s="93"/>
      <c r="G305" s="93"/>
      <c r="H305" s="50"/>
      <c r="I305" s="93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28.5" customHeight="1">
      <c r="A306" s="50"/>
      <c r="B306" s="93"/>
      <c r="C306" s="93"/>
      <c r="D306" s="93"/>
      <c r="E306" s="93"/>
      <c r="F306" s="93"/>
      <c r="G306" s="93"/>
      <c r="H306" s="50"/>
      <c r="I306" s="93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28.5" customHeight="1">
      <c r="A307" s="50"/>
      <c r="B307" s="93"/>
      <c r="C307" s="93"/>
      <c r="D307" s="93"/>
      <c r="E307" s="93"/>
      <c r="F307" s="93"/>
      <c r="G307" s="93"/>
      <c r="H307" s="50"/>
      <c r="I307" s="93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28.5" customHeight="1">
      <c r="A308" s="50"/>
      <c r="B308" s="93"/>
      <c r="C308" s="93"/>
      <c r="D308" s="93"/>
      <c r="E308" s="93"/>
      <c r="F308" s="93"/>
      <c r="G308" s="93"/>
      <c r="H308" s="50"/>
      <c r="I308" s="93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28.5" customHeight="1">
      <c r="A309" s="50"/>
      <c r="B309" s="93"/>
      <c r="C309" s="93"/>
      <c r="D309" s="93"/>
      <c r="E309" s="93"/>
      <c r="F309" s="93"/>
      <c r="G309" s="93"/>
      <c r="H309" s="50"/>
      <c r="I309" s="93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28.5" customHeight="1">
      <c r="A310" s="50"/>
      <c r="B310" s="93"/>
      <c r="C310" s="93"/>
      <c r="D310" s="93"/>
      <c r="E310" s="93"/>
      <c r="F310" s="93"/>
      <c r="G310" s="93"/>
      <c r="H310" s="50"/>
      <c r="I310" s="93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28.5" customHeight="1">
      <c r="A311" s="50"/>
      <c r="B311" s="93"/>
      <c r="C311" s="93"/>
      <c r="D311" s="93"/>
      <c r="E311" s="93"/>
      <c r="F311" s="93"/>
      <c r="G311" s="93"/>
      <c r="H311" s="50"/>
      <c r="I311" s="93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28.5" customHeight="1">
      <c r="A312" s="50"/>
      <c r="B312" s="93"/>
      <c r="C312" s="93"/>
      <c r="D312" s="93"/>
      <c r="E312" s="93"/>
      <c r="F312" s="93"/>
      <c r="G312" s="93"/>
      <c r="H312" s="50"/>
      <c r="I312" s="93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28.5" customHeight="1">
      <c r="A313" s="50"/>
      <c r="B313" s="93"/>
      <c r="C313" s="93"/>
      <c r="D313" s="93"/>
      <c r="E313" s="93"/>
      <c r="F313" s="93"/>
      <c r="G313" s="93"/>
      <c r="H313" s="50"/>
      <c r="I313" s="93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28.5" customHeight="1">
      <c r="A314" s="50"/>
      <c r="B314" s="93"/>
      <c r="C314" s="93"/>
      <c r="D314" s="93"/>
      <c r="E314" s="93"/>
      <c r="F314" s="93"/>
      <c r="G314" s="93"/>
      <c r="H314" s="50"/>
      <c r="I314" s="93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28.5" customHeight="1">
      <c r="A315" s="50"/>
      <c r="B315" s="93"/>
      <c r="C315" s="93"/>
      <c r="D315" s="93"/>
      <c r="E315" s="93"/>
      <c r="F315" s="93"/>
      <c r="G315" s="93"/>
      <c r="H315" s="50"/>
      <c r="I315" s="93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28.5" customHeight="1">
      <c r="A316" s="50"/>
      <c r="B316" s="93"/>
      <c r="C316" s="93"/>
      <c r="D316" s="93"/>
      <c r="E316" s="93"/>
      <c r="F316" s="93"/>
      <c r="G316" s="93"/>
      <c r="H316" s="50"/>
      <c r="I316" s="93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28.5" customHeight="1">
      <c r="A317" s="50"/>
      <c r="B317" s="93"/>
      <c r="C317" s="93"/>
      <c r="D317" s="93"/>
      <c r="E317" s="93"/>
      <c r="F317" s="93"/>
      <c r="G317" s="93"/>
      <c r="H317" s="50"/>
      <c r="I317" s="93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28.5" customHeight="1">
      <c r="A318" s="50"/>
      <c r="B318" s="93"/>
      <c r="C318" s="93"/>
      <c r="D318" s="93"/>
      <c r="E318" s="93"/>
      <c r="F318" s="93"/>
      <c r="G318" s="93"/>
      <c r="H318" s="50"/>
      <c r="I318" s="93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28.5" customHeight="1">
      <c r="A319" s="50"/>
      <c r="B319" s="93"/>
      <c r="C319" s="93"/>
      <c r="D319" s="93"/>
      <c r="E319" s="93"/>
      <c r="F319" s="93"/>
      <c r="G319" s="93"/>
      <c r="H319" s="50"/>
      <c r="I319" s="93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28.5" customHeight="1">
      <c r="A320" s="50"/>
      <c r="B320" s="93"/>
      <c r="C320" s="93"/>
      <c r="D320" s="93"/>
      <c r="E320" s="93"/>
      <c r="F320" s="93"/>
      <c r="G320" s="93"/>
      <c r="H320" s="50"/>
      <c r="I320" s="93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28.5" customHeight="1">
      <c r="A321" s="50"/>
      <c r="B321" s="93"/>
      <c r="C321" s="93"/>
      <c r="D321" s="93"/>
      <c r="E321" s="93"/>
      <c r="F321" s="93"/>
      <c r="G321" s="93"/>
      <c r="H321" s="50"/>
      <c r="I321" s="93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28.5" customHeight="1">
      <c r="A322" s="50"/>
      <c r="B322" s="93"/>
      <c r="C322" s="93"/>
      <c r="D322" s="93"/>
      <c r="E322" s="93"/>
      <c r="F322" s="93"/>
      <c r="G322" s="93"/>
      <c r="H322" s="50"/>
      <c r="I322" s="93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28.5" customHeight="1">
      <c r="A323" s="50"/>
      <c r="B323" s="93"/>
      <c r="C323" s="93"/>
      <c r="D323" s="93"/>
      <c r="E323" s="93"/>
      <c r="F323" s="93"/>
      <c r="G323" s="93"/>
      <c r="H323" s="50"/>
      <c r="I323" s="93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28.5" customHeight="1">
      <c r="A324" s="50"/>
      <c r="B324" s="93"/>
      <c r="C324" s="93"/>
      <c r="D324" s="93"/>
      <c r="E324" s="93"/>
      <c r="F324" s="93"/>
      <c r="G324" s="93"/>
      <c r="H324" s="50"/>
      <c r="I324" s="93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28.5" customHeight="1">
      <c r="A325" s="50"/>
      <c r="B325" s="93"/>
      <c r="C325" s="93"/>
      <c r="D325" s="93"/>
      <c r="E325" s="93"/>
      <c r="F325" s="93"/>
      <c r="G325" s="93"/>
      <c r="H325" s="50"/>
      <c r="I325" s="93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28.5" customHeight="1">
      <c r="A326" s="50"/>
      <c r="B326" s="93"/>
      <c r="C326" s="93"/>
      <c r="D326" s="93"/>
      <c r="E326" s="93"/>
      <c r="F326" s="93"/>
      <c r="G326" s="93"/>
      <c r="H326" s="50"/>
      <c r="I326" s="93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28.5" customHeight="1">
      <c r="A327" s="50"/>
      <c r="B327" s="93"/>
      <c r="C327" s="93"/>
      <c r="D327" s="93"/>
      <c r="E327" s="93"/>
      <c r="F327" s="93"/>
      <c r="G327" s="93"/>
      <c r="H327" s="50"/>
      <c r="I327" s="93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28.5" customHeight="1">
      <c r="A328" s="50"/>
      <c r="B328" s="93"/>
      <c r="C328" s="93"/>
      <c r="D328" s="93"/>
      <c r="E328" s="93"/>
      <c r="F328" s="93"/>
      <c r="G328" s="93"/>
      <c r="H328" s="50"/>
      <c r="I328" s="93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28.5" customHeight="1">
      <c r="A329" s="50"/>
      <c r="B329" s="93"/>
      <c r="C329" s="93"/>
      <c r="D329" s="93"/>
      <c r="E329" s="93"/>
      <c r="F329" s="93"/>
      <c r="G329" s="93"/>
      <c r="H329" s="50"/>
      <c r="I329" s="93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28.5" customHeight="1">
      <c r="A330" s="50"/>
      <c r="B330" s="93"/>
      <c r="C330" s="93"/>
      <c r="D330" s="93"/>
      <c r="E330" s="93"/>
      <c r="F330" s="93"/>
      <c r="G330" s="93"/>
      <c r="H330" s="50"/>
      <c r="I330" s="93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28.5" customHeight="1">
      <c r="A331" s="50"/>
      <c r="B331" s="93"/>
      <c r="C331" s="93"/>
      <c r="D331" s="93"/>
      <c r="E331" s="93"/>
      <c r="F331" s="93"/>
      <c r="G331" s="93"/>
      <c r="H331" s="50"/>
      <c r="I331" s="93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28.5" customHeight="1">
      <c r="A332" s="50"/>
      <c r="B332" s="93"/>
      <c r="C332" s="93"/>
      <c r="D332" s="93"/>
      <c r="E332" s="93"/>
      <c r="F332" s="93"/>
      <c r="G332" s="93"/>
      <c r="H332" s="50"/>
      <c r="I332" s="93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28.5" customHeight="1">
      <c r="A333" s="50"/>
      <c r="B333" s="93"/>
      <c r="C333" s="93"/>
      <c r="D333" s="93"/>
      <c r="E333" s="93"/>
      <c r="F333" s="93"/>
      <c r="G333" s="93"/>
      <c r="H333" s="50"/>
      <c r="I333" s="93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28.5" customHeight="1">
      <c r="A334" s="50"/>
      <c r="B334" s="93"/>
      <c r="C334" s="93"/>
      <c r="D334" s="93"/>
      <c r="E334" s="93"/>
      <c r="F334" s="93"/>
      <c r="G334" s="93"/>
      <c r="H334" s="50"/>
      <c r="I334" s="93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28.5" customHeight="1">
      <c r="A335" s="50"/>
      <c r="B335" s="93"/>
      <c r="C335" s="93"/>
      <c r="D335" s="93"/>
      <c r="E335" s="93"/>
      <c r="F335" s="93"/>
      <c r="G335" s="93"/>
      <c r="H335" s="50"/>
      <c r="I335" s="93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28.5" customHeight="1">
      <c r="A336" s="50"/>
      <c r="B336" s="93"/>
      <c r="C336" s="93"/>
      <c r="D336" s="93"/>
      <c r="E336" s="93"/>
      <c r="F336" s="93"/>
      <c r="G336" s="93"/>
      <c r="H336" s="50"/>
      <c r="I336" s="93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28.5" customHeight="1">
      <c r="A337" s="50"/>
      <c r="B337" s="93"/>
      <c r="C337" s="93"/>
      <c r="D337" s="93"/>
      <c r="E337" s="93"/>
      <c r="F337" s="93"/>
      <c r="G337" s="93"/>
      <c r="H337" s="50"/>
      <c r="I337" s="93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28.5" customHeight="1">
      <c r="A338" s="50"/>
      <c r="B338" s="93"/>
      <c r="C338" s="93"/>
      <c r="D338" s="93"/>
      <c r="E338" s="93"/>
      <c r="F338" s="93"/>
      <c r="G338" s="93"/>
      <c r="H338" s="50"/>
      <c r="I338" s="93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28.5" customHeight="1">
      <c r="A339" s="50"/>
      <c r="B339" s="93"/>
      <c r="C339" s="93"/>
      <c r="D339" s="93"/>
      <c r="E339" s="93"/>
      <c r="F339" s="93"/>
      <c r="G339" s="93"/>
      <c r="H339" s="50"/>
      <c r="I339" s="93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28.5" customHeight="1">
      <c r="A340" s="50"/>
      <c r="B340" s="93"/>
      <c r="C340" s="93"/>
      <c r="D340" s="93"/>
      <c r="E340" s="93"/>
      <c r="F340" s="93"/>
      <c r="G340" s="93"/>
      <c r="H340" s="50"/>
      <c r="I340" s="93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28.5" customHeight="1">
      <c r="A341" s="50"/>
      <c r="B341" s="93"/>
      <c r="C341" s="93"/>
      <c r="D341" s="93"/>
      <c r="E341" s="93"/>
      <c r="F341" s="93"/>
      <c r="G341" s="93"/>
      <c r="H341" s="50"/>
      <c r="I341" s="93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28.5" customHeight="1">
      <c r="A342" s="50"/>
      <c r="B342" s="93"/>
      <c r="C342" s="93"/>
      <c r="D342" s="93"/>
      <c r="E342" s="93"/>
      <c r="F342" s="93"/>
      <c r="G342" s="93"/>
      <c r="H342" s="50"/>
      <c r="I342" s="93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28.5" customHeight="1">
      <c r="A343" s="50"/>
      <c r="B343" s="93"/>
      <c r="C343" s="93"/>
      <c r="D343" s="93"/>
      <c r="E343" s="93"/>
      <c r="F343" s="93"/>
      <c r="G343" s="93"/>
      <c r="H343" s="50"/>
      <c r="I343" s="93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28.5" customHeight="1">
      <c r="A344" s="50"/>
      <c r="B344" s="93"/>
      <c r="C344" s="93"/>
      <c r="D344" s="93"/>
      <c r="E344" s="93"/>
      <c r="F344" s="93"/>
      <c r="G344" s="93"/>
      <c r="H344" s="50"/>
      <c r="I344" s="93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28.5" customHeight="1">
      <c r="A345" s="50"/>
      <c r="B345" s="93"/>
      <c r="C345" s="93"/>
      <c r="D345" s="93"/>
      <c r="E345" s="93"/>
      <c r="F345" s="93"/>
      <c r="G345" s="93"/>
      <c r="H345" s="50"/>
      <c r="I345" s="93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28.5" customHeight="1">
      <c r="A346" s="50"/>
      <c r="B346" s="93"/>
      <c r="C346" s="93"/>
      <c r="D346" s="93"/>
      <c r="E346" s="93"/>
      <c r="F346" s="93"/>
      <c r="G346" s="93"/>
      <c r="H346" s="50"/>
      <c r="I346" s="93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28.5" customHeight="1">
      <c r="A347" s="50"/>
      <c r="B347" s="93"/>
      <c r="C347" s="93"/>
      <c r="D347" s="93"/>
      <c r="E347" s="93"/>
      <c r="F347" s="93"/>
      <c r="G347" s="93"/>
      <c r="H347" s="50"/>
      <c r="I347" s="93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28.5" customHeight="1">
      <c r="A348" s="50"/>
      <c r="B348" s="93"/>
      <c r="C348" s="93"/>
      <c r="D348" s="93"/>
      <c r="E348" s="93"/>
      <c r="F348" s="93"/>
      <c r="G348" s="93"/>
      <c r="H348" s="50"/>
      <c r="I348" s="93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28.5" customHeight="1">
      <c r="A349" s="50"/>
      <c r="B349" s="93"/>
      <c r="C349" s="93"/>
      <c r="D349" s="93"/>
      <c r="E349" s="93"/>
      <c r="F349" s="93"/>
      <c r="G349" s="93"/>
      <c r="H349" s="50"/>
      <c r="I349" s="93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28.5" customHeight="1">
      <c r="A350" s="50"/>
      <c r="B350" s="93"/>
      <c r="C350" s="93"/>
      <c r="D350" s="93"/>
      <c r="E350" s="93"/>
      <c r="F350" s="93"/>
      <c r="G350" s="93"/>
      <c r="H350" s="50"/>
      <c r="I350" s="93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28.5" customHeight="1">
      <c r="A351" s="50"/>
      <c r="B351" s="93"/>
      <c r="C351" s="93"/>
      <c r="D351" s="93"/>
      <c r="E351" s="93"/>
      <c r="F351" s="93"/>
      <c r="G351" s="93"/>
      <c r="H351" s="50"/>
      <c r="I351" s="93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28.5" customHeight="1">
      <c r="A352" s="50"/>
      <c r="B352" s="93"/>
      <c r="C352" s="93"/>
      <c r="D352" s="93"/>
      <c r="E352" s="93"/>
      <c r="F352" s="93"/>
      <c r="G352" s="93"/>
      <c r="H352" s="50"/>
      <c r="I352" s="93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28.5" customHeight="1">
      <c r="A353" s="50"/>
      <c r="B353" s="93"/>
      <c r="C353" s="93"/>
      <c r="D353" s="93"/>
      <c r="E353" s="93"/>
      <c r="F353" s="93"/>
      <c r="G353" s="93"/>
      <c r="H353" s="50"/>
      <c r="I353" s="93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28.5" customHeight="1">
      <c r="A354" s="50"/>
      <c r="B354" s="93"/>
      <c r="C354" s="93"/>
      <c r="D354" s="93"/>
      <c r="E354" s="93"/>
      <c r="F354" s="93"/>
      <c r="G354" s="93"/>
      <c r="H354" s="50"/>
      <c r="I354" s="93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28.5" customHeight="1">
      <c r="A355" s="50"/>
      <c r="B355" s="93"/>
      <c r="C355" s="93"/>
      <c r="D355" s="93"/>
      <c r="E355" s="93"/>
      <c r="F355" s="93"/>
      <c r="G355" s="93"/>
      <c r="H355" s="50"/>
      <c r="I355" s="93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28.5" customHeight="1">
      <c r="A356" s="50"/>
      <c r="B356" s="93"/>
      <c r="C356" s="93"/>
      <c r="D356" s="93"/>
      <c r="E356" s="93"/>
      <c r="F356" s="93"/>
      <c r="G356" s="93"/>
      <c r="H356" s="50"/>
      <c r="I356" s="93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28.5" customHeight="1">
      <c r="A357" s="50"/>
      <c r="B357" s="93"/>
      <c r="C357" s="93"/>
      <c r="D357" s="93"/>
      <c r="E357" s="93"/>
      <c r="F357" s="93"/>
      <c r="G357" s="93"/>
      <c r="H357" s="50"/>
      <c r="I357" s="93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28.5" customHeight="1">
      <c r="A358" s="50"/>
      <c r="B358" s="93"/>
      <c r="C358" s="93"/>
      <c r="D358" s="93"/>
      <c r="E358" s="93"/>
      <c r="F358" s="93"/>
      <c r="G358" s="93"/>
      <c r="H358" s="50"/>
      <c r="I358" s="93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28.5" customHeight="1">
      <c r="A359" s="50"/>
      <c r="B359" s="93"/>
      <c r="C359" s="93"/>
      <c r="D359" s="93"/>
      <c r="E359" s="93"/>
      <c r="F359" s="93"/>
      <c r="G359" s="93"/>
      <c r="H359" s="50"/>
      <c r="I359" s="93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28.5" customHeight="1">
      <c r="A360" s="50"/>
      <c r="B360" s="93"/>
      <c r="C360" s="93"/>
      <c r="D360" s="93"/>
      <c r="E360" s="93"/>
      <c r="F360" s="93"/>
      <c r="G360" s="93"/>
      <c r="H360" s="50"/>
      <c r="I360" s="93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28.5" customHeight="1">
      <c r="A361" s="50"/>
      <c r="B361" s="93"/>
      <c r="C361" s="93"/>
      <c r="D361" s="93"/>
      <c r="E361" s="93"/>
      <c r="F361" s="93"/>
      <c r="G361" s="93"/>
      <c r="H361" s="50"/>
      <c r="I361" s="93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28.5" customHeight="1">
      <c r="A362" s="50"/>
      <c r="B362" s="93"/>
      <c r="C362" s="93"/>
      <c r="D362" s="93"/>
      <c r="E362" s="93"/>
      <c r="F362" s="93"/>
      <c r="G362" s="93"/>
      <c r="H362" s="50"/>
      <c r="I362" s="93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28.5" customHeight="1">
      <c r="A363" s="50"/>
      <c r="B363" s="93"/>
      <c r="C363" s="93"/>
      <c r="D363" s="93"/>
      <c r="E363" s="93"/>
      <c r="F363" s="93"/>
      <c r="G363" s="93"/>
      <c r="H363" s="50"/>
      <c r="I363" s="93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28.5" customHeight="1">
      <c r="A364" s="50"/>
      <c r="B364" s="93"/>
      <c r="C364" s="93"/>
      <c r="D364" s="93"/>
      <c r="E364" s="93"/>
      <c r="F364" s="93"/>
      <c r="G364" s="93"/>
      <c r="H364" s="50"/>
      <c r="I364" s="93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28.5" customHeight="1">
      <c r="A365" s="50"/>
      <c r="B365" s="93"/>
      <c r="C365" s="93"/>
      <c r="D365" s="93"/>
      <c r="E365" s="93"/>
      <c r="F365" s="93"/>
      <c r="G365" s="93"/>
      <c r="H365" s="50"/>
      <c r="I365" s="93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28.5" customHeight="1">
      <c r="A366" s="50"/>
      <c r="B366" s="93"/>
      <c r="C366" s="93"/>
      <c r="D366" s="93"/>
      <c r="E366" s="93"/>
      <c r="F366" s="93"/>
      <c r="G366" s="93"/>
      <c r="H366" s="50"/>
      <c r="I366" s="93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28.5" customHeight="1">
      <c r="A367" s="50"/>
      <c r="B367" s="93"/>
      <c r="C367" s="93"/>
      <c r="D367" s="93"/>
      <c r="E367" s="93"/>
      <c r="F367" s="93"/>
      <c r="G367" s="93"/>
      <c r="H367" s="50"/>
      <c r="I367" s="93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28.5" customHeight="1">
      <c r="A368" s="50"/>
      <c r="B368" s="93"/>
      <c r="C368" s="93"/>
      <c r="D368" s="93"/>
      <c r="E368" s="93"/>
      <c r="F368" s="93"/>
      <c r="G368" s="93"/>
      <c r="H368" s="50"/>
      <c r="I368" s="93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28.5" customHeight="1">
      <c r="A369" s="50"/>
      <c r="B369" s="93"/>
      <c r="C369" s="93"/>
      <c r="D369" s="93"/>
      <c r="E369" s="93"/>
      <c r="F369" s="93"/>
      <c r="G369" s="93"/>
      <c r="H369" s="50"/>
      <c r="I369" s="93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28.5" customHeight="1">
      <c r="A370" s="50"/>
      <c r="B370" s="93"/>
      <c r="C370" s="93"/>
      <c r="D370" s="93"/>
      <c r="E370" s="93"/>
      <c r="F370" s="93"/>
      <c r="G370" s="93"/>
      <c r="H370" s="50"/>
      <c r="I370" s="93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28.5" customHeight="1">
      <c r="A371" s="50"/>
      <c r="B371" s="93"/>
      <c r="C371" s="93"/>
      <c r="D371" s="93"/>
      <c r="E371" s="93"/>
      <c r="F371" s="93"/>
      <c r="G371" s="93"/>
      <c r="H371" s="50"/>
      <c r="I371" s="93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28.5" customHeight="1">
      <c r="A372" s="50"/>
      <c r="B372" s="93"/>
      <c r="C372" s="93"/>
      <c r="D372" s="93"/>
      <c r="E372" s="93"/>
      <c r="F372" s="93"/>
      <c r="G372" s="93"/>
      <c r="H372" s="50"/>
      <c r="I372" s="93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28.5" customHeight="1">
      <c r="A373" s="50"/>
      <c r="B373" s="93"/>
      <c r="C373" s="93"/>
      <c r="D373" s="93"/>
      <c r="E373" s="93"/>
      <c r="F373" s="93"/>
      <c r="G373" s="93"/>
      <c r="H373" s="50"/>
      <c r="I373" s="93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28.5" customHeight="1">
      <c r="A374" s="50"/>
      <c r="B374" s="93"/>
      <c r="C374" s="93"/>
      <c r="D374" s="93"/>
      <c r="E374" s="93"/>
      <c r="F374" s="93"/>
      <c r="G374" s="93"/>
      <c r="H374" s="50"/>
      <c r="I374" s="93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28.5" customHeight="1">
      <c r="A375" s="50"/>
      <c r="B375" s="93"/>
      <c r="C375" s="93"/>
      <c r="D375" s="93"/>
      <c r="E375" s="93"/>
      <c r="F375" s="93"/>
      <c r="G375" s="93"/>
      <c r="H375" s="50"/>
      <c r="I375" s="93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28.5" customHeight="1">
      <c r="A376" s="50"/>
      <c r="B376" s="93"/>
      <c r="C376" s="93"/>
      <c r="D376" s="93"/>
      <c r="E376" s="93"/>
      <c r="F376" s="93"/>
      <c r="G376" s="93"/>
      <c r="H376" s="50"/>
      <c r="I376" s="93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28.5" customHeight="1">
      <c r="A377" s="50"/>
      <c r="B377" s="93"/>
      <c r="C377" s="93"/>
      <c r="D377" s="93"/>
      <c r="E377" s="93"/>
      <c r="F377" s="93"/>
      <c r="G377" s="93"/>
      <c r="H377" s="50"/>
      <c r="I377" s="93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28.5" customHeight="1">
      <c r="A378" s="50"/>
      <c r="B378" s="93"/>
      <c r="C378" s="93"/>
      <c r="D378" s="93"/>
      <c r="E378" s="93"/>
      <c r="F378" s="93"/>
      <c r="G378" s="93"/>
      <c r="H378" s="50"/>
      <c r="I378" s="93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28.5" customHeight="1">
      <c r="A379" s="50"/>
      <c r="B379" s="93"/>
      <c r="C379" s="93"/>
      <c r="D379" s="93"/>
      <c r="E379" s="93"/>
      <c r="F379" s="93"/>
      <c r="G379" s="93"/>
      <c r="H379" s="50"/>
      <c r="I379" s="93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28.5" customHeight="1">
      <c r="A380" s="50"/>
      <c r="B380" s="93"/>
      <c r="C380" s="93"/>
      <c r="D380" s="93"/>
      <c r="E380" s="93"/>
      <c r="F380" s="93"/>
      <c r="G380" s="93"/>
      <c r="H380" s="50"/>
      <c r="I380" s="93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28.5" customHeight="1">
      <c r="A381" s="50"/>
      <c r="B381" s="93"/>
      <c r="C381" s="93"/>
      <c r="D381" s="93"/>
      <c r="E381" s="93"/>
      <c r="F381" s="93"/>
      <c r="G381" s="93"/>
      <c r="H381" s="50"/>
      <c r="I381" s="93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28.5" customHeight="1">
      <c r="A382" s="50"/>
      <c r="B382" s="93"/>
      <c r="C382" s="93"/>
      <c r="D382" s="93"/>
      <c r="E382" s="93"/>
      <c r="F382" s="93"/>
      <c r="G382" s="93"/>
      <c r="H382" s="50"/>
      <c r="I382" s="93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28.5" customHeight="1">
      <c r="A383" s="50"/>
      <c r="B383" s="93"/>
      <c r="C383" s="93"/>
      <c r="D383" s="93"/>
      <c r="E383" s="93"/>
      <c r="F383" s="93"/>
      <c r="G383" s="93"/>
      <c r="H383" s="50"/>
      <c r="I383" s="93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28.5" customHeight="1">
      <c r="A384" s="50"/>
      <c r="B384" s="93"/>
      <c r="C384" s="93"/>
      <c r="D384" s="93"/>
      <c r="E384" s="93"/>
      <c r="F384" s="93"/>
      <c r="G384" s="93"/>
      <c r="H384" s="50"/>
      <c r="I384" s="93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28.5" customHeight="1">
      <c r="A385" s="50"/>
      <c r="B385" s="93"/>
      <c r="C385" s="93"/>
      <c r="D385" s="93"/>
      <c r="E385" s="93"/>
      <c r="F385" s="93"/>
      <c r="G385" s="93"/>
      <c r="H385" s="50"/>
      <c r="I385" s="93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28.5" customHeight="1">
      <c r="A386" s="50"/>
      <c r="B386" s="93"/>
      <c r="C386" s="93"/>
      <c r="D386" s="93"/>
      <c r="E386" s="93"/>
      <c r="F386" s="93"/>
      <c r="G386" s="93"/>
      <c r="H386" s="50"/>
      <c r="I386" s="93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28.5" customHeight="1">
      <c r="A387" s="50"/>
      <c r="B387" s="93"/>
      <c r="C387" s="93"/>
      <c r="D387" s="93"/>
      <c r="E387" s="93"/>
      <c r="F387" s="93"/>
      <c r="G387" s="93"/>
      <c r="H387" s="50"/>
      <c r="I387" s="93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28.5" customHeight="1">
      <c r="A388" s="50"/>
      <c r="B388" s="93"/>
      <c r="C388" s="93"/>
      <c r="D388" s="93"/>
      <c r="E388" s="93"/>
      <c r="F388" s="93"/>
      <c r="G388" s="93"/>
      <c r="H388" s="50"/>
      <c r="I388" s="93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28.5" customHeight="1">
      <c r="A389" s="50"/>
      <c r="B389" s="93"/>
      <c r="C389" s="93"/>
      <c r="D389" s="93"/>
      <c r="E389" s="93"/>
      <c r="F389" s="93"/>
      <c r="G389" s="93"/>
      <c r="H389" s="50"/>
      <c r="I389" s="93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28.5" customHeight="1">
      <c r="A390" s="50"/>
      <c r="B390" s="93"/>
      <c r="C390" s="93"/>
      <c r="D390" s="93"/>
      <c r="E390" s="93"/>
      <c r="F390" s="93"/>
      <c r="G390" s="93"/>
      <c r="H390" s="50"/>
      <c r="I390" s="93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28.5" customHeight="1">
      <c r="A391" s="50"/>
      <c r="B391" s="93"/>
      <c r="C391" s="93"/>
      <c r="D391" s="93"/>
      <c r="E391" s="93"/>
      <c r="F391" s="93"/>
      <c r="G391" s="93"/>
      <c r="H391" s="50"/>
      <c r="I391" s="93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28.5" customHeight="1">
      <c r="A392" s="50"/>
      <c r="B392" s="93"/>
      <c r="C392" s="93"/>
      <c r="D392" s="93"/>
      <c r="E392" s="93"/>
      <c r="F392" s="93"/>
      <c r="G392" s="93"/>
      <c r="H392" s="50"/>
      <c r="I392" s="93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28.5" customHeight="1">
      <c r="A393" s="50"/>
      <c r="B393" s="93"/>
      <c r="C393" s="93"/>
      <c r="D393" s="93"/>
      <c r="E393" s="93"/>
      <c r="F393" s="93"/>
      <c r="G393" s="93"/>
      <c r="H393" s="50"/>
      <c r="I393" s="93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28.5" customHeight="1">
      <c r="A394" s="50"/>
      <c r="B394" s="93"/>
      <c r="C394" s="93"/>
      <c r="D394" s="93"/>
      <c r="E394" s="93"/>
      <c r="F394" s="93"/>
      <c r="G394" s="93"/>
      <c r="H394" s="50"/>
      <c r="I394" s="93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28.5" customHeight="1">
      <c r="A395" s="50"/>
      <c r="B395" s="93"/>
      <c r="C395" s="93"/>
      <c r="D395" s="93"/>
      <c r="E395" s="93"/>
      <c r="F395" s="93"/>
      <c r="G395" s="93"/>
      <c r="H395" s="50"/>
      <c r="I395" s="93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28.5" customHeight="1">
      <c r="A396" s="50"/>
      <c r="B396" s="93"/>
      <c r="C396" s="93"/>
      <c r="D396" s="93"/>
      <c r="E396" s="93"/>
      <c r="F396" s="93"/>
      <c r="G396" s="93"/>
      <c r="H396" s="50"/>
      <c r="I396" s="93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28.5" customHeight="1">
      <c r="A397" s="50"/>
      <c r="B397" s="93"/>
      <c r="C397" s="93"/>
      <c r="D397" s="93"/>
      <c r="E397" s="93"/>
      <c r="F397" s="93"/>
      <c r="G397" s="93"/>
      <c r="H397" s="50"/>
      <c r="I397" s="93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28.5" customHeight="1">
      <c r="A398" s="50"/>
      <c r="B398" s="93"/>
      <c r="C398" s="93"/>
      <c r="D398" s="93"/>
      <c r="E398" s="93"/>
      <c r="F398" s="93"/>
      <c r="G398" s="93"/>
      <c r="H398" s="50"/>
      <c r="I398" s="93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28.5" customHeight="1">
      <c r="A399" s="50"/>
      <c r="B399" s="93"/>
      <c r="C399" s="93"/>
      <c r="D399" s="93"/>
      <c r="E399" s="93"/>
      <c r="F399" s="93"/>
      <c r="G399" s="93"/>
      <c r="H399" s="50"/>
      <c r="I399" s="93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28.5" customHeight="1">
      <c r="A400" s="50"/>
      <c r="B400" s="93"/>
      <c r="C400" s="93"/>
      <c r="D400" s="93"/>
      <c r="E400" s="93"/>
      <c r="F400" s="93"/>
      <c r="G400" s="93"/>
      <c r="H400" s="50"/>
      <c r="I400" s="93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28.5" customHeight="1">
      <c r="A401" s="50"/>
      <c r="B401" s="93"/>
      <c r="C401" s="93"/>
      <c r="D401" s="93"/>
      <c r="E401" s="93"/>
      <c r="F401" s="93"/>
      <c r="G401" s="93"/>
      <c r="H401" s="50"/>
      <c r="I401" s="93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28.5" customHeight="1">
      <c r="A402" s="50"/>
      <c r="B402" s="93"/>
      <c r="C402" s="93"/>
      <c r="D402" s="93"/>
      <c r="E402" s="93"/>
      <c r="F402" s="93"/>
      <c r="G402" s="93"/>
      <c r="H402" s="50"/>
      <c r="I402" s="93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28.5" customHeight="1">
      <c r="A403" s="50"/>
      <c r="B403" s="93"/>
      <c r="C403" s="93"/>
      <c r="D403" s="93"/>
      <c r="E403" s="93"/>
      <c r="F403" s="93"/>
      <c r="G403" s="93"/>
      <c r="H403" s="50"/>
      <c r="I403" s="93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28.5" customHeight="1">
      <c r="A404" s="50"/>
      <c r="B404" s="93"/>
      <c r="C404" s="93"/>
      <c r="D404" s="93"/>
      <c r="E404" s="93"/>
      <c r="F404" s="93"/>
      <c r="G404" s="93"/>
      <c r="H404" s="50"/>
      <c r="I404" s="93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28.5" customHeight="1">
      <c r="A405" s="50"/>
      <c r="B405" s="93"/>
      <c r="C405" s="93"/>
      <c r="D405" s="93"/>
      <c r="E405" s="93"/>
      <c r="F405" s="93"/>
      <c r="G405" s="93"/>
      <c r="H405" s="50"/>
      <c r="I405" s="93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28.5" customHeight="1">
      <c r="A406" s="50"/>
      <c r="B406" s="93"/>
      <c r="C406" s="93"/>
      <c r="D406" s="93"/>
      <c r="E406" s="93"/>
      <c r="F406" s="93"/>
      <c r="G406" s="93"/>
      <c r="H406" s="50"/>
      <c r="I406" s="93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28.5" customHeight="1">
      <c r="A407" s="50"/>
      <c r="B407" s="93"/>
      <c r="C407" s="93"/>
      <c r="D407" s="93"/>
      <c r="E407" s="93"/>
      <c r="F407" s="93"/>
      <c r="G407" s="93"/>
      <c r="H407" s="50"/>
      <c r="I407" s="93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28.5" customHeight="1">
      <c r="A408" s="50"/>
      <c r="B408" s="93"/>
      <c r="C408" s="93"/>
      <c r="D408" s="93"/>
      <c r="E408" s="93"/>
      <c r="F408" s="93"/>
      <c r="G408" s="93"/>
      <c r="H408" s="50"/>
      <c r="I408" s="93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28.5" customHeight="1">
      <c r="A409" s="50"/>
      <c r="B409" s="93"/>
      <c r="C409" s="93"/>
      <c r="D409" s="93"/>
      <c r="E409" s="93"/>
      <c r="F409" s="93"/>
      <c r="G409" s="93"/>
      <c r="H409" s="50"/>
      <c r="I409" s="93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28.5" customHeight="1">
      <c r="A410" s="50"/>
      <c r="B410" s="93"/>
      <c r="C410" s="93"/>
      <c r="D410" s="93"/>
      <c r="E410" s="93"/>
      <c r="F410" s="93"/>
      <c r="G410" s="93"/>
      <c r="H410" s="50"/>
      <c r="I410" s="93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28.5" customHeight="1">
      <c r="A411" s="50"/>
      <c r="B411" s="93"/>
      <c r="C411" s="93"/>
      <c r="D411" s="93"/>
      <c r="E411" s="93"/>
      <c r="F411" s="93"/>
      <c r="G411" s="93"/>
      <c r="H411" s="50"/>
      <c r="I411" s="93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28.5" customHeight="1">
      <c r="A412" s="50"/>
      <c r="B412" s="93"/>
      <c r="C412" s="93"/>
      <c r="D412" s="93"/>
      <c r="E412" s="93"/>
      <c r="F412" s="93"/>
      <c r="G412" s="93"/>
      <c r="H412" s="50"/>
      <c r="I412" s="93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28.5" customHeight="1">
      <c r="A413" s="50"/>
      <c r="B413" s="93"/>
      <c r="C413" s="93"/>
      <c r="D413" s="93"/>
      <c r="E413" s="93"/>
      <c r="F413" s="93"/>
      <c r="G413" s="93"/>
      <c r="H413" s="50"/>
      <c r="I413" s="93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28.5" customHeight="1">
      <c r="A414" s="50"/>
      <c r="B414" s="93"/>
      <c r="C414" s="93"/>
      <c r="D414" s="93"/>
      <c r="E414" s="93"/>
      <c r="F414" s="93"/>
      <c r="G414" s="93"/>
      <c r="H414" s="50"/>
      <c r="I414" s="93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28.5" customHeight="1">
      <c r="A415" s="50"/>
      <c r="B415" s="93"/>
      <c r="C415" s="93"/>
      <c r="D415" s="93"/>
      <c r="E415" s="93"/>
      <c r="F415" s="93"/>
      <c r="G415" s="93"/>
      <c r="H415" s="50"/>
      <c r="I415" s="93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28.5" customHeight="1">
      <c r="A416" s="50"/>
      <c r="B416" s="93"/>
      <c r="C416" s="93"/>
      <c r="D416" s="93"/>
      <c r="E416" s="93"/>
      <c r="F416" s="93"/>
      <c r="G416" s="93"/>
      <c r="H416" s="50"/>
      <c r="I416" s="93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28.5" customHeight="1">
      <c r="A417" s="50"/>
      <c r="B417" s="93"/>
      <c r="C417" s="93"/>
      <c r="D417" s="93"/>
      <c r="E417" s="93"/>
      <c r="F417" s="93"/>
      <c r="G417" s="93"/>
      <c r="H417" s="50"/>
      <c r="I417" s="93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28.5" customHeight="1">
      <c r="A418" s="50"/>
      <c r="B418" s="93"/>
      <c r="C418" s="93"/>
      <c r="D418" s="93"/>
      <c r="E418" s="93"/>
      <c r="F418" s="93"/>
      <c r="G418" s="93"/>
      <c r="H418" s="50"/>
      <c r="I418" s="93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28.5" customHeight="1">
      <c r="A419" s="50"/>
      <c r="B419" s="93"/>
      <c r="C419" s="93"/>
      <c r="D419" s="93"/>
      <c r="E419" s="93"/>
      <c r="F419" s="93"/>
      <c r="G419" s="93"/>
      <c r="H419" s="50"/>
      <c r="I419" s="9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28.5" customHeight="1">
      <c r="A420" s="50"/>
      <c r="B420" s="93"/>
      <c r="C420" s="93"/>
      <c r="D420" s="93"/>
      <c r="E420" s="93"/>
      <c r="F420" s="93"/>
      <c r="G420" s="93"/>
      <c r="H420" s="50"/>
      <c r="I420" s="9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28.5" customHeight="1">
      <c r="A421" s="50"/>
      <c r="B421" s="93"/>
      <c r="C421" s="93"/>
      <c r="D421" s="93"/>
      <c r="E421" s="93"/>
      <c r="F421" s="93"/>
      <c r="G421" s="93"/>
      <c r="H421" s="50"/>
      <c r="I421" s="9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28.5" customHeight="1">
      <c r="A422" s="50"/>
      <c r="B422" s="93"/>
      <c r="C422" s="93"/>
      <c r="D422" s="93"/>
      <c r="E422" s="93"/>
      <c r="F422" s="93"/>
      <c r="G422" s="93"/>
      <c r="H422" s="50"/>
      <c r="I422" s="9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28.5" customHeight="1">
      <c r="A423" s="50"/>
      <c r="B423" s="93"/>
      <c r="C423" s="93"/>
      <c r="D423" s="93"/>
      <c r="E423" s="93"/>
      <c r="F423" s="93"/>
      <c r="G423" s="93"/>
      <c r="H423" s="50"/>
      <c r="I423" s="9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28.5" customHeight="1">
      <c r="A424" s="50"/>
      <c r="B424" s="93"/>
      <c r="C424" s="93"/>
      <c r="D424" s="93"/>
      <c r="E424" s="93"/>
      <c r="F424" s="93"/>
      <c r="G424" s="93"/>
      <c r="H424" s="50"/>
      <c r="I424" s="9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28.5" customHeight="1">
      <c r="A425" s="50"/>
      <c r="B425" s="93"/>
      <c r="C425" s="93"/>
      <c r="D425" s="93"/>
      <c r="E425" s="93"/>
      <c r="F425" s="93"/>
      <c r="G425" s="93"/>
      <c r="H425" s="50"/>
      <c r="I425" s="9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28.5" customHeight="1">
      <c r="A426" s="50"/>
      <c r="B426" s="93"/>
      <c r="C426" s="93"/>
      <c r="D426" s="93"/>
      <c r="E426" s="93"/>
      <c r="F426" s="93"/>
      <c r="G426" s="93"/>
      <c r="H426" s="50"/>
      <c r="I426" s="9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28.5" customHeight="1">
      <c r="A427" s="50"/>
      <c r="B427" s="93"/>
      <c r="C427" s="93"/>
      <c r="D427" s="93"/>
      <c r="E427" s="93"/>
      <c r="F427" s="93"/>
      <c r="G427" s="93"/>
      <c r="H427" s="50"/>
      <c r="I427" s="9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28.5" customHeight="1">
      <c r="A428" s="50"/>
      <c r="B428" s="93"/>
      <c r="C428" s="93"/>
      <c r="D428" s="93"/>
      <c r="E428" s="93"/>
      <c r="F428" s="93"/>
      <c r="G428" s="93"/>
      <c r="H428" s="50"/>
      <c r="I428" s="9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28.5" customHeight="1">
      <c r="A429" s="50"/>
      <c r="B429" s="93"/>
      <c r="C429" s="93"/>
      <c r="D429" s="93"/>
      <c r="E429" s="93"/>
      <c r="F429" s="93"/>
      <c r="G429" s="93"/>
      <c r="H429" s="50"/>
      <c r="I429" s="9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28.5" customHeight="1">
      <c r="A430" s="50"/>
      <c r="B430" s="93"/>
      <c r="C430" s="93"/>
      <c r="D430" s="93"/>
      <c r="E430" s="93"/>
      <c r="F430" s="93"/>
      <c r="G430" s="93"/>
      <c r="H430" s="50"/>
      <c r="I430" s="9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28.5" customHeight="1">
      <c r="A431" s="50"/>
      <c r="B431" s="93"/>
      <c r="C431" s="93"/>
      <c r="D431" s="93"/>
      <c r="E431" s="93"/>
      <c r="F431" s="93"/>
      <c r="G431" s="93"/>
      <c r="H431" s="50"/>
      <c r="I431" s="9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28.5" customHeight="1">
      <c r="A432" s="50"/>
      <c r="B432" s="93"/>
      <c r="C432" s="93"/>
      <c r="D432" s="93"/>
      <c r="E432" s="93"/>
      <c r="F432" s="93"/>
      <c r="G432" s="93"/>
      <c r="H432" s="50"/>
      <c r="I432" s="9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28.5" customHeight="1">
      <c r="A433" s="50"/>
      <c r="B433" s="93"/>
      <c r="C433" s="93"/>
      <c r="D433" s="93"/>
      <c r="E433" s="93"/>
      <c r="F433" s="93"/>
      <c r="G433" s="93"/>
      <c r="H433" s="50"/>
      <c r="I433" s="9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28.5" customHeight="1">
      <c r="A434" s="50"/>
      <c r="B434" s="93"/>
      <c r="C434" s="93"/>
      <c r="D434" s="93"/>
      <c r="E434" s="93"/>
      <c r="F434" s="93"/>
      <c r="G434" s="93"/>
      <c r="H434" s="50"/>
      <c r="I434" s="9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28.5" customHeight="1">
      <c r="A435" s="50"/>
      <c r="B435" s="93"/>
      <c r="C435" s="93"/>
      <c r="D435" s="93"/>
      <c r="E435" s="93"/>
      <c r="F435" s="93"/>
      <c r="G435" s="93"/>
      <c r="H435" s="50"/>
      <c r="I435" s="9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28.5" customHeight="1">
      <c r="A436" s="50"/>
      <c r="B436" s="93"/>
      <c r="C436" s="93"/>
      <c r="D436" s="93"/>
      <c r="E436" s="93"/>
      <c r="F436" s="93"/>
      <c r="G436" s="93"/>
      <c r="H436" s="50"/>
      <c r="I436" s="9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28.5" customHeight="1">
      <c r="A437" s="50"/>
      <c r="B437" s="93"/>
      <c r="C437" s="93"/>
      <c r="D437" s="93"/>
      <c r="E437" s="93"/>
      <c r="F437" s="93"/>
      <c r="G437" s="93"/>
      <c r="H437" s="50"/>
      <c r="I437" s="9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28.5" customHeight="1">
      <c r="A438" s="50"/>
      <c r="B438" s="93"/>
      <c r="C438" s="93"/>
      <c r="D438" s="93"/>
      <c r="E438" s="93"/>
      <c r="F438" s="93"/>
      <c r="G438" s="93"/>
      <c r="H438" s="50"/>
      <c r="I438" s="9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28.5" customHeight="1">
      <c r="A439" s="50"/>
      <c r="B439" s="93"/>
      <c r="C439" s="93"/>
      <c r="D439" s="93"/>
      <c r="E439" s="93"/>
      <c r="F439" s="93"/>
      <c r="G439" s="93"/>
      <c r="H439" s="50"/>
      <c r="I439" s="9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28.5" customHeight="1">
      <c r="A440" s="50"/>
      <c r="B440" s="93"/>
      <c r="C440" s="93"/>
      <c r="D440" s="93"/>
      <c r="E440" s="93"/>
      <c r="F440" s="93"/>
      <c r="G440" s="93"/>
      <c r="H440" s="50"/>
      <c r="I440" s="9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28.5" customHeight="1">
      <c r="A441" s="50"/>
      <c r="B441" s="93"/>
      <c r="C441" s="93"/>
      <c r="D441" s="93"/>
      <c r="E441" s="93"/>
      <c r="F441" s="93"/>
      <c r="G441" s="93"/>
      <c r="H441" s="50"/>
      <c r="I441" s="9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28.5" customHeight="1">
      <c r="A442" s="50"/>
      <c r="B442" s="93"/>
      <c r="C442" s="93"/>
      <c r="D442" s="93"/>
      <c r="E442" s="93"/>
      <c r="F442" s="93"/>
      <c r="G442" s="93"/>
      <c r="H442" s="50"/>
      <c r="I442" s="9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28.5" customHeight="1">
      <c r="A443" s="50"/>
      <c r="B443" s="93"/>
      <c r="C443" s="93"/>
      <c r="D443" s="93"/>
      <c r="E443" s="93"/>
      <c r="F443" s="93"/>
      <c r="G443" s="93"/>
      <c r="H443" s="50"/>
      <c r="I443" s="9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28.5" customHeight="1">
      <c r="A444" s="50"/>
      <c r="B444" s="93"/>
      <c r="C444" s="93"/>
      <c r="D444" s="93"/>
      <c r="E444" s="93"/>
      <c r="F444" s="93"/>
      <c r="G444" s="93"/>
      <c r="H444" s="50"/>
      <c r="I444" s="9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28.5" customHeight="1">
      <c r="A445" s="50"/>
      <c r="B445" s="93"/>
      <c r="C445" s="93"/>
      <c r="D445" s="93"/>
      <c r="E445" s="93"/>
      <c r="F445" s="93"/>
      <c r="G445" s="93"/>
      <c r="H445" s="50"/>
      <c r="I445" s="9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28.5" customHeight="1">
      <c r="A446" s="50"/>
      <c r="B446" s="93"/>
      <c r="C446" s="93"/>
      <c r="D446" s="93"/>
      <c r="E446" s="93"/>
      <c r="F446" s="93"/>
      <c r="G446" s="93"/>
      <c r="H446" s="50"/>
      <c r="I446" s="9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28.5" customHeight="1">
      <c r="A447" s="50"/>
      <c r="B447" s="93"/>
      <c r="C447" s="93"/>
      <c r="D447" s="93"/>
      <c r="E447" s="93"/>
      <c r="F447" s="93"/>
      <c r="G447" s="93"/>
      <c r="H447" s="50"/>
      <c r="I447" s="9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28.5" customHeight="1">
      <c r="A448" s="50"/>
      <c r="B448" s="93"/>
      <c r="C448" s="93"/>
      <c r="D448" s="93"/>
      <c r="E448" s="93"/>
      <c r="F448" s="93"/>
      <c r="G448" s="93"/>
      <c r="H448" s="50"/>
      <c r="I448" s="9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28.5" customHeight="1">
      <c r="A449" s="50"/>
      <c r="B449" s="93"/>
      <c r="C449" s="93"/>
      <c r="D449" s="93"/>
      <c r="E449" s="93"/>
      <c r="F449" s="93"/>
      <c r="G449" s="93"/>
      <c r="H449" s="50"/>
      <c r="I449" s="9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28.5" customHeight="1">
      <c r="A450" s="50"/>
      <c r="B450" s="93"/>
      <c r="C450" s="93"/>
      <c r="D450" s="93"/>
      <c r="E450" s="93"/>
      <c r="F450" s="93"/>
      <c r="G450" s="93"/>
      <c r="H450" s="50"/>
      <c r="I450" s="9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28.5" customHeight="1">
      <c r="A451" s="50"/>
      <c r="B451" s="93"/>
      <c r="C451" s="93"/>
      <c r="D451" s="93"/>
      <c r="E451" s="93"/>
      <c r="F451" s="93"/>
      <c r="G451" s="93"/>
      <c r="H451" s="50"/>
      <c r="I451" s="9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28.5" customHeight="1">
      <c r="A452" s="50"/>
      <c r="B452" s="93"/>
      <c r="C452" s="93"/>
      <c r="D452" s="93"/>
      <c r="E452" s="93"/>
      <c r="F452" s="93"/>
      <c r="G452" s="93"/>
      <c r="H452" s="50"/>
      <c r="I452" s="9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28.5" customHeight="1">
      <c r="A453" s="50"/>
      <c r="B453" s="93"/>
      <c r="C453" s="93"/>
      <c r="D453" s="93"/>
      <c r="E453" s="93"/>
      <c r="F453" s="93"/>
      <c r="G453" s="93"/>
      <c r="H453" s="50"/>
      <c r="I453" s="9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28.5" customHeight="1">
      <c r="A454" s="50"/>
      <c r="B454" s="93"/>
      <c r="C454" s="93"/>
      <c r="D454" s="93"/>
      <c r="E454" s="93"/>
      <c r="F454" s="93"/>
      <c r="G454" s="93"/>
      <c r="H454" s="50"/>
      <c r="I454" s="9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28.5" customHeight="1">
      <c r="A455" s="50"/>
      <c r="B455" s="93"/>
      <c r="C455" s="93"/>
      <c r="D455" s="93"/>
      <c r="E455" s="93"/>
      <c r="F455" s="93"/>
      <c r="G455" s="93"/>
      <c r="H455" s="50"/>
      <c r="I455" s="9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28.5" customHeight="1">
      <c r="A456" s="50"/>
      <c r="B456" s="93"/>
      <c r="C456" s="93"/>
      <c r="D456" s="93"/>
      <c r="E456" s="93"/>
      <c r="F456" s="93"/>
      <c r="G456" s="93"/>
      <c r="H456" s="50"/>
      <c r="I456" s="9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28.5" customHeight="1">
      <c r="A457" s="50"/>
      <c r="B457" s="93"/>
      <c r="C457" s="93"/>
      <c r="D457" s="93"/>
      <c r="E457" s="93"/>
      <c r="F457" s="93"/>
      <c r="G457" s="93"/>
      <c r="H457" s="50"/>
      <c r="I457" s="9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28.5" customHeight="1">
      <c r="A458" s="50"/>
      <c r="B458" s="93"/>
      <c r="C458" s="93"/>
      <c r="D458" s="93"/>
      <c r="E458" s="93"/>
      <c r="F458" s="93"/>
      <c r="G458" s="93"/>
      <c r="H458" s="50"/>
      <c r="I458" s="9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28.5" customHeight="1">
      <c r="A459" s="50"/>
      <c r="B459" s="93"/>
      <c r="C459" s="93"/>
      <c r="D459" s="93"/>
      <c r="E459" s="93"/>
      <c r="F459" s="93"/>
      <c r="G459" s="93"/>
      <c r="H459" s="50"/>
      <c r="I459" s="9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28.5" customHeight="1">
      <c r="A460" s="50"/>
      <c r="B460" s="93"/>
      <c r="C460" s="93"/>
      <c r="D460" s="93"/>
      <c r="E460" s="93"/>
      <c r="F460" s="93"/>
      <c r="G460" s="93"/>
      <c r="H460" s="50"/>
      <c r="I460" s="9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28.5" customHeight="1">
      <c r="A461" s="50"/>
      <c r="B461" s="93"/>
      <c r="C461" s="93"/>
      <c r="D461" s="93"/>
      <c r="E461" s="93"/>
      <c r="F461" s="93"/>
      <c r="G461" s="93"/>
      <c r="H461" s="50"/>
      <c r="I461" s="9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28.5" customHeight="1">
      <c r="A462" s="50"/>
      <c r="B462" s="93"/>
      <c r="C462" s="93"/>
      <c r="D462" s="93"/>
      <c r="E462" s="93"/>
      <c r="F462" s="93"/>
      <c r="G462" s="93"/>
      <c r="H462" s="50"/>
      <c r="I462" s="9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28.5" customHeight="1">
      <c r="A463" s="50"/>
      <c r="B463" s="93"/>
      <c r="C463" s="93"/>
      <c r="D463" s="93"/>
      <c r="E463" s="93"/>
      <c r="F463" s="93"/>
      <c r="G463" s="93"/>
      <c r="H463" s="50"/>
      <c r="I463" s="9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28.5" customHeight="1">
      <c r="A464" s="50"/>
      <c r="B464" s="93"/>
      <c r="C464" s="93"/>
      <c r="D464" s="93"/>
      <c r="E464" s="93"/>
      <c r="F464" s="93"/>
      <c r="G464" s="93"/>
      <c r="H464" s="50"/>
      <c r="I464" s="9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28.5" customHeight="1">
      <c r="A465" s="50"/>
      <c r="B465" s="93"/>
      <c r="C465" s="93"/>
      <c r="D465" s="93"/>
      <c r="E465" s="93"/>
      <c r="F465" s="93"/>
      <c r="G465" s="93"/>
      <c r="H465" s="50"/>
      <c r="I465" s="9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28.5" customHeight="1">
      <c r="A466" s="50"/>
      <c r="B466" s="93"/>
      <c r="C466" s="93"/>
      <c r="D466" s="93"/>
      <c r="E466" s="93"/>
      <c r="F466" s="93"/>
      <c r="G466" s="93"/>
      <c r="H466" s="50"/>
      <c r="I466" s="9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28.5" customHeight="1">
      <c r="A467" s="50"/>
      <c r="B467" s="93"/>
      <c r="C467" s="93"/>
      <c r="D467" s="93"/>
      <c r="E467" s="93"/>
      <c r="F467" s="93"/>
      <c r="G467" s="93"/>
      <c r="H467" s="50"/>
      <c r="I467" s="9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28.5" customHeight="1">
      <c r="A468" s="50"/>
      <c r="B468" s="93"/>
      <c r="C468" s="93"/>
      <c r="D468" s="93"/>
      <c r="E468" s="93"/>
      <c r="F468" s="93"/>
      <c r="G468" s="93"/>
      <c r="H468" s="50"/>
      <c r="I468" s="9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28.5" customHeight="1">
      <c r="A469" s="50"/>
      <c r="B469" s="93"/>
      <c r="C469" s="93"/>
      <c r="D469" s="93"/>
      <c r="E469" s="93"/>
      <c r="F469" s="93"/>
      <c r="G469" s="93"/>
      <c r="H469" s="50"/>
      <c r="I469" s="9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28.5" customHeight="1">
      <c r="A470" s="50"/>
      <c r="B470" s="93"/>
      <c r="C470" s="93"/>
      <c r="D470" s="93"/>
      <c r="E470" s="93"/>
      <c r="F470" s="93"/>
      <c r="G470" s="93"/>
      <c r="H470" s="50"/>
      <c r="I470" s="9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28.5" customHeight="1">
      <c r="A471" s="50"/>
      <c r="B471" s="93"/>
      <c r="C471" s="93"/>
      <c r="D471" s="93"/>
      <c r="E471" s="93"/>
      <c r="F471" s="93"/>
      <c r="G471" s="93"/>
      <c r="H471" s="50"/>
      <c r="I471" s="9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28.5" customHeight="1">
      <c r="A472" s="50"/>
      <c r="B472" s="93"/>
      <c r="C472" s="93"/>
      <c r="D472" s="93"/>
      <c r="E472" s="93"/>
      <c r="F472" s="93"/>
      <c r="G472" s="93"/>
      <c r="H472" s="50"/>
      <c r="I472" s="9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28.5" customHeight="1">
      <c r="A473" s="50"/>
      <c r="B473" s="93"/>
      <c r="C473" s="93"/>
      <c r="D473" s="93"/>
      <c r="E473" s="93"/>
      <c r="F473" s="93"/>
      <c r="G473" s="93"/>
      <c r="H473" s="50"/>
      <c r="I473" s="9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28.5" customHeight="1">
      <c r="A474" s="50"/>
      <c r="B474" s="93"/>
      <c r="C474" s="93"/>
      <c r="D474" s="93"/>
      <c r="E474" s="93"/>
      <c r="F474" s="93"/>
      <c r="G474" s="93"/>
      <c r="H474" s="50"/>
      <c r="I474" s="9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28.5" customHeight="1">
      <c r="A475" s="50"/>
      <c r="B475" s="93"/>
      <c r="C475" s="93"/>
      <c r="D475" s="93"/>
      <c r="E475" s="93"/>
      <c r="F475" s="93"/>
      <c r="G475" s="93"/>
      <c r="H475" s="50"/>
      <c r="I475" s="9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28.5" customHeight="1">
      <c r="A476" s="50"/>
      <c r="B476" s="93"/>
      <c r="C476" s="93"/>
      <c r="D476" s="93"/>
      <c r="E476" s="93"/>
      <c r="F476" s="93"/>
      <c r="G476" s="93"/>
      <c r="H476" s="50"/>
      <c r="I476" s="9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28.5" customHeight="1">
      <c r="A477" s="50"/>
      <c r="B477" s="93"/>
      <c r="C477" s="93"/>
      <c r="D477" s="93"/>
      <c r="E477" s="93"/>
      <c r="F477" s="93"/>
      <c r="G477" s="93"/>
      <c r="H477" s="50"/>
      <c r="I477" s="9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28.5" customHeight="1">
      <c r="A478" s="50"/>
      <c r="B478" s="93"/>
      <c r="C478" s="93"/>
      <c r="D478" s="93"/>
      <c r="E478" s="93"/>
      <c r="F478" s="93"/>
      <c r="G478" s="93"/>
      <c r="H478" s="50"/>
      <c r="I478" s="9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28.5" customHeight="1">
      <c r="A479" s="50"/>
      <c r="B479" s="93"/>
      <c r="C479" s="93"/>
      <c r="D479" s="93"/>
      <c r="E479" s="93"/>
      <c r="F479" s="93"/>
      <c r="G479" s="93"/>
      <c r="H479" s="50"/>
      <c r="I479" s="9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28.5" customHeight="1">
      <c r="A480" s="50"/>
      <c r="B480" s="93"/>
      <c r="C480" s="93"/>
      <c r="D480" s="93"/>
      <c r="E480" s="93"/>
      <c r="F480" s="93"/>
      <c r="G480" s="93"/>
      <c r="H480" s="50"/>
      <c r="I480" s="9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28.5" customHeight="1">
      <c r="A481" s="50"/>
      <c r="B481" s="93"/>
      <c r="C481" s="93"/>
      <c r="D481" s="93"/>
      <c r="E481" s="93"/>
      <c r="F481" s="93"/>
      <c r="G481" s="93"/>
      <c r="H481" s="50"/>
      <c r="I481" s="9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28.5" customHeight="1">
      <c r="A482" s="50"/>
      <c r="B482" s="93"/>
      <c r="C482" s="93"/>
      <c r="D482" s="93"/>
      <c r="E482" s="93"/>
      <c r="F482" s="93"/>
      <c r="G482" s="93"/>
      <c r="H482" s="50"/>
      <c r="I482" s="9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28.5" customHeight="1">
      <c r="A483" s="50"/>
      <c r="B483" s="93"/>
      <c r="C483" s="93"/>
      <c r="D483" s="93"/>
      <c r="E483" s="93"/>
      <c r="F483" s="93"/>
      <c r="G483" s="93"/>
      <c r="H483" s="50"/>
      <c r="I483" s="9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28.5" customHeight="1">
      <c r="A484" s="50"/>
      <c r="B484" s="93"/>
      <c r="C484" s="93"/>
      <c r="D484" s="93"/>
      <c r="E484" s="93"/>
      <c r="F484" s="93"/>
      <c r="G484" s="93"/>
      <c r="H484" s="50"/>
      <c r="I484" s="9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28.5" customHeight="1">
      <c r="A485" s="50"/>
      <c r="B485" s="93"/>
      <c r="C485" s="93"/>
      <c r="D485" s="93"/>
      <c r="E485" s="93"/>
      <c r="F485" s="93"/>
      <c r="G485" s="93"/>
      <c r="H485" s="50"/>
      <c r="I485" s="9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28.5" customHeight="1">
      <c r="A486" s="50"/>
      <c r="B486" s="93"/>
      <c r="C486" s="93"/>
      <c r="D486" s="93"/>
      <c r="E486" s="93"/>
      <c r="F486" s="93"/>
      <c r="G486" s="93"/>
      <c r="H486" s="50"/>
      <c r="I486" s="9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28.5" customHeight="1">
      <c r="A487" s="50"/>
      <c r="B487" s="93"/>
      <c r="C487" s="93"/>
      <c r="D487" s="93"/>
      <c r="E487" s="93"/>
      <c r="F487" s="93"/>
      <c r="G487" s="93"/>
      <c r="H487" s="50"/>
      <c r="I487" s="9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28.5" customHeight="1">
      <c r="A488" s="50"/>
      <c r="B488" s="93"/>
      <c r="C488" s="93"/>
      <c r="D488" s="93"/>
      <c r="E488" s="93"/>
      <c r="F488" s="93"/>
      <c r="G488" s="93"/>
      <c r="H488" s="50"/>
      <c r="I488" s="9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28.5" customHeight="1">
      <c r="A489" s="50"/>
      <c r="B489" s="93"/>
      <c r="C489" s="93"/>
      <c r="D489" s="93"/>
      <c r="E489" s="93"/>
      <c r="F489" s="93"/>
      <c r="G489" s="93"/>
      <c r="H489" s="50"/>
      <c r="I489" s="9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28.5" customHeight="1">
      <c r="A490" s="50"/>
      <c r="B490" s="93"/>
      <c r="C490" s="93"/>
      <c r="D490" s="93"/>
      <c r="E490" s="93"/>
      <c r="F490" s="93"/>
      <c r="G490" s="93"/>
      <c r="H490" s="50"/>
      <c r="I490" s="9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28.5" customHeight="1">
      <c r="A491" s="50"/>
      <c r="B491" s="93"/>
      <c r="C491" s="93"/>
      <c r="D491" s="93"/>
      <c r="E491" s="93"/>
      <c r="F491" s="93"/>
      <c r="G491" s="93"/>
      <c r="H491" s="50"/>
      <c r="I491" s="9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28.5" customHeight="1">
      <c r="A492" s="50"/>
      <c r="B492" s="93"/>
      <c r="C492" s="93"/>
      <c r="D492" s="93"/>
      <c r="E492" s="93"/>
      <c r="F492" s="93"/>
      <c r="G492" s="93"/>
      <c r="H492" s="50"/>
      <c r="I492" s="9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28.5" customHeight="1">
      <c r="A493" s="50"/>
      <c r="B493" s="93"/>
      <c r="C493" s="93"/>
      <c r="D493" s="93"/>
      <c r="E493" s="93"/>
      <c r="F493" s="93"/>
      <c r="G493" s="93"/>
      <c r="H493" s="50"/>
      <c r="I493" s="9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28.5" customHeight="1">
      <c r="A494" s="50"/>
      <c r="B494" s="93"/>
      <c r="C494" s="93"/>
      <c r="D494" s="93"/>
      <c r="E494" s="93"/>
      <c r="F494" s="93"/>
      <c r="G494" s="93"/>
      <c r="H494" s="50"/>
      <c r="I494" s="9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28.5" customHeight="1">
      <c r="A495" s="50"/>
      <c r="B495" s="93"/>
      <c r="C495" s="93"/>
      <c r="D495" s="93"/>
      <c r="E495" s="93"/>
      <c r="F495" s="93"/>
      <c r="G495" s="93"/>
      <c r="H495" s="50"/>
      <c r="I495" s="9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28.5" customHeight="1">
      <c r="A496" s="50"/>
      <c r="B496" s="93"/>
      <c r="C496" s="93"/>
      <c r="D496" s="93"/>
      <c r="E496" s="93"/>
      <c r="F496" s="93"/>
      <c r="G496" s="93"/>
      <c r="H496" s="50"/>
      <c r="I496" s="9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28.5" customHeight="1">
      <c r="A497" s="50"/>
      <c r="B497" s="93"/>
      <c r="C497" s="93"/>
      <c r="D497" s="93"/>
      <c r="E497" s="93"/>
      <c r="F497" s="93"/>
      <c r="G497" s="93"/>
      <c r="H497" s="50"/>
      <c r="I497" s="9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28.5" customHeight="1">
      <c r="A498" s="50"/>
      <c r="B498" s="93"/>
      <c r="C498" s="93"/>
      <c r="D498" s="93"/>
      <c r="E498" s="93"/>
      <c r="F498" s="93"/>
      <c r="G498" s="93"/>
      <c r="H498" s="50"/>
      <c r="I498" s="9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28.5" customHeight="1">
      <c r="A499" s="50"/>
      <c r="B499" s="93"/>
      <c r="C499" s="93"/>
      <c r="D499" s="93"/>
      <c r="E499" s="93"/>
      <c r="F499" s="93"/>
      <c r="G499" s="93"/>
      <c r="H499" s="50"/>
      <c r="I499" s="9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28.5" customHeight="1">
      <c r="A500" s="50"/>
      <c r="B500" s="93"/>
      <c r="C500" s="93"/>
      <c r="D500" s="93"/>
      <c r="E500" s="93"/>
      <c r="F500" s="93"/>
      <c r="G500" s="93"/>
      <c r="H500" s="50"/>
      <c r="I500" s="9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28.5" customHeight="1">
      <c r="A501" s="50"/>
      <c r="B501" s="93"/>
      <c r="C501" s="93"/>
      <c r="D501" s="93"/>
      <c r="E501" s="93"/>
      <c r="F501" s="93"/>
      <c r="G501" s="93"/>
      <c r="H501" s="50"/>
      <c r="I501" s="9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28.5" customHeight="1">
      <c r="A502" s="50"/>
      <c r="B502" s="93"/>
      <c r="C502" s="93"/>
      <c r="D502" s="93"/>
      <c r="E502" s="93"/>
      <c r="F502" s="93"/>
      <c r="G502" s="93"/>
      <c r="H502" s="50"/>
      <c r="I502" s="9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28.5" customHeight="1">
      <c r="A503" s="50"/>
      <c r="B503" s="93"/>
      <c r="C503" s="93"/>
      <c r="D503" s="93"/>
      <c r="E503" s="93"/>
      <c r="F503" s="93"/>
      <c r="G503" s="93"/>
      <c r="H503" s="50"/>
      <c r="I503" s="9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28.5" customHeight="1">
      <c r="A504" s="50"/>
      <c r="B504" s="93"/>
      <c r="C504" s="93"/>
      <c r="D504" s="93"/>
      <c r="E504" s="93"/>
      <c r="F504" s="93"/>
      <c r="G504" s="93"/>
      <c r="H504" s="50"/>
      <c r="I504" s="9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28.5" customHeight="1">
      <c r="A505" s="50"/>
      <c r="B505" s="93"/>
      <c r="C505" s="93"/>
      <c r="D505" s="93"/>
      <c r="E505" s="93"/>
      <c r="F505" s="93"/>
      <c r="G505" s="93"/>
      <c r="H505" s="50"/>
      <c r="I505" s="9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28.5" customHeight="1">
      <c r="A506" s="50"/>
      <c r="B506" s="93"/>
      <c r="C506" s="93"/>
      <c r="D506" s="93"/>
      <c r="E506" s="93"/>
      <c r="F506" s="93"/>
      <c r="G506" s="93"/>
      <c r="H506" s="50"/>
      <c r="I506" s="9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28.5" customHeight="1">
      <c r="A507" s="50"/>
      <c r="B507" s="93"/>
      <c r="C507" s="93"/>
      <c r="D507" s="93"/>
      <c r="E507" s="93"/>
      <c r="F507" s="93"/>
      <c r="G507" s="93"/>
      <c r="H507" s="50"/>
      <c r="I507" s="9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28.5" customHeight="1">
      <c r="A508" s="50"/>
      <c r="B508" s="93"/>
      <c r="C508" s="93"/>
      <c r="D508" s="93"/>
      <c r="E508" s="93"/>
      <c r="F508" s="93"/>
      <c r="G508" s="93"/>
      <c r="H508" s="50"/>
      <c r="I508" s="9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28.5" customHeight="1">
      <c r="A509" s="50"/>
      <c r="B509" s="93"/>
      <c r="C509" s="93"/>
      <c r="D509" s="93"/>
      <c r="E509" s="93"/>
      <c r="F509" s="93"/>
      <c r="G509" s="93"/>
      <c r="H509" s="50"/>
      <c r="I509" s="9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28.5" customHeight="1">
      <c r="A510" s="50"/>
      <c r="B510" s="93"/>
      <c r="C510" s="93"/>
      <c r="D510" s="93"/>
      <c r="E510" s="93"/>
      <c r="F510" s="93"/>
      <c r="G510" s="93"/>
      <c r="H510" s="50"/>
      <c r="I510" s="9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28.5" customHeight="1">
      <c r="A511" s="50"/>
      <c r="B511" s="93"/>
      <c r="C511" s="93"/>
      <c r="D511" s="93"/>
      <c r="E511" s="93"/>
      <c r="F511" s="93"/>
      <c r="G511" s="93"/>
      <c r="H511" s="50"/>
      <c r="I511" s="9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28.5" customHeight="1">
      <c r="A512" s="50"/>
      <c r="B512" s="93"/>
      <c r="C512" s="93"/>
      <c r="D512" s="93"/>
      <c r="E512" s="93"/>
      <c r="F512" s="93"/>
      <c r="G512" s="93"/>
      <c r="H512" s="50"/>
      <c r="I512" s="9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28.5" customHeight="1">
      <c r="A513" s="50"/>
      <c r="B513" s="93"/>
      <c r="C513" s="93"/>
      <c r="D513" s="93"/>
      <c r="E513" s="93"/>
      <c r="F513" s="93"/>
      <c r="G513" s="93"/>
      <c r="H513" s="50"/>
      <c r="I513" s="9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28.5" customHeight="1">
      <c r="A514" s="50"/>
      <c r="B514" s="93"/>
      <c r="C514" s="93"/>
      <c r="D514" s="93"/>
      <c r="E514" s="93"/>
      <c r="F514" s="93"/>
      <c r="G514" s="93"/>
      <c r="H514" s="50"/>
      <c r="I514" s="9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28.5" customHeight="1">
      <c r="A515" s="50"/>
      <c r="B515" s="93"/>
      <c r="C515" s="93"/>
      <c r="D515" s="93"/>
      <c r="E515" s="93"/>
      <c r="F515" s="93"/>
      <c r="G515" s="93"/>
      <c r="H515" s="50"/>
      <c r="I515" s="9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28.5" customHeight="1">
      <c r="A516" s="50"/>
      <c r="B516" s="93"/>
      <c r="C516" s="93"/>
      <c r="D516" s="93"/>
      <c r="E516" s="93"/>
      <c r="F516" s="93"/>
      <c r="G516" s="93"/>
      <c r="H516" s="50"/>
      <c r="I516" s="9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28.5" customHeight="1">
      <c r="A517" s="50"/>
      <c r="B517" s="93"/>
      <c r="C517" s="93"/>
      <c r="D517" s="93"/>
      <c r="E517" s="93"/>
      <c r="F517" s="93"/>
      <c r="G517" s="93"/>
      <c r="H517" s="50"/>
      <c r="I517" s="9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28.5" customHeight="1">
      <c r="A518" s="50"/>
      <c r="B518" s="93"/>
      <c r="C518" s="93"/>
      <c r="D518" s="93"/>
      <c r="E518" s="93"/>
      <c r="F518" s="93"/>
      <c r="G518" s="93"/>
      <c r="H518" s="50"/>
      <c r="I518" s="9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28.5" customHeight="1">
      <c r="A519" s="50"/>
      <c r="B519" s="93"/>
      <c r="C519" s="93"/>
      <c r="D519" s="93"/>
      <c r="E519" s="93"/>
      <c r="F519" s="93"/>
      <c r="G519" s="93"/>
      <c r="H519" s="50"/>
      <c r="I519" s="9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28.5" customHeight="1">
      <c r="A520" s="50"/>
      <c r="B520" s="93"/>
      <c r="C520" s="93"/>
      <c r="D520" s="93"/>
      <c r="E520" s="93"/>
      <c r="F520" s="93"/>
      <c r="G520" s="93"/>
      <c r="H520" s="50"/>
      <c r="I520" s="9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28.5" customHeight="1">
      <c r="A521" s="50"/>
      <c r="B521" s="93"/>
      <c r="C521" s="93"/>
      <c r="D521" s="93"/>
      <c r="E521" s="93"/>
      <c r="F521" s="93"/>
      <c r="G521" s="93"/>
      <c r="H521" s="50"/>
      <c r="I521" s="9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28.5" customHeight="1">
      <c r="A522" s="50"/>
      <c r="B522" s="93"/>
      <c r="C522" s="93"/>
      <c r="D522" s="93"/>
      <c r="E522" s="93"/>
      <c r="F522" s="93"/>
      <c r="G522" s="93"/>
      <c r="H522" s="50"/>
      <c r="I522" s="9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28.5" customHeight="1">
      <c r="A523" s="50"/>
      <c r="B523" s="93"/>
      <c r="C523" s="93"/>
      <c r="D523" s="93"/>
      <c r="E523" s="93"/>
      <c r="F523" s="93"/>
      <c r="G523" s="93"/>
      <c r="H523" s="50"/>
      <c r="I523" s="9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28.5" customHeight="1">
      <c r="A524" s="50"/>
      <c r="B524" s="93"/>
      <c r="C524" s="93"/>
      <c r="D524" s="93"/>
      <c r="E524" s="93"/>
      <c r="F524" s="93"/>
      <c r="G524" s="93"/>
      <c r="H524" s="50"/>
      <c r="I524" s="9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28.5" customHeight="1">
      <c r="A525" s="50"/>
      <c r="B525" s="93"/>
      <c r="C525" s="93"/>
      <c r="D525" s="93"/>
      <c r="E525" s="93"/>
      <c r="F525" s="93"/>
      <c r="G525" s="93"/>
      <c r="H525" s="50"/>
      <c r="I525" s="9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28.5" customHeight="1">
      <c r="A526" s="50"/>
      <c r="B526" s="93"/>
      <c r="C526" s="93"/>
      <c r="D526" s="93"/>
      <c r="E526" s="93"/>
      <c r="F526" s="93"/>
      <c r="G526" s="93"/>
      <c r="H526" s="50"/>
      <c r="I526" s="9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28.5" customHeight="1">
      <c r="A527" s="50"/>
      <c r="B527" s="93"/>
      <c r="C527" s="93"/>
      <c r="D527" s="93"/>
      <c r="E527" s="93"/>
      <c r="F527" s="93"/>
      <c r="G527" s="93"/>
      <c r="H527" s="50"/>
      <c r="I527" s="9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28.5" customHeight="1">
      <c r="A528" s="50"/>
      <c r="B528" s="93"/>
      <c r="C528" s="93"/>
      <c r="D528" s="93"/>
      <c r="E528" s="93"/>
      <c r="F528" s="93"/>
      <c r="G528" s="93"/>
      <c r="H528" s="50"/>
      <c r="I528" s="9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28.5" customHeight="1">
      <c r="A529" s="50"/>
      <c r="B529" s="93"/>
      <c r="C529" s="93"/>
      <c r="D529" s="93"/>
      <c r="E529" s="93"/>
      <c r="F529" s="93"/>
      <c r="G529" s="93"/>
      <c r="H529" s="50"/>
      <c r="I529" s="9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28.5" customHeight="1">
      <c r="A530" s="50"/>
      <c r="B530" s="93"/>
      <c r="C530" s="93"/>
      <c r="D530" s="93"/>
      <c r="E530" s="93"/>
      <c r="F530" s="93"/>
      <c r="G530" s="93"/>
      <c r="H530" s="50"/>
      <c r="I530" s="9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28.5" customHeight="1">
      <c r="A531" s="50"/>
      <c r="B531" s="93"/>
      <c r="C531" s="93"/>
      <c r="D531" s="93"/>
      <c r="E531" s="93"/>
      <c r="F531" s="93"/>
      <c r="G531" s="93"/>
      <c r="H531" s="50"/>
      <c r="I531" s="9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28.5" customHeight="1">
      <c r="A532" s="50"/>
      <c r="B532" s="93"/>
      <c r="C532" s="93"/>
      <c r="D532" s="93"/>
      <c r="E532" s="93"/>
      <c r="F532" s="93"/>
      <c r="G532" s="93"/>
      <c r="H532" s="50"/>
      <c r="I532" s="9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28.5" customHeight="1">
      <c r="A533" s="50"/>
      <c r="B533" s="93"/>
      <c r="C533" s="93"/>
      <c r="D533" s="93"/>
      <c r="E533" s="93"/>
      <c r="F533" s="93"/>
      <c r="G533" s="93"/>
      <c r="H533" s="50"/>
      <c r="I533" s="9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28.5" customHeight="1">
      <c r="A534" s="50"/>
      <c r="B534" s="93"/>
      <c r="C534" s="93"/>
      <c r="D534" s="93"/>
      <c r="E534" s="93"/>
      <c r="F534" s="93"/>
      <c r="G534" s="93"/>
      <c r="H534" s="50"/>
      <c r="I534" s="9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28.5" customHeight="1">
      <c r="A535" s="50"/>
      <c r="B535" s="93"/>
      <c r="C535" s="93"/>
      <c r="D535" s="93"/>
      <c r="E535" s="93"/>
      <c r="F535" s="93"/>
      <c r="G535" s="93"/>
      <c r="H535" s="50"/>
      <c r="I535" s="9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28.5" customHeight="1">
      <c r="A536" s="50"/>
      <c r="B536" s="93"/>
      <c r="C536" s="93"/>
      <c r="D536" s="93"/>
      <c r="E536" s="93"/>
      <c r="F536" s="93"/>
      <c r="G536" s="93"/>
      <c r="H536" s="50"/>
      <c r="I536" s="9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28.5" customHeight="1">
      <c r="A537" s="50"/>
      <c r="B537" s="93"/>
      <c r="C537" s="93"/>
      <c r="D537" s="93"/>
      <c r="E537" s="93"/>
      <c r="F537" s="93"/>
      <c r="G537" s="93"/>
      <c r="H537" s="50"/>
      <c r="I537" s="9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28.5" customHeight="1">
      <c r="A538" s="50"/>
      <c r="B538" s="93"/>
      <c r="C538" s="93"/>
      <c r="D538" s="93"/>
      <c r="E538" s="93"/>
      <c r="F538" s="93"/>
      <c r="G538" s="93"/>
      <c r="H538" s="50"/>
      <c r="I538" s="9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28.5" customHeight="1">
      <c r="A539" s="50"/>
      <c r="B539" s="93"/>
      <c r="C539" s="93"/>
      <c r="D539" s="93"/>
      <c r="E539" s="93"/>
      <c r="F539" s="93"/>
      <c r="G539" s="93"/>
      <c r="H539" s="50"/>
      <c r="I539" s="9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28.5" customHeight="1">
      <c r="A540" s="50"/>
      <c r="B540" s="93"/>
      <c r="C540" s="93"/>
      <c r="D540" s="93"/>
      <c r="E540" s="93"/>
      <c r="F540" s="93"/>
      <c r="G540" s="93"/>
      <c r="H540" s="50"/>
      <c r="I540" s="9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28.5" customHeight="1">
      <c r="A541" s="50"/>
      <c r="B541" s="93"/>
      <c r="C541" s="93"/>
      <c r="D541" s="93"/>
      <c r="E541" s="93"/>
      <c r="F541" s="93"/>
      <c r="G541" s="93"/>
      <c r="H541" s="50"/>
      <c r="I541" s="9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28.5" customHeight="1">
      <c r="A542" s="50"/>
      <c r="B542" s="93"/>
      <c r="C542" s="93"/>
      <c r="D542" s="93"/>
      <c r="E542" s="93"/>
      <c r="F542" s="93"/>
      <c r="G542" s="93"/>
      <c r="H542" s="50"/>
      <c r="I542" s="9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28.5" customHeight="1">
      <c r="A543" s="50"/>
      <c r="B543" s="93"/>
      <c r="C543" s="93"/>
      <c r="D543" s="93"/>
      <c r="E543" s="93"/>
      <c r="F543" s="93"/>
      <c r="G543" s="93"/>
      <c r="H543" s="50"/>
      <c r="I543" s="9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28.5" customHeight="1">
      <c r="A544" s="50"/>
      <c r="B544" s="93"/>
      <c r="C544" s="93"/>
      <c r="D544" s="93"/>
      <c r="E544" s="93"/>
      <c r="F544" s="93"/>
      <c r="G544" s="93"/>
      <c r="H544" s="50"/>
      <c r="I544" s="9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28.5" customHeight="1">
      <c r="A545" s="50"/>
      <c r="B545" s="93"/>
      <c r="C545" s="93"/>
      <c r="D545" s="93"/>
      <c r="E545" s="93"/>
      <c r="F545" s="93"/>
      <c r="G545" s="93"/>
      <c r="H545" s="50"/>
      <c r="I545" s="9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28.5" customHeight="1">
      <c r="A546" s="50"/>
      <c r="B546" s="93"/>
      <c r="C546" s="93"/>
      <c r="D546" s="93"/>
      <c r="E546" s="93"/>
      <c r="F546" s="93"/>
      <c r="G546" s="93"/>
      <c r="H546" s="50"/>
      <c r="I546" s="9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28.5" customHeight="1">
      <c r="A547" s="50"/>
      <c r="B547" s="93"/>
      <c r="C547" s="93"/>
      <c r="D547" s="93"/>
      <c r="E547" s="93"/>
      <c r="F547" s="93"/>
      <c r="G547" s="93"/>
      <c r="H547" s="50"/>
      <c r="I547" s="9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28.5" customHeight="1">
      <c r="A548" s="50"/>
      <c r="B548" s="93"/>
      <c r="C548" s="93"/>
      <c r="D548" s="93"/>
      <c r="E548" s="93"/>
      <c r="F548" s="93"/>
      <c r="G548" s="93"/>
      <c r="H548" s="50"/>
      <c r="I548" s="9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28.5" customHeight="1">
      <c r="A549" s="50"/>
      <c r="B549" s="93"/>
      <c r="C549" s="93"/>
      <c r="D549" s="93"/>
      <c r="E549" s="93"/>
      <c r="F549" s="93"/>
      <c r="G549" s="93"/>
      <c r="H549" s="50"/>
      <c r="I549" s="9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28.5" customHeight="1">
      <c r="A550" s="50"/>
      <c r="B550" s="93"/>
      <c r="C550" s="93"/>
      <c r="D550" s="93"/>
      <c r="E550" s="93"/>
      <c r="F550" s="93"/>
      <c r="G550" s="93"/>
      <c r="H550" s="50"/>
      <c r="I550" s="9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28.5" customHeight="1">
      <c r="A551" s="50"/>
      <c r="B551" s="93"/>
      <c r="C551" s="93"/>
      <c r="D551" s="93"/>
      <c r="E551" s="93"/>
      <c r="F551" s="93"/>
      <c r="G551" s="93"/>
      <c r="H551" s="50"/>
      <c r="I551" s="9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28.5" customHeight="1">
      <c r="A552" s="50"/>
      <c r="B552" s="93"/>
      <c r="C552" s="93"/>
      <c r="D552" s="93"/>
      <c r="E552" s="93"/>
      <c r="F552" s="93"/>
      <c r="G552" s="93"/>
      <c r="H552" s="50"/>
      <c r="I552" s="9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28.5" customHeight="1">
      <c r="A553" s="50"/>
      <c r="B553" s="93"/>
      <c r="C553" s="93"/>
      <c r="D553" s="93"/>
      <c r="E553" s="93"/>
      <c r="F553" s="93"/>
      <c r="G553" s="93"/>
      <c r="H553" s="50"/>
      <c r="I553" s="9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28.5" customHeight="1">
      <c r="A554" s="50"/>
      <c r="B554" s="93"/>
      <c r="C554" s="93"/>
      <c r="D554" s="93"/>
      <c r="E554" s="93"/>
      <c r="F554" s="93"/>
      <c r="G554" s="93"/>
      <c r="H554" s="50"/>
      <c r="I554" s="9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28.5" customHeight="1">
      <c r="A555" s="50"/>
      <c r="B555" s="93"/>
      <c r="C555" s="93"/>
      <c r="D555" s="93"/>
      <c r="E555" s="93"/>
      <c r="F555" s="93"/>
      <c r="G555" s="93"/>
      <c r="H555" s="50"/>
      <c r="I555" s="9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28.5" customHeight="1">
      <c r="A556" s="50"/>
      <c r="B556" s="93"/>
      <c r="C556" s="93"/>
      <c r="D556" s="93"/>
      <c r="E556" s="93"/>
      <c r="F556" s="93"/>
      <c r="G556" s="93"/>
      <c r="H556" s="50"/>
      <c r="I556" s="9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28.5" customHeight="1">
      <c r="A557" s="50"/>
      <c r="B557" s="93"/>
      <c r="C557" s="93"/>
      <c r="D557" s="93"/>
      <c r="E557" s="93"/>
      <c r="F557" s="93"/>
      <c r="G557" s="93"/>
      <c r="H557" s="50"/>
      <c r="I557" s="9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28.5" customHeight="1">
      <c r="A558" s="50"/>
      <c r="B558" s="93"/>
      <c r="C558" s="93"/>
      <c r="D558" s="93"/>
      <c r="E558" s="93"/>
      <c r="F558" s="93"/>
      <c r="G558" s="93"/>
      <c r="H558" s="50"/>
      <c r="I558" s="9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28.5" customHeight="1">
      <c r="A559" s="50"/>
      <c r="B559" s="93"/>
      <c r="C559" s="93"/>
      <c r="D559" s="93"/>
      <c r="E559" s="93"/>
      <c r="F559" s="93"/>
      <c r="G559" s="93"/>
      <c r="H559" s="50"/>
      <c r="I559" s="9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28.5" customHeight="1">
      <c r="A560" s="50"/>
      <c r="B560" s="93"/>
      <c r="C560" s="93"/>
      <c r="D560" s="93"/>
      <c r="E560" s="93"/>
      <c r="F560" s="93"/>
      <c r="G560" s="93"/>
      <c r="H560" s="50"/>
      <c r="I560" s="9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28.5" customHeight="1">
      <c r="A561" s="50"/>
      <c r="B561" s="93"/>
      <c r="C561" s="93"/>
      <c r="D561" s="93"/>
      <c r="E561" s="93"/>
      <c r="F561" s="93"/>
      <c r="G561" s="93"/>
      <c r="H561" s="50"/>
      <c r="I561" s="9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28.5" customHeight="1">
      <c r="A562" s="50"/>
      <c r="B562" s="93"/>
      <c r="C562" s="93"/>
      <c r="D562" s="93"/>
      <c r="E562" s="93"/>
      <c r="F562" s="93"/>
      <c r="G562" s="93"/>
      <c r="H562" s="50"/>
      <c r="I562" s="9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28.5" customHeight="1">
      <c r="A563" s="50"/>
      <c r="B563" s="93"/>
      <c r="C563" s="93"/>
      <c r="D563" s="93"/>
      <c r="E563" s="93"/>
      <c r="F563" s="93"/>
      <c r="G563" s="93"/>
      <c r="H563" s="50"/>
      <c r="I563" s="9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28.5" customHeight="1">
      <c r="A564" s="50"/>
      <c r="B564" s="93"/>
      <c r="C564" s="93"/>
      <c r="D564" s="93"/>
      <c r="E564" s="93"/>
      <c r="F564" s="93"/>
      <c r="G564" s="93"/>
      <c r="H564" s="50"/>
      <c r="I564" s="9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28.5" customHeight="1">
      <c r="A565" s="50"/>
      <c r="B565" s="93"/>
      <c r="C565" s="93"/>
      <c r="D565" s="93"/>
      <c r="E565" s="93"/>
      <c r="F565" s="93"/>
      <c r="G565" s="93"/>
      <c r="H565" s="50"/>
      <c r="I565" s="9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28.5" customHeight="1">
      <c r="A566" s="50"/>
      <c r="B566" s="93"/>
      <c r="C566" s="93"/>
      <c r="D566" s="93"/>
      <c r="E566" s="93"/>
      <c r="F566" s="93"/>
      <c r="G566" s="93"/>
      <c r="H566" s="50"/>
      <c r="I566" s="9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28.5" customHeight="1">
      <c r="A567" s="50"/>
      <c r="B567" s="93"/>
      <c r="C567" s="93"/>
      <c r="D567" s="93"/>
      <c r="E567" s="93"/>
      <c r="F567" s="93"/>
      <c r="G567" s="93"/>
      <c r="H567" s="50"/>
      <c r="I567" s="9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28.5" customHeight="1">
      <c r="A568" s="50"/>
      <c r="B568" s="93"/>
      <c r="C568" s="93"/>
      <c r="D568" s="93"/>
      <c r="E568" s="93"/>
      <c r="F568" s="93"/>
      <c r="G568" s="93"/>
      <c r="H568" s="50"/>
      <c r="I568" s="9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28.5" customHeight="1">
      <c r="A569" s="50"/>
      <c r="B569" s="93"/>
      <c r="C569" s="93"/>
      <c r="D569" s="93"/>
      <c r="E569" s="93"/>
      <c r="F569" s="93"/>
      <c r="G569" s="93"/>
      <c r="H569" s="50"/>
      <c r="I569" s="9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28.5" customHeight="1">
      <c r="A570" s="50"/>
      <c r="B570" s="93"/>
      <c r="C570" s="93"/>
      <c r="D570" s="93"/>
      <c r="E570" s="93"/>
      <c r="F570" s="93"/>
      <c r="G570" s="93"/>
      <c r="H570" s="50"/>
      <c r="I570" s="9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28.5" customHeight="1">
      <c r="A571" s="50"/>
      <c r="B571" s="93"/>
      <c r="C571" s="93"/>
      <c r="D571" s="93"/>
      <c r="E571" s="93"/>
      <c r="F571" s="93"/>
      <c r="G571" s="93"/>
      <c r="H571" s="50"/>
      <c r="I571" s="9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28.5" customHeight="1">
      <c r="A572" s="50"/>
      <c r="B572" s="93"/>
      <c r="C572" s="93"/>
      <c r="D572" s="93"/>
      <c r="E572" s="93"/>
      <c r="F572" s="93"/>
      <c r="G572" s="93"/>
      <c r="H572" s="50"/>
      <c r="I572" s="9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28.5" customHeight="1">
      <c r="A573" s="50"/>
      <c r="B573" s="93"/>
      <c r="C573" s="93"/>
      <c r="D573" s="93"/>
      <c r="E573" s="93"/>
      <c r="F573" s="93"/>
      <c r="G573" s="93"/>
      <c r="H573" s="50"/>
      <c r="I573" s="9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28.5" customHeight="1">
      <c r="A574" s="50"/>
      <c r="B574" s="93"/>
      <c r="C574" s="93"/>
      <c r="D574" s="93"/>
      <c r="E574" s="93"/>
      <c r="F574" s="93"/>
      <c r="G574" s="93"/>
      <c r="H574" s="50"/>
      <c r="I574" s="9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28.5" customHeight="1">
      <c r="A575" s="50"/>
      <c r="B575" s="93"/>
      <c r="C575" s="93"/>
      <c r="D575" s="93"/>
      <c r="E575" s="93"/>
      <c r="F575" s="93"/>
      <c r="G575" s="93"/>
      <c r="H575" s="50"/>
      <c r="I575" s="9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28.5" customHeight="1">
      <c r="A576" s="50"/>
      <c r="B576" s="93"/>
      <c r="C576" s="93"/>
      <c r="D576" s="93"/>
      <c r="E576" s="93"/>
      <c r="F576" s="93"/>
      <c r="G576" s="93"/>
      <c r="H576" s="50"/>
      <c r="I576" s="9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28.5" customHeight="1">
      <c r="A577" s="50"/>
      <c r="B577" s="93"/>
      <c r="C577" s="93"/>
      <c r="D577" s="93"/>
      <c r="E577" s="93"/>
      <c r="F577" s="93"/>
      <c r="G577" s="93"/>
      <c r="H577" s="50"/>
      <c r="I577" s="9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28.5" customHeight="1">
      <c r="A578" s="50"/>
      <c r="B578" s="93"/>
      <c r="C578" s="93"/>
      <c r="D578" s="93"/>
      <c r="E578" s="93"/>
      <c r="F578" s="93"/>
      <c r="G578" s="93"/>
      <c r="H578" s="50"/>
      <c r="I578" s="9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28.5" customHeight="1">
      <c r="A579" s="50"/>
      <c r="B579" s="93"/>
      <c r="C579" s="93"/>
      <c r="D579" s="93"/>
      <c r="E579" s="93"/>
      <c r="F579" s="93"/>
      <c r="G579" s="93"/>
      <c r="H579" s="50"/>
      <c r="I579" s="9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28.5" customHeight="1">
      <c r="A580" s="50"/>
      <c r="B580" s="93"/>
      <c r="C580" s="93"/>
      <c r="D580" s="93"/>
      <c r="E580" s="93"/>
      <c r="F580" s="93"/>
      <c r="G580" s="93"/>
      <c r="H580" s="50"/>
      <c r="I580" s="9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28.5" customHeight="1">
      <c r="A581" s="50"/>
      <c r="B581" s="93"/>
      <c r="C581" s="93"/>
      <c r="D581" s="93"/>
      <c r="E581" s="93"/>
      <c r="F581" s="93"/>
      <c r="G581" s="93"/>
      <c r="H581" s="50"/>
      <c r="I581" s="9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28.5" customHeight="1">
      <c r="A582" s="50"/>
      <c r="B582" s="93"/>
      <c r="C582" s="93"/>
      <c r="D582" s="93"/>
      <c r="E582" s="93"/>
      <c r="F582" s="93"/>
      <c r="G582" s="93"/>
      <c r="H582" s="50"/>
      <c r="I582" s="9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28.5" customHeight="1">
      <c r="A583" s="50"/>
      <c r="B583" s="93"/>
      <c r="C583" s="93"/>
      <c r="D583" s="93"/>
      <c r="E583" s="93"/>
      <c r="F583" s="93"/>
      <c r="G583" s="93"/>
      <c r="H583" s="50"/>
      <c r="I583" s="9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28.5" customHeight="1">
      <c r="A584" s="50"/>
      <c r="B584" s="93"/>
      <c r="C584" s="93"/>
      <c r="D584" s="93"/>
      <c r="E584" s="93"/>
      <c r="F584" s="93"/>
      <c r="G584" s="93"/>
      <c r="H584" s="50"/>
      <c r="I584" s="9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28.5" customHeight="1">
      <c r="A585" s="50"/>
      <c r="B585" s="93"/>
      <c r="C585" s="93"/>
      <c r="D585" s="93"/>
      <c r="E585" s="93"/>
      <c r="F585" s="93"/>
      <c r="G585" s="93"/>
      <c r="H585" s="50"/>
      <c r="I585" s="9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28.5" customHeight="1">
      <c r="A586" s="50"/>
      <c r="B586" s="93"/>
      <c r="C586" s="93"/>
      <c r="D586" s="93"/>
      <c r="E586" s="93"/>
      <c r="F586" s="93"/>
      <c r="G586" s="93"/>
      <c r="H586" s="50"/>
      <c r="I586" s="9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28.5" customHeight="1">
      <c r="A587" s="50"/>
      <c r="B587" s="93"/>
      <c r="C587" s="93"/>
      <c r="D587" s="93"/>
      <c r="E587" s="93"/>
      <c r="F587" s="93"/>
      <c r="G587" s="93"/>
      <c r="H587" s="50"/>
      <c r="I587" s="9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28.5" customHeight="1">
      <c r="A588" s="50"/>
      <c r="B588" s="93"/>
      <c r="C588" s="93"/>
      <c r="D588" s="93"/>
      <c r="E588" s="93"/>
      <c r="F588" s="93"/>
      <c r="G588" s="93"/>
      <c r="H588" s="50"/>
      <c r="I588" s="9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28.5" customHeight="1">
      <c r="A589" s="50"/>
      <c r="B589" s="93"/>
      <c r="C589" s="93"/>
      <c r="D589" s="93"/>
      <c r="E589" s="93"/>
      <c r="F589" s="93"/>
      <c r="G589" s="93"/>
      <c r="H589" s="50"/>
      <c r="I589" s="9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28.5" customHeight="1">
      <c r="A590" s="50"/>
      <c r="B590" s="93"/>
      <c r="C590" s="93"/>
      <c r="D590" s="93"/>
      <c r="E590" s="93"/>
      <c r="F590" s="93"/>
      <c r="G590" s="93"/>
      <c r="H590" s="50"/>
      <c r="I590" s="9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28.5" customHeight="1">
      <c r="A591" s="50"/>
      <c r="B591" s="93"/>
      <c r="C591" s="93"/>
      <c r="D591" s="93"/>
      <c r="E591" s="93"/>
      <c r="F591" s="93"/>
      <c r="G591" s="93"/>
      <c r="H591" s="50"/>
      <c r="I591" s="9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28.5" customHeight="1">
      <c r="A592" s="50"/>
      <c r="B592" s="93"/>
      <c r="C592" s="93"/>
      <c r="D592" s="93"/>
      <c r="E592" s="93"/>
      <c r="F592" s="93"/>
      <c r="G592" s="93"/>
      <c r="H592" s="50"/>
      <c r="I592" s="9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28.5" customHeight="1">
      <c r="A593" s="50"/>
      <c r="B593" s="93"/>
      <c r="C593" s="93"/>
      <c r="D593" s="93"/>
      <c r="E593" s="93"/>
      <c r="F593" s="93"/>
      <c r="G593" s="93"/>
      <c r="H593" s="50"/>
      <c r="I593" s="9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28.5" customHeight="1">
      <c r="A594" s="50"/>
      <c r="B594" s="93"/>
      <c r="C594" s="93"/>
      <c r="D594" s="93"/>
      <c r="E594" s="93"/>
      <c r="F594" s="93"/>
      <c r="G594" s="93"/>
      <c r="H594" s="50"/>
      <c r="I594" s="9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28.5" customHeight="1">
      <c r="A595" s="50"/>
      <c r="B595" s="93"/>
      <c r="C595" s="93"/>
      <c r="D595" s="93"/>
      <c r="E595" s="93"/>
      <c r="F595" s="93"/>
      <c r="G595" s="93"/>
      <c r="H595" s="50"/>
      <c r="I595" s="9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28.5" customHeight="1">
      <c r="A596" s="50"/>
      <c r="B596" s="93"/>
      <c r="C596" s="93"/>
      <c r="D596" s="93"/>
      <c r="E596" s="93"/>
      <c r="F596" s="93"/>
      <c r="G596" s="93"/>
      <c r="H596" s="50"/>
      <c r="I596" s="9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28.5" customHeight="1">
      <c r="A597" s="50"/>
      <c r="B597" s="93"/>
      <c r="C597" s="93"/>
      <c r="D597" s="93"/>
      <c r="E597" s="93"/>
      <c r="F597" s="93"/>
      <c r="G597" s="93"/>
      <c r="H597" s="50"/>
      <c r="I597" s="9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28.5" customHeight="1">
      <c r="A598" s="50"/>
      <c r="B598" s="93"/>
      <c r="C598" s="93"/>
      <c r="D598" s="93"/>
      <c r="E598" s="93"/>
      <c r="F598" s="93"/>
      <c r="G598" s="93"/>
      <c r="H598" s="50"/>
      <c r="I598" s="9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28.5" customHeight="1">
      <c r="A599" s="50"/>
      <c r="B599" s="93"/>
      <c r="C599" s="93"/>
      <c r="D599" s="93"/>
      <c r="E599" s="93"/>
      <c r="F599" s="93"/>
      <c r="G599" s="93"/>
      <c r="H599" s="50"/>
      <c r="I599" s="9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28.5" customHeight="1">
      <c r="A600" s="50"/>
      <c r="B600" s="93"/>
      <c r="C600" s="93"/>
      <c r="D600" s="93"/>
      <c r="E600" s="93"/>
      <c r="F600" s="93"/>
      <c r="G600" s="93"/>
      <c r="H600" s="50"/>
      <c r="I600" s="9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28.5" customHeight="1">
      <c r="A601" s="50"/>
      <c r="B601" s="93"/>
      <c r="C601" s="93"/>
      <c r="D601" s="93"/>
      <c r="E601" s="93"/>
      <c r="F601" s="93"/>
      <c r="G601" s="93"/>
      <c r="H601" s="50"/>
      <c r="I601" s="9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28.5" customHeight="1">
      <c r="A602" s="50"/>
      <c r="B602" s="93"/>
      <c r="C602" s="93"/>
      <c r="D602" s="93"/>
      <c r="E602" s="93"/>
      <c r="F602" s="93"/>
      <c r="G602" s="93"/>
      <c r="H602" s="50"/>
      <c r="I602" s="9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28.5" customHeight="1">
      <c r="A603" s="50"/>
      <c r="B603" s="93"/>
      <c r="C603" s="93"/>
      <c r="D603" s="93"/>
      <c r="E603" s="93"/>
      <c r="F603" s="93"/>
      <c r="G603" s="93"/>
      <c r="H603" s="50"/>
      <c r="I603" s="9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28.5" customHeight="1">
      <c r="A604" s="50"/>
      <c r="B604" s="93"/>
      <c r="C604" s="93"/>
      <c r="D604" s="93"/>
      <c r="E604" s="93"/>
      <c r="F604" s="93"/>
      <c r="G604" s="93"/>
      <c r="H604" s="50"/>
      <c r="I604" s="9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28.5" customHeight="1">
      <c r="A605" s="50"/>
      <c r="B605" s="93"/>
      <c r="C605" s="93"/>
      <c r="D605" s="93"/>
      <c r="E605" s="93"/>
      <c r="F605" s="93"/>
      <c r="G605" s="93"/>
      <c r="H605" s="50"/>
      <c r="I605" s="9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28.5" customHeight="1">
      <c r="A606" s="50"/>
      <c r="B606" s="93"/>
      <c r="C606" s="93"/>
      <c r="D606" s="93"/>
      <c r="E606" s="93"/>
      <c r="F606" s="93"/>
      <c r="G606" s="93"/>
      <c r="H606" s="50"/>
      <c r="I606" s="9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28.5" customHeight="1">
      <c r="A607" s="50"/>
      <c r="B607" s="93"/>
      <c r="C607" s="93"/>
      <c r="D607" s="93"/>
      <c r="E607" s="93"/>
      <c r="F607" s="93"/>
      <c r="G607" s="93"/>
      <c r="H607" s="50"/>
      <c r="I607" s="9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28.5" customHeight="1">
      <c r="A608" s="50"/>
      <c r="B608" s="93"/>
      <c r="C608" s="93"/>
      <c r="D608" s="93"/>
      <c r="E608" s="93"/>
      <c r="F608" s="93"/>
      <c r="G608" s="93"/>
      <c r="H608" s="50"/>
      <c r="I608" s="9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28.5" customHeight="1">
      <c r="A609" s="50"/>
      <c r="B609" s="93"/>
      <c r="C609" s="93"/>
      <c r="D609" s="93"/>
      <c r="E609" s="93"/>
      <c r="F609" s="93"/>
      <c r="G609" s="93"/>
      <c r="H609" s="50"/>
      <c r="I609" s="9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28.5" customHeight="1">
      <c r="A610" s="50"/>
      <c r="B610" s="93"/>
      <c r="C610" s="93"/>
      <c r="D610" s="93"/>
      <c r="E610" s="93"/>
      <c r="F610" s="93"/>
      <c r="G610" s="93"/>
      <c r="H610" s="50"/>
      <c r="I610" s="9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28.5" customHeight="1">
      <c r="A611" s="50"/>
      <c r="B611" s="93"/>
      <c r="C611" s="93"/>
      <c r="D611" s="93"/>
      <c r="E611" s="93"/>
      <c r="F611" s="93"/>
      <c r="G611" s="93"/>
      <c r="H611" s="50"/>
      <c r="I611" s="9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28.5" customHeight="1">
      <c r="A612" s="50"/>
      <c r="B612" s="93"/>
      <c r="C612" s="93"/>
      <c r="D612" s="93"/>
      <c r="E612" s="93"/>
      <c r="F612" s="93"/>
      <c r="G612" s="93"/>
      <c r="H612" s="50"/>
      <c r="I612" s="9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28.5" customHeight="1">
      <c r="A613" s="50"/>
      <c r="B613" s="93"/>
      <c r="C613" s="93"/>
      <c r="D613" s="93"/>
      <c r="E613" s="93"/>
      <c r="F613" s="93"/>
      <c r="G613" s="93"/>
      <c r="H613" s="50"/>
      <c r="I613" s="9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28.5" customHeight="1">
      <c r="A614" s="50"/>
      <c r="B614" s="93"/>
      <c r="C614" s="93"/>
      <c r="D614" s="93"/>
      <c r="E614" s="93"/>
      <c r="F614" s="93"/>
      <c r="G614" s="93"/>
      <c r="H614" s="50"/>
      <c r="I614" s="9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28.5" customHeight="1">
      <c r="A615" s="50"/>
      <c r="B615" s="93"/>
      <c r="C615" s="93"/>
      <c r="D615" s="93"/>
      <c r="E615" s="93"/>
      <c r="F615" s="93"/>
      <c r="G615" s="93"/>
      <c r="H615" s="50"/>
      <c r="I615" s="9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28.5" customHeight="1">
      <c r="A616" s="50"/>
      <c r="B616" s="93"/>
      <c r="C616" s="93"/>
      <c r="D616" s="93"/>
      <c r="E616" s="93"/>
      <c r="F616" s="93"/>
      <c r="G616" s="93"/>
      <c r="H616" s="50"/>
      <c r="I616" s="9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28.5" customHeight="1">
      <c r="A617" s="50"/>
      <c r="B617" s="93"/>
      <c r="C617" s="93"/>
      <c r="D617" s="93"/>
      <c r="E617" s="93"/>
      <c r="F617" s="93"/>
      <c r="G617" s="93"/>
      <c r="H617" s="50"/>
      <c r="I617" s="9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28.5" customHeight="1">
      <c r="A618" s="50"/>
      <c r="B618" s="93"/>
      <c r="C618" s="93"/>
      <c r="D618" s="93"/>
      <c r="E618" s="93"/>
      <c r="F618" s="93"/>
      <c r="G618" s="93"/>
      <c r="H618" s="50"/>
      <c r="I618" s="9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 ht="28.5" customHeight="1">
      <c r="A619" s="50"/>
      <c r="B619" s="93"/>
      <c r="C619" s="93"/>
      <c r="D619" s="93"/>
      <c r="E619" s="93"/>
      <c r="F619" s="93"/>
      <c r="G619" s="93"/>
      <c r="H619" s="50"/>
      <c r="I619" s="93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 ht="28.5" customHeight="1">
      <c r="A620" s="50"/>
      <c r="B620" s="93"/>
      <c r="C620" s="93"/>
      <c r="D620" s="93"/>
      <c r="E620" s="93"/>
      <c r="F620" s="93"/>
      <c r="G620" s="93"/>
      <c r="H620" s="50"/>
      <c r="I620" s="93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 ht="28.5" customHeight="1">
      <c r="A621" s="50"/>
      <c r="B621" s="93"/>
      <c r="C621" s="93"/>
      <c r="D621" s="93"/>
      <c r="E621" s="93"/>
      <c r="F621" s="93"/>
      <c r="G621" s="93"/>
      <c r="H621" s="50"/>
      <c r="I621" s="93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 ht="28.5" customHeight="1">
      <c r="A622" s="50"/>
      <c r="B622" s="93"/>
      <c r="C622" s="93"/>
      <c r="D622" s="93"/>
      <c r="E622" s="93"/>
      <c r="F622" s="93"/>
      <c r="G622" s="93"/>
      <c r="H622" s="50"/>
      <c r="I622" s="93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 ht="28.5" customHeight="1">
      <c r="A623" s="50"/>
      <c r="B623" s="93"/>
      <c r="C623" s="93"/>
      <c r="D623" s="93"/>
      <c r="E623" s="93"/>
      <c r="F623" s="93"/>
      <c r="G623" s="93"/>
      <c r="H623" s="50"/>
      <c r="I623" s="93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 ht="28.5" customHeight="1">
      <c r="A624" s="50"/>
      <c r="B624" s="93"/>
      <c r="C624" s="93"/>
      <c r="D624" s="93"/>
      <c r="E624" s="93"/>
      <c r="F624" s="93"/>
      <c r="G624" s="93"/>
      <c r="H624" s="50"/>
      <c r="I624" s="93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 ht="28.5" customHeight="1">
      <c r="A625" s="50"/>
      <c r="B625" s="93"/>
      <c r="C625" s="93"/>
      <c r="D625" s="93"/>
      <c r="E625" s="93"/>
      <c r="F625" s="93"/>
      <c r="G625" s="93"/>
      <c r="H625" s="50"/>
      <c r="I625" s="93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 ht="28.5" customHeight="1">
      <c r="A626" s="50"/>
      <c r="B626" s="93"/>
      <c r="C626" s="93"/>
      <c r="D626" s="93"/>
      <c r="E626" s="93"/>
      <c r="F626" s="93"/>
      <c r="G626" s="93"/>
      <c r="H626" s="50"/>
      <c r="I626" s="93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 ht="28.5" customHeight="1">
      <c r="A627" s="50"/>
      <c r="B627" s="93"/>
      <c r="C627" s="93"/>
      <c r="D627" s="93"/>
      <c r="E627" s="93"/>
      <c r="F627" s="93"/>
      <c r="G627" s="93"/>
      <c r="H627" s="50"/>
      <c r="I627" s="93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 ht="28.5" customHeight="1">
      <c r="A628" s="50"/>
      <c r="B628" s="93"/>
      <c r="C628" s="93"/>
      <c r="D628" s="93"/>
      <c r="E628" s="93"/>
      <c r="F628" s="93"/>
      <c r="G628" s="93"/>
      <c r="H628" s="50"/>
      <c r="I628" s="93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 ht="28.5" customHeight="1">
      <c r="A629" s="50"/>
      <c r="B629" s="93"/>
      <c r="C629" s="93"/>
      <c r="D629" s="93"/>
      <c r="E629" s="93"/>
      <c r="F629" s="93"/>
      <c r="G629" s="93"/>
      <c r="H629" s="50"/>
      <c r="I629" s="93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 ht="28.5" customHeight="1">
      <c r="A630" s="50"/>
      <c r="B630" s="93"/>
      <c r="C630" s="93"/>
      <c r="D630" s="93"/>
      <c r="E630" s="93"/>
      <c r="F630" s="93"/>
      <c r="G630" s="93"/>
      <c r="H630" s="50"/>
      <c r="I630" s="93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 ht="28.5" customHeight="1">
      <c r="A631" s="50"/>
      <c r="B631" s="93"/>
      <c r="C631" s="93"/>
      <c r="D631" s="93"/>
      <c r="E631" s="93"/>
      <c r="F631" s="93"/>
      <c r="G631" s="93"/>
      <c r="H631" s="50"/>
      <c r="I631" s="93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 ht="28.5" customHeight="1">
      <c r="A632" s="50"/>
      <c r="B632" s="93"/>
      <c r="C632" s="93"/>
      <c r="D632" s="93"/>
      <c r="E632" s="93"/>
      <c r="F632" s="93"/>
      <c r="G632" s="93"/>
      <c r="H632" s="50"/>
      <c r="I632" s="93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 ht="28.5" customHeight="1">
      <c r="A633" s="50"/>
      <c r="B633" s="93"/>
      <c r="C633" s="93"/>
      <c r="D633" s="93"/>
      <c r="E633" s="93"/>
      <c r="F633" s="93"/>
      <c r="G633" s="93"/>
      <c r="H633" s="50"/>
      <c r="I633" s="93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 ht="28.5" customHeight="1">
      <c r="A634" s="50"/>
      <c r="B634" s="93"/>
      <c r="C634" s="93"/>
      <c r="D634" s="93"/>
      <c r="E634" s="93"/>
      <c r="F634" s="93"/>
      <c r="G634" s="93"/>
      <c r="H634" s="50"/>
      <c r="I634" s="93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 ht="28.5" customHeight="1">
      <c r="A635" s="50"/>
      <c r="B635" s="93"/>
      <c r="C635" s="93"/>
      <c r="D635" s="93"/>
      <c r="E635" s="93"/>
      <c r="F635" s="93"/>
      <c r="G635" s="93"/>
      <c r="H635" s="50"/>
      <c r="I635" s="93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 ht="28.5" customHeight="1">
      <c r="A636" s="50"/>
      <c r="B636" s="93"/>
      <c r="C636" s="93"/>
      <c r="D636" s="93"/>
      <c r="E636" s="93"/>
      <c r="F636" s="93"/>
      <c r="G636" s="93"/>
      <c r="H636" s="50"/>
      <c r="I636" s="93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 ht="28.5" customHeight="1">
      <c r="A637" s="50"/>
      <c r="B637" s="93"/>
      <c r="C637" s="93"/>
      <c r="D637" s="93"/>
      <c r="E637" s="93"/>
      <c r="F637" s="93"/>
      <c r="G637" s="93"/>
      <c r="H637" s="50"/>
      <c r="I637" s="93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 ht="28.5" customHeight="1">
      <c r="A638" s="50"/>
      <c r="B638" s="93"/>
      <c r="C638" s="93"/>
      <c r="D638" s="93"/>
      <c r="E638" s="93"/>
      <c r="F638" s="93"/>
      <c r="G638" s="93"/>
      <c r="H638" s="50"/>
      <c r="I638" s="93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 ht="28.5" customHeight="1">
      <c r="A639" s="50"/>
      <c r="B639" s="93"/>
      <c r="C639" s="93"/>
      <c r="D639" s="93"/>
      <c r="E639" s="93"/>
      <c r="F639" s="93"/>
      <c r="G639" s="93"/>
      <c r="H639" s="50"/>
      <c r="I639" s="93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 ht="28.5" customHeight="1">
      <c r="A640" s="50"/>
      <c r="B640" s="93"/>
      <c r="C640" s="93"/>
      <c r="D640" s="93"/>
      <c r="E640" s="93"/>
      <c r="F640" s="93"/>
      <c r="G640" s="93"/>
      <c r="H640" s="50"/>
      <c r="I640" s="93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 ht="28.5" customHeight="1">
      <c r="A641" s="50"/>
      <c r="B641" s="93"/>
      <c r="C641" s="93"/>
      <c r="D641" s="93"/>
      <c r="E641" s="93"/>
      <c r="F641" s="93"/>
      <c r="G641" s="93"/>
      <c r="H641" s="50"/>
      <c r="I641" s="93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 ht="28.5" customHeight="1">
      <c r="A642" s="50"/>
      <c r="B642" s="93"/>
      <c r="C642" s="93"/>
      <c r="D642" s="93"/>
      <c r="E642" s="93"/>
      <c r="F642" s="93"/>
      <c r="G642" s="93"/>
      <c r="H642" s="50"/>
      <c r="I642" s="93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 ht="28.5" customHeight="1">
      <c r="A643" s="50"/>
      <c r="B643" s="93"/>
      <c r="C643" s="93"/>
      <c r="D643" s="93"/>
      <c r="E643" s="93"/>
      <c r="F643" s="93"/>
      <c r="G643" s="93"/>
      <c r="H643" s="50"/>
      <c r="I643" s="93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 ht="28.5" customHeight="1">
      <c r="A644" s="50"/>
      <c r="B644" s="93"/>
      <c r="C644" s="93"/>
      <c r="D644" s="93"/>
      <c r="E644" s="93"/>
      <c r="F644" s="93"/>
      <c r="G644" s="93"/>
      <c r="H644" s="50"/>
      <c r="I644" s="93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 ht="28.5" customHeight="1">
      <c r="A645" s="50"/>
      <c r="B645" s="93"/>
      <c r="C645" s="93"/>
      <c r="D645" s="93"/>
      <c r="E645" s="93"/>
      <c r="F645" s="93"/>
      <c r="G645" s="93"/>
      <c r="H645" s="50"/>
      <c r="I645" s="93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 ht="28.5" customHeight="1">
      <c r="A646" s="50"/>
      <c r="B646" s="93"/>
      <c r="C646" s="93"/>
      <c r="D646" s="93"/>
      <c r="E646" s="93"/>
      <c r="F646" s="93"/>
      <c r="G646" s="93"/>
      <c r="H646" s="50"/>
      <c r="I646" s="93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 ht="28.5" customHeight="1">
      <c r="A647" s="50"/>
      <c r="B647" s="93"/>
      <c r="C647" s="93"/>
      <c r="D647" s="93"/>
      <c r="E647" s="93"/>
      <c r="F647" s="93"/>
      <c r="G647" s="93"/>
      <c r="H647" s="50"/>
      <c r="I647" s="93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 ht="28.5" customHeight="1">
      <c r="A648" s="50"/>
      <c r="B648" s="93"/>
      <c r="C648" s="93"/>
      <c r="D648" s="93"/>
      <c r="E648" s="93"/>
      <c r="F648" s="93"/>
      <c r="G648" s="93"/>
      <c r="H648" s="50"/>
      <c r="I648" s="93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 ht="28.5" customHeight="1">
      <c r="A649" s="50"/>
      <c r="B649" s="93"/>
      <c r="C649" s="93"/>
      <c r="D649" s="93"/>
      <c r="E649" s="93"/>
      <c r="F649" s="93"/>
      <c r="G649" s="93"/>
      <c r="H649" s="50"/>
      <c r="I649" s="93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 ht="28.5" customHeight="1">
      <c r="A650" s="50"/>
      <c r="B650" s="93"/>
      <c r="C650" s="93"/>
      <c r="D650" s="93"/>
      <c r="E650" s="93"/>
      <c r="F650" s="93"/>
      <c r="G650" s="93"/>
      <c r="H650" s="50"/>
      <c r="I650" s="93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 ht="28.5" customHeight="1">
      <c r="A651" s="50"/>
      <c r="B651" s="93"/>
      <c r="C651" s="93"/>
      <c r="D651" s="93"/>
      <c r="E651" s="93"/>
      <c r="F651" s="93"/>
      <c r="G651" s="93"/>
      <c r="H651" s="50"/>
      <c r="I651" s="93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 ht="28.5" customHeight="1">
      <c r="A652" s="50"/>
      <c r="B652" s="93"/>
      <c r="C652" s="93"/>
      <c r="D652" s="93"/>
      <c r="E652" s="93"/>
      <c r="F652" s="93"/>
      <c r="G652" s="93"/>
      <c r="H652" s="50"/>
      <c r="I652" s="93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 ht="28.5" customHeight="1">
      <c r="A653" s="50"/>
      <c r="B653" s="93"/>
      <c r="C653" s="93"/>
      <c r="D653" s="93"/>
      <c r="E653" s="93"/>
      <c r="F653" s="93"/>
      <c r="G653" s="93"/>
      <c r="H653" s="50"/>
      <c r="I653" s="93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 ht="28.5" customHeight="1">
      <c r="A654" s="50"/>
      <c r="B654" s="93"/>
      <c r="C654" s="93"/>
      <c r="D654" s="93"/>
      <c r="E654" s="93"/>
      <c r="F654" s="93"/>
      <c r="G654" s="93"/>
      <c r="H654" s="50"/>
      <c r="I654" s="93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 ht="28.5" customHeight="1">
      <c r="A655" s="50"/>
      <c r="B655" s="93"/>
      <c r="C655" s="93"/>
      <c r="D655" s="93"/>
      <c r="E655" s="93"/>
      <c r="F655" s="93"/>
      <c r="G655" s="93"/>
      <c r="H655" s="50"/>
      <c r="I655" s="93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 ht="28.5" customHeight="1">
      <c r="A656" s="50"/>
      <c r="B656" s="93"/>
      <c r="C656" s="93"/>
      <c r="D656" s="93"/>
      <c r="E656" s="93"/>
      <c r="F656" s="93"/>
      <c r="G656" s="93"/>
      <c r="H656" s="50"/>
      <c r="I656" s="93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 ht="28.5" customHeight="1">
      <c r="A657" s="50"/>
      <c r="B657" s="93"/>
      <c r="C657" s="93"/>
      <c r="D657" s="93"/>
      <c r="E657" s="93"/>
      <c r="F657" s="93"/>
      <c r="G657" s="93"/>
      <c r="H657" s="50"/>
      <c r="I657" s="93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 ht="28.5" customHeight="1">
      <c r="A658" s="50"/>
      <c r="B658" s="93"/>
      <c r="C658" s="93"/>
      <c r="D658" s="93"/>
      <c r="E658" s="93"/>
      <c r="F658" s="93"/>
      <c r="G658" s="93"/>
      <c r="H658" s="50"/>
      <c r="I658" s="93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 ht="28.5" customHeight="1">
      <c r="A659" s="50"/>
      <c r="B659" s="93"/>
      <c r="C659" s="93"/>
      <c r="D659" s="93"/>
      <c r="E659" s="93"/>
      <c r="F659" s="93"/>
      <c r="G659" s="93"/>
      <c r="H659" s="50"/>
      <c r="I659" s="93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 ht="28.5" customHeight="1">
      <c r="A660" s="50"/>
      <c r="B660" s="93"/>
      <c r="C660" s="93"/>
      <c r="D660" s="93"/>
      <c r="E660" s="93"/>
      <c r="F660" s="93"/>
      <c r="G660" s="93"/>
      <c r="H660" s="50"/>
      <c r="I660" s="93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 ht="28.5" customHeight="1">
      <c r="A661" s="50"/>
      <c r="B661" s="93"/>
      <c r="C661" s="93"/>
      <c r="D661" s="93"/>
      <c r="E661" s="93"/>
      <c r="F661" s="93"/>
      <c r="G661" s="93"/>
      <c r="H661" s="50"/>
      <c r="I661" s="93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 ht="28.5" customHeight="1">
      <c r="A662" s="50"/>
      <c r="B662" s="93"/>
      <c r="C662" s="93"/>
      <c r="D662" s="93"/>
      <c r="E662" s="93"/>
      <c r="F662" s="93"/>
      <c r="G662" s="93"/>
      <c r="H662" s="50"/>
      <c r="I662" s="93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ht="28.5" customHeight="1">
      <c r="A663" s="50"/>
      <c r="B663" s="93"/>
      <c r="C663" s="93"/>
      <c r="D663" s="93"/>
      <c r="E663" s="93"/>
      <c r="F663" s="93"/>
      <c r="G663" s="93"/>
      <c r="H663" s="50"/>
      <c r="I663" s="93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 ht="28.5" customHeight="1">
      <c r="A664" s="50"/>
      <c r="B664" s="93"/>
      <c r="C664" s="93"/>
      <c r="D664" s="93"/>
      <c r="E664" s="93"/>
      <c r="F664" s="93"/>
      <c r="G664" s="93"/>
      <c r="H664" s="50"/>
      <c r="I664" s="93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 ht="28.5" customHeight="1">
      <c r="A665" s="50"/>
      <c r="B665" s="93"/>
      <c r="C665" s="93"/>
      <c r="D665" s="93"/>
      <c r="E665" s="93"/>
      <c r="F665" s="93"/>
      <c r="G665" s="93"/>
      <c r="H665" s="50"/>
      <c r="I665" s="93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ht="28.5" customHeight="1">
      <c r="A666" s="50"/>
      <c r="B666" s="93"/>
      <c r="C666" s="93"/>
      <c r="D666" s="93"/>
      <c r="E666" s="93"/>
      <c r="F666" s="93"/>
      <c r="G666" s="93"/>
      <c r="H666" s="50"/>
      <c r="I666" s="93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ht="28.5" customHeight="1">
      <c r="A667" s="50"/>
      <c r="B667" s="93"/>
      <c r="C667" s="93"/>
      <c r="D667" s="93"/>
      <c r="E667" s="93"/>
      <c r="F667" s="93"/>
      <c r="G667" s="93"/>
      <c r="H667" s="50"/>
      <c r="I667" s="93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 ht="28.5" customHeight="1">
      <c r="A668" s="50"/>
      <c r="B668" s="93"/>
      <c r="C668" s="93"/>
      <c r="D668" s="93"/>
      <c r="E668" s="93"/>
      <c r="F668" s="93"/>
      <c r="G668" s="93"/>
      <c r="H668" s="50"/>
      <c r="I668" s="93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 ht="28.5" customHeight="1">
      <c r="A669" s="50"/>
      <c r="B669" s="93"/>
      <c r="C669" s="93"/>
      <c r="D669" s="93"/>
      <c r="E669" s="93"/>
      <c r="F669" s="93"/>
      <c r="G669" s="93"/>
      <c r="H669" s="50"/>
      <c r="I669" s="93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 ht="28.5" customHeight="1">
      <c r="A670" s="50"/>
      <c r="B670" s="93"/>
      <c r="C670" s="93"/>
      <c r="D670" s="93"/>
      <c r="E670" s="93"/>
      <c r="F670" s="93"/>
      <c r="G670" s="93"/>
      <c r="H670" s="50"/>
      <c r="I670" s="93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 ht="28.5" customHeight="1">
      <c r="A671" s="50"/>
      <c r="B671" s="93"/>
      <c r="C671" s="93"/>
      <c r="D671" s="93"/>
      <c r="E671" s="93"/>
      <c r="F671" s="93"/>
      <c r="G671" s="93"/>
      <c r="H671" s="50"/>
      <c r="I671" s="93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 ht="28.5" customHeight="1">
      <c r="A672" s="50"/>
      <c r="B672" s="93"/>
      <c r="C672" s="93"/>
      <c r="D672" s="93"/>
      <c r="E672" s="93"/>
      <c r="F672" s="93"/>
      <c r="G672" s="93"/>
      <c r="H672" s="50"/>
      <c r="I672" s="93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 ht="28.5" customHeight="1">
      <c r="A673" s="50"/>
      <c r="B673" s="93"/>
      <c r="C673" s="93"/>
      <c r="D673" s="93"/>
      <c r="E673" s="93"/>
      <c r="F673" s="93"/>
      <c r="G673" s="93"/>
      <c r="H673" s="50"/>
      <c r="I673" s="93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 ht="28.5" customHeight="1">
      <c r="A674" s="50"/>
      <c r="B674" s="93"/>
      <c r="C674" s="93"/>
      <c r="D674" s="93"/>
      <c r="E674" s="93"/>
      <c r="F674" s="93"/>
      <c r="G674" s="93"/>
      <c r="H674" s="50"/>
      <c r="I674" s="93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 ht="28.5" customHeight="1">
      <c r="A675" s="50"/>
      <c r="B675" s="93"/>
      <c r="C675" s="93"/>
      <c r="D675" s="93"/>
      <c r="E675" s="93"/>
      <c r="F675" s="93"/>
      <c r="G675" s="93"/>
      <c r="H675" s="50"/>
      <c r="I675" s="93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 ht="28.5" customHeight="1">
      <c r="A676" s="50"/>
      <c r="B676" s="93"/>
      <c r="C676" s="93"/>
      <c r="D676" s="93"/>
      <c r="E676" s="93"/>
      <c r="F676" s="93"/>
      <c r="G676" s="93"/>
      <c r="H676" s="50"/>
      <c r="I676" s="93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 ht="28.5" customHeight="1">
      <c r="A677" s="50"/>
      <c r="B677" s="93"/>
      <c r="C677" s="93"/>
      <c r="D677" s="93"/>
      <c r="E677" s="93"/>
      <c r="F677" s="93"/>
      <c r="G677" s="93"/>
      <c r="H677" s="50"/>
      <c r="I677" s="93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 ht="28.5" customHeight="1">
      <c r="A678" s="50"/>
      <c r="B678" s="93"/>
      <c r="C678" s="93"/>
      <c r="D678" s="93"/>
      <c r="E678" s="93"/>
      <c r="F678" s="93"/>
      <c r="G678" s="93"/>
      <c r="H678" s="50"/>
      <c r="I678" s="93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 ht="28.5" customHeight="1">
      <c r="A679" s="50"/>
      <c r="B679" s="93"/>
      <c r="C679" s="93"/>
      <c r="D679" s="93"/>
      <c r="E679" s="93"/>
      <c r="F679" s="93"/>
      <c r="G679" s="93"/>
      <c r="H679" s="50"/>
      <c r="I679" s="93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 ht="28.5" customHeight="1">
      <c r="A680" s="50"/>
      <c r="B680" s="93"/>
      <c r="C680" s="93"/>
      <c r="D680" s="93"/>
      <c r="E680" s="93"/>
      <c r="F680" s="93"/>
      <c r="G680" s="93"/>
      <c r="H680" s="50"/>
      <c r="I680" s="93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 ht="28.5" customHeight="1">
      <c r="A681" s="50"/>
      <c r="B681" s="93"/>
      <c r="C681" s="93"/>
      <c r="D681" s="93"/>
      <c r="E681" s="93"/>
      <c r="F681" s="93"/>
      <c r="G681" s="93"/>
      <c r="H681" s="50"/>
      <c r="I681" s="93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 ht="28.5" customHeight="1">
      <c r="A682" s="50"/>
      <c r="B682" s="93"/>
      <c r="C682" s="93"/>
      <c r="D682" s="93"/>
      <c r="E682" s="93"/>
      <c r="F682" s="93"/>
      <c r="G682" s="93"/>
      <c r="H682" s="50"/>
      <c r="I682" s="93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 ht="28.5" customHeight="1">
      <c r="A683" s="50"/>
      <c r="B683" s="93"/>
      <c r="C683" s="93"/>
      <c r="D683" s="93"/>
      <c r="E683" s="93"/>
      <c r="F683" s="93"/>
      <c r="G683" s="93"/>
      <c r="H683" s="50"/>
      <c r="I683" s="93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 ht="28.5" customHeight="1">
      <c r="A684" s="50"/>
      <c r="B684" s="93"/>
      <c r="C684" s="93"/>
      <c r="D684" s="93"/>
      <c r="E684" s="93"/>
      <c r="F684" s="93"/>
      <c r="G684" s="93"/>
      <c r="H684" s="50"/>
      <c r="I684" s="93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 ht="28.5" customHeight="1">
      <c r="A685" s="50"/>
      <c r="B685" s="93"/>
      <c r="C685" s="93"/>
      <c r="D685" s="93"/>
      <c r="E685" s="93"/>
      <c r="F685" s="93"/>
      <c r="G685" s="93"/>
      <c r="H685" s="50"/>
      <c r="I685" s="93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 ht="28.5" customHeight="1">
      <c r="A686" s="50"/>
      <c r="B686" s="93"/>
      <c r="C686" s="93"/>
      <c r="D686" s="93"/>
      <c r="E686" s="93"/>
      <c r="F686" s="93"/>
      <c r="G686" s="93"/>
      <c r="H686" s="50"/>
      <c r="I686" s="93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 ht="28.5" customHeight="1">
      <c r="A687" s="50"/>
      <c r="B687" s="93"/>
      <c r="C687" s="93"/>
      <c r="D687" s="93"/>
      <c r="E687" s="93"/>
      <c r="F687" s="93"/>
      <c r="G687" s="93"/>
      <c r="H687" s="50"/>
      <c r="I687" s="93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 ht="28.5" customHeight="1">
      <c r="A688" s="50"/>
      <c r="B688" s="93"/>
      <c r="C688" s="93"/>
      <c r="D688" s="93"/>
      <c r="E688" s="93"/>
      <c r="F688" s="93"/>
      <c r="G688" s="93"/>
      <c r="H688" s="50"/>
      <c r="I688" s="93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 ht="28.5" customHeight="1">
      <c r="A689" s="50"/>
      <c r="B689" s="93"/>
      <c r="C689" s="93"/>
      <c r="D689" s="93"/>
      <c r="E689" s="93"/>
      <c r="F689" s="93"/>
      <c r="G689" s="93"/>
      <c r="H689" s="50"/>
      <c r="I689" s="93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 ht="28.5" customHeight="1">
      <c r="A690" s="50"/>
      <c r="B690" s="93"/>
      <c r="C690" s="93"/>
      <c r="D690" s="93"/>
      <c r="E690" s="93"/>
      <c r="F690" s="93"/>
      <c r="G690" s="93"/>
      <c r="H690" s="50"/>
      <c r="I690" s="93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 ht="28.5" customHeight="1">
      <c r="A691" s="50"/>
      <c r="B691" s="93"/>
      <c r="C691" s="93"/>
      <c r="D691" s="93"/>
      <c r="E691" s="93"/>
      <c r="F691" s="93"/>
      <c r="G691" s="93"/>
      <c r="H691" s="50"/>
      <c r="I691" s="93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 ht="28.5" customHeight="1">
      <c r="A692" s="50"/>
      <c r="B692" s="93"/>
      <c r="C692" s="93"/>
      <c r="D692" s="93"/>
      <c r="E692" s="93"/>
      <c r="F692" s="93"/>
      <c r="G692" s="93"/>
      <c r="H692" s="50"/>
      <c r="I692" s="93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 ht="28.5" customHeight="1">
      <c r="A693" s="50"/>
      <c r="B693" s="93"/>
      <c r="C693" s="93"/>
      <c r="D693" s="93"/>
      <c r="E693" s="93"/>
      <c r="F693" s="93"/>
      <c r="G693" s="93"/>
      <c r="H693" s="50"/>
      <c r="I693" s="93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 ht="28.5" customHeight="1">
      <c r="A694" s="50"/>
      <c r="B694" s="93"/>
      <c r="C694" s="93"/>
      <c r="D694" s="93"/>
      <c r="E694" s="93"/>
      <c r="F694" s="93"/>
      <c r="G694" s="93"/>
      <c r="H694" s="50"/>
      <c r="I694" s="93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 ht="28.5" customHeight="1">
      <c r="A695" s="50"/>
      <c r="B695" s="93"/>
      <c r="C695" s="93"/>
      <c r="D695" s="93"/>
      <c r="E695" s="93"/>
      <c r="F695" s="93"/>
      <c r="G695" s="93"/>
      <c r="H695" s="50"/>
      <c r="I695" s="93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 ht="28.5" customHeight="1">
      <c r="A696" s="50"/>
      <c r="B696" s="93"/>
      <c r="C696" s="93"/>
      <c r="D696" s="93"/>
      <c r="E696" s="93"/>
      <c r="F696" s="93"/>
      <c r="G696" s="93"/>
      <c r="H696" s="50"/>
      <c r="I696" s="93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 ht="28.5" customHeight="1">
      <c r="A697" s="50"/>
      <c r="B697" s="93"/>
      <c r="C697" s="93"/>
      <c r="D697" s="93"/>
      <c r="E697" s="93"/>
      <c r="F697" s="93"/>
      <c r="G697" s="93"/>
      <c r="H697" s="50"/>
      <c r="I697" s="93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 ht="28.5" customHeight="1">
      <c r="A698" s="50"/>
      <c r="B698" s="93"/>
      <c r="C698" s="93"/>
      <c r="D698" s="93"/>
      <c r="E698" s="93"/>
      <c r="F698" s="93"/>
      <c r="G698" s="93"/>
      <c r="H698" s="50"/>
      <c r="I698" s="93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 ht="28.5" customHeight="1">
      <c r="A699" s="50"/>
      <c r="B699" s="93"/>
      <c r="C699" s="93"/>
      <c r="D699" s="93"/>
      <c r="E699" s="93"/>
      <c r="F699" s="93"/>
      <c r="G699" s="93"/>
      <c r="H699" s="50"/>
      <c r="I699" s="93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 ht="28.5" customHeight="1">
      <c r="A700" s="50"/>
      <c r="B700" s="93"/>
      <c r="C700" s="93"/>
      <c r="D700" s="93"/>
      <c r="E700" s="93"/>
      <c r="F700" s="93"/>
      <c r="G700" s="93"/>
      <c r="H700" s="50"/>
      <c r="I700" s="93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 ht="28.5" customHeight="1">
      <c r="A701" s="50"/>
      <c r="B701" s="93"/>
      <c r="C701" s="93"/>
      <c r="D701" s="93"/>
      <c r="E701" s="93"/>
      <c r="F701" s="93"/>
      <c r="G701" s="93"/>
      <c r="H701" s="50"/>
      <c r="I701" s="93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 ht="28.5" customHeight="1">
      <c r="A702" s="50"/>
      <c r="B702" s="93"/>
      <c r="C702" s="93"/>
      <c r="D702" s="93"/>
      <c r="E702" s="93"/>
      <c r="F702" s="93"/>
      <c r="G702" s="93"/>
      <c r="H702" s="50"/>
      <c r="I702" s="93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 ht="28.5" customHeight="1">
      <c r="A703" s="50"/>
      <c r="B703" s="93"/>
      <c r="C703" s="93"/>
      <c r="D703" s="93"/>
      <c r="E703" s="93"/>
      <c r="F703" s="93"/>
      <c r="G703" s="93"/>
      <c r="H703" s="50"/>
      <c r="I703" s="93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 ht="28.5" customHeight="1">
      <c r="A704" s="50"/>
      <c r="B704" s="93"/>
      <c r="C704" s="93"/>
      <c r="D704" s="93"/>
      <c r="E704" s="93"/>
      <c r="F704" s="93"/>
      <c r="G704" s="93"/>
      <c r="H704" s="50"/>
      <c r="I704" s="93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 ht="28.5" customHeight="1">
      <c r="A705" s="50"/>
      <c r="B705" s="93"/>
      <c r="C705" s="93"/>
      <c r="D705" s="93"/>
      <c r="E705" s="93"/>
      <c r="F705" s="93"/>
      <c r="G705" s="93"/>
      <c r="H705" s="50"/>
      <c r="I705" s="93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 ht="28.5" customHeight="1">
      <c r="A706" s="50"/>
      <c r="B706" s="93"/>
      <c r="C706" s="93"/>
      <c r="D706" s="93"/>
      <c r="E706" s="93"/>
      <c r="F706" s="93"/>
      <c r="G706" s="93"/>
      <c r="H706" s="50"/>
      <c r="I706" s="93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 ht="28.5" customHeight="1">
      <c r="A707" s="50"/>
      <c r="B707" s="93"/>
      <c r="C707" s="93"/>
      <c r="D707" s="93"/>
      <c r="E707" s="93"/>
      <c r="F707" s="93"/>
      <c r="G707" s="93"/>
      <c r="H707" s="50"/>
      <c r="I707" s="93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 ht="28.5" customHeight="1">
      <c r="A708" s="50"/>
      <c r="B708" s="93"/>
      <c r="C708" s="93"/>
      <c r="D708" s="93"/>
      <c r="E708" s="93"/>
      <c r="F708" s="93"/>
      <c r="G708" s="93"/>
      <c r="H708" s="50"/>
      <c r="I708" s="93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 ht="28.5" customHeight="1">
      <c r="A709" s="50"/>
      <c r="B709" s="93"/>
      <c r="C709" s="93"/>
      <c r="D709" s="93"/>
      <c r="E709" s="93"/>
      <c r="F709" s="93"/>
      <c r="G709" s="93"/>
      <c r="H709" s="50"/>
      <c r="I709" s="93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 ht="28.5" customHeight="1">
      <c r="A710" s="50"/>
      <c r="B710" s="93"/>
      <c r="C710" s="93"/>
      <c r="D710" s="93"/>
      <c r="E710" s="93"/>
      <c r="F710" s="93"/>
      <c r="G710" s="93"/>
      <c r="H710" s="50"/>
      <c r="I710" s="93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 ht="28.5" customHeight="1">
      <c r="A711" s="50"/>
      <c r="B711" s="93"/>
      <c r="C711" s="93"/>
      <c r="D711" s="93"/>
      <c r="E711" s="93"/>
      <c r="F711" s="93"/>
      <c r="G711" s="93"/>
      <c r="H711" s="50"/>
      <c r="I711" s="93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 ht="28.5" customHeight="1">
      <c r="A712" s="50"/>
      <c r="B712" s="93"/>
      <c r="C712" s="93"/>
      <c r="D712" s="93"/>
      <c r="E712" s="93"/>
      <c r="F712" s="93"/>
      <c r="G712" s="93"/>
      <c r="H712" s="50"/>
      <c r="I712" s="93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 ht="28.5" customHeight="1">
      <c r="A713" s="50"/>
      <c r="B713" s="93"/>
      <c r="C713" s="93"/>
      <c r="D713" s="93"/>
      <c r="E713" s="93"/>
      <c r="F713" s="93"/>
      <c r="G713" s="93"/>
      <c r="H713" s="50"/>
      <c r="I713" s="93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 ht="28.5" customHeight="1">
      <c r="A714" s="50"/>
      <c r="B714" s="93"/>
      <c r="C714" s="93"/>
      <c r="D714" s="93"/>
      <c r="E714" s="93"/>
      <c r="F714" s="93"/>
      <c r="G714" s="93"/>
      <c r="H714" s="50"/>
      <c r="I714" s="93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 ht="28.5" customHeight="1">
      <c r="A715" s="50"/>
      <c r="B715" s="93"/>
      <c r="C715" s="93"/>
      <c r="D715" s="93"/>
      <c r="E715" s="93"/>
      <c r="F715" s="93"/>
      <c r="G715" s="93"/>
      <c r="H715" s="50"/>
      <c r="I715" s="93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 ht="28.5" customHeight="1">
      <c r="A716" s="50"/>
      <c r="B716" s="93"/>
      <c r="C716" s="93"/>
      <c r="D716" s="93"/>
      <c r="E716" s="93"/>
      <c r="F716" s="93"/>
      <c r="G716" s="93"/>
      <c r="H716" s="50"/>
      <c r="I716" s="93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 ht="28.5" customHeight="1">
      <c r="A717" s="50"/>
      <c r="B717" s="93"/>
      <c r="C717" s="93"/>
      <c r="D717" s="93"/>
      <c r="E717" s="93"/>
      <c r="F717" s="93"/>
      <c r="G717" s="93"/>
      <c r="H717" s="50"/>
      <c r="I717" s="93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 ht="28.5" customHeight="1">
      <c r="A718" s="50"/>
      <c r="B718" s="93"/>
      <c r="C718" s="93"/>
      <c r="D718" s="93"/>
      <c r="E718" s="93"/>
      <c r="F718" s="93"/>
      <c r="G718" s="93"/>
      <c r="H718" s="50"/>
      <c r="I718" s="93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 ht="28.5" customHeight="1">
      <c r="A719" s="50"/>
      <c r="B719" s="93"/>
      <c r="C719" s="93"/>
      <c r="D719" s="93"/>
      <c r="E719" s="93"/>
      <c r="F719" s="93"/>
      <c r="G719" s="93"/>
      <c r="H719" s="50"/>
      <c r="I719" s="93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 ht="28.5" customHeight="1">
      <c r="A720" s="50"/>
      <c r="B720" s="93"/>
      <c r="C720" s="93"/>
      <c r="D720" s="93"/>
      <c r="E720" s="93"/>
      <c r="F720" s="93"/>
      <c r="G720" s="93"/>
      <c r="H720" s="50"/>
      <c r="I720" s="93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 ht="28.5" customHeight="1">
      <c r="A721" s="50"/>
      <c r="B721" s="93"/>
      <c r="C721" s="93"/>
      <c r="D721" s="93"/>
      <c r="E721" s="93"/>
      <c r="F721" s="93"/>
      <c r="G721" s="93"/>
      <c r="H721" s="50"/>
      <c r="I721" s="93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 ht="28.5" customHeight="1">
      <c r="A722" s="50"/>
      <c r="B722" s="93"/>
      <c r="C722" s="93"/>
      <c r="D722" s="93"/>
      <c r="E722" s="93"/>
      <c r="F722" s="93"/>
      <c r="G722" s="93"/>
      <c r="H722" s="50"/>
      <c r="I722" s="93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 ht="28.5" customHeight="1">
      <c r="A723" s="50"/>
      <c r="B723" s="93"/>
      <c r="C723" s="93"/>
      <c r="D723" s="93"/>
      <c r="E723" s="93"/>
      <c r="F723" s="93"/>
      <c r="G723" s="93"/>
      <c r="H723" s="50"/>
      <c r="I723" s="93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 ht="28.5" customHeight="1">
      <c r="A724" s="50"/>
      <c r="B724" s="93"/>
      <c r="C724" s="93"/>
      <c r="D724" s="93"/>
      <c r="E724" s="93"/>
      <c r="F724" s="93"/>
      <c r="G724" s="93"/>
      <c r="H724" s="50"/>
      <c r="I724" s="93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 ht="28.5" customHeight="1">
      <c r="A725" s="50"/>
      <c r="B725" s="93"/>
      <c r="C725" s="93"/>
      <c r="D725" s="93"/>
      <c r="E725" s="93"/>
      <c r="F725" s="93"/>
      <c r="G725" s="93"/>
      <c r="H725" s="50"/>
      <c r="I725" s="93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 ht="28.5" customHeight="1">
      <c r="A726" s="50"/>
      <c r="B726" s="93"/>
      <c r="C726" s="93"/>
      <c r="D726" s="93"/>
      <c r="E726" s="93"/>
      <c r="F726" s="93"/>
      <c r="G726" s="93"/>
      <c r="H726" s="50"/>
      <c r="I726" s="93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 ht="28.5" customHeight="1">
      <c r="A727" s="50"/>
      <c r="B727" s="93"/>
      <c r="C727" s="93"/>
      <c r="D727" s="93"/>
      <c r="E727" s="93"/>
      <c r="F727" s="93"/>
      <c r="G727" s="93"/>
      <c r="H727" s="50"/>
      <c r="I727" s="93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 ht="28.5" customHeight="1">
      <c r="A728" s="50"/>
      <c r="B728" s="93"/>
      <c r="C728" s="93"/>
      <c r="D728" s="93"/>
      <c r="E728" s="93"/>
      <c r="F728" s="93"/>
      <c r="G728" s="93"/>
      <c r="H728" s="50"/>
      <c r="I728" s="93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 ht="28.5" customHeight="1">
      <c r="A729" s="50"/>
      <c r="B729" s="93"/>
      <c r="C729" s="93"/>
      <c r="D729" s="93"/>
      <c r="E729" s="93"/>
      <c r="F729" s="93"/>
      <c r="G729" s="93"/>
      <c r="H729" s="50"/>
      <c r="I729" s="93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 ht="28.5" customHeight="1">
      <c r="A730" s="50"/>
      <c r="B730" s="93"/>
      <c r="C730" s="93"/>
      <c r="D730" s="93"/>
      <c r="E730" s="93"/>
      <c r="F730" s="93"/>
      <c r="G730" s="93"/>
      <c r="H730" s="50"/>
      <c r="I730" s="93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 ht="28.5" customHeight="1">
      <c r="A731" s="50"/>
      <c r="B731" s="93"/>
      <c r="C731" s="93"/>
      <c r="D731" s="93"/>
      <c r="E731" s="93"/>
      <c r="F731" s="93"/>
      <c r="G731" s="93"/>
      <c r="H731" s="50"/>
      <c r="I731" s="93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 ht="28.5" customHeight="1">
      <c r="A732" s="50"/>
      <c r="B732" s="93"/>
      <c r="C732" s="93"/>
      <c r="D732" s="93"/>
      <c r="E732" s="93"/>
      <c r="F732" s="93"/>
      <c r="G732" s="93"/>
      <c r="H732" s="50"/>
      <c r="I732" s="93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 ht="28.5" customHeight="1">
      <c r="A733" s="50"/>
      <c r="B733" s="93"/>
      <c r="C733" s="93"/>
      <c r="D733" s="93"/>
      <c r="E733" s="93"/>
      <c r="F733" s="93"/>
      <c r="G733" s="93"/>
      <c r="H733" s="50"/>
      <c r="I733" s="93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ht="28.5" customHeight="1">
      <c r="A734" s="50"/>
      <c r="B734" s="93"/>
      <c r="C734" s="93"/>
      <c r="D734" s="93"/>
      <c r="E734" s="93"/>
      <c r="F734" s="93"/>
      <c r="G734" s="93"/>
      <c r="H734" s="50"/>
      <c r="I734" s="93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 ht="28.5" customHeight="1">
      <c r="A735" s="50"/>
      <c r="B735" s="93"/>
      <c r="C735" s="93"/>
      <c r="D735" s="93"/>
      <c r="E735" s="93"/>
      <c r="F735" s="93"/>
      <c r="G735" s="93"/>
      <c r="H735" s="50"/>
      <c r="I735" s="93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 ht="28.5" customHeight="1">
      <c r="A736" s="50"/>
      <c r="B736" s="93"/>
      <c r="C736" s="93"/>
      <c r="D736" s="93"/>
      <c r="E736" s="93"/>
      <c r="F736" s="93"/>
      <c r="G736" s="93"/>
      <c r="H736" s="50"/>
      <c r="I736" s="93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 ht="28.5" customHeight="1">
      <c r="A737" s="50"/>
      <c r="B737" s="93"/>
      <c r="C737" s="93"/>
      <c r="D737" s="93"/>
      <c r="E737" s="93"/>
      <c r="F737" s="93"/>
      <c r="G737" s="93"/>
      <c r="H737" s="50"/>
      <c r="I737" s="93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 ht="28.5" customHeight="1">
      <c r="A738" s="50"/>
      <c r="B738" s="93"/>
      <c r="C738" s="93"/>
      <c r="D738" s="93"/>
      <c r="E738" s="93"/>
      <c r="F738" s="93"/>
      <c r="G738" s="93"/>
      <c r="H738" s="50"/>
      <c r="I738" s="93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ht="28.5" customHeight="1">
      <c r="A739" s="50"/>
      <c r="B739" s="93"/>
      <c r="C739" s="93"/>
      <c r="D739" s="93"/>
      <c r="E739" s="93"/>
      <c r="F739" s="93"/>
      <c r="G739" s="93"/>
      <c r="H739" s="50"/>
      <c r="I739" s="93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ht="28.5" customHeight="1">
      <c r="A740" s="50"/>
      <c r="B740" s="93"/>
      <c r="C740" s="93"/>
      <c r="D740" s="93"/>
      <c r="E740" s="93"/>
      <c r="F740" s="93"/>
      <c r="G740" s="93"/>
      <c r="H740" s="50"/>
      <c r="I740" s="93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 ht="28.5" customHeight="1">
      <c r="A741" s="50"/>
      <c r="B741" s="93"/>
      <c r="C741" s="93"/>
      <c r="D741" s="93"/>
      <c r="E741" s="93"/>
      <c r="F741" s="93"/>
      <c r="G741" s="93"/>
      <c r="H741" s="50"/>
      <c r="I741" s="93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 ht="28.5" customHeight="1">
      <c r="A742" s="50"/>
      <c r="B742" s="93"/>
      <c r="C742" s="93"/>
      <c r="D742" s="93"/>
      <c r="E742" s="93"/>
      <c r="F742" s="93"/>
      <c r="G742" s="93"/>
      <c r="H742" s="50"/>
      <c r="I742" s="93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 ht="28.5" customHeight="1">
      <c r="A743" s="50"/>
      <c r="B743" s="93"/>
      <c r="C743" s="93"/>
      <c r="D743" s="93"/>
      <c r="E743" s="93"/>
      <c r="F743" s="93"/>
      <c r="G743" s="93"/>
      <c r="H743" s="50"/>
      <c r="I743" s="93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 ht="28.5" customHeight="1">
      <c r="A744" s="50"/>
      <c r="B744" s="93"/>
      <c r="C744" s="93"/>
      <c r="D744" s="93"/>
      <c r="E744" s="93"/>
      <c r="F744" s="93"/>
      <c r="G744" s="93"/>
      <c r="H744" s="50"/>
      <c r="I744" s="93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 ht="28.5" customHeight="1">
      <c r="A745" s="50"/>
      <c r="B745" s="93"/>
      <c r="C745" s="93"/>
      <c r="D745" s="93"/>
      <c r="E745" s="93"/>
      <c r="F745" s="93"/>
      <c r="G745" s="93"/>
      <c r="H745" s="50"/>
      <c r="I745" s="93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 ht="28.5" customHeight="1">
      <c r="A746" s="50"/>
      <c r="B746" s="93"/>
      <c r="C746" s="93"/>
      <c r="D746" s="93"/>
      <c r="E746" s="93"/>
      <c r="F746" s="93"/>
      <c r="G746" s="93"/>
      <c r="H746" s="50"/>
      <c r="I746" s="93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 ht="28.5" customHeight="1">
      <c r="A747" s="50"/>
      <c r="B747" s="93"/>
      <c r="C747" s="93"/>
      <c r="D747" s="93"/>
      <c r="E747" s="93"/>
      <c r="F747" s="93"/>
      <c r="G747" s="93"/>
      <c r="H747" s="50"/>
      <c r="I747" s="93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 ht="28.5" customHeight="1">
      <c r="A748" s="50"/>
      <c r="B748" s="93"/>
      <c r="C748" s="93"/>
      <c r="D748" s="93"/>
      <c r="E748" s="93"/>
      <c r="F748" s="93"/>
      <c r="G748" s="93"/>
      <c r="H748" s="50"/>
      <c r="I748" s="93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 ht="28.5" customHeight="1">
      <c r="A749" s="50"/>
      <c r="B749" s="93"/>
      <c r="C749" s="93"/>
      <c r="D749" s="93"/>
      <c r="E749" s="93"/>
      <c r="F749" s="93"/>
      <c r="G749" s="93"/>
      <c r="H749" s="50"/>
      <c r="I749" s="93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 ht="28.5" customHeight="1">
      <c r="A750" s="50"/>
      <c r="B750" s="93"/>
      <c r="C750" s="93"/>
      <c r="D750" s="93"/>
      <c r="E750" s="93"/>
      <c r="F750" s="93"/>
      <c r="G750" s="93"/>
      <c r="H750" s="50"/>
      <c r="I750" s="93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 ht="28.5" customHeight="1">
      <c r="A751" s="50"/>
      <c r="B751" s="93"/>
      <c r="C751" s="93"/>
      <c r="D751" s="93"/>
      <c r="E751" s="93"/>
      <c r="F751" s="93"/>
      <c r="G751" s="93"/>
      <c r="H751" s="50"/>
      <c r="I751" s="93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 ht="28.5" customHeight="1">
      <c r="A752" s="50"/>
      <c r="B752" s="93"/>
      <c r="C752" s="93"/>
      <c r="D752" s="93"/>
      <c r="E752" s="93"/>
      <c r="F752" s="93"/>
      <c r="G752" s="93"/>
      <c r="H752" s="50"/>
      <c r="I752" s="93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 ht="28.5" customHeight="1">
      <c r="A753" s="50"/>
      <c r="B753" s="93"/>
      <c r="C753" s="93"/>
      <c r="D753" s="93"/>
      <c r="E753" s="93"/>
      <c r="F753" s="93"/>
      <c r="G753" s="93"/>
      <c r="H753" s="50"/>
      <c r="I753" s="93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 ht="28.5" customHeight="1">
      <c r="A754" s="50"/>
      <c r="B754" s="93"/>
      <c r="C754" s="93"/>
      <c r="D754" s="93"/>
      <c r="E754" s="93"/>
      <c r="F754" s="93"/>
      <c r="G754" s="93"/>
      <c r="H754" s="50"/>
      <c r="I754" s="93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 ht="28.5" customHeight="1">
      <c r="A755" s="50"/>
      <c r="B755" s="93"/>
      <c r="C755" s="93"/>
      <c r="D755" s="93"/>
      <c r="E755" s="93"/>
      <c r="F755" s="93"/>
      <c r="G755" s="93"/>
      <c r="H755" s="50"/>
      <c r="I755" s="93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 ht="28.5" customHeight="1">
      <c r="A756" s="50"/>
      <c r="B756" s="93"/>
      <c r="C756" s="93"/>
      <c r="D756" s="93"/>
      <c r="E756" s="93"/>
      <c r="F756" s="93"/>
      <c r="G756" s="93"/>
      <c r="H756" s="50"/>
      <c r="I756" s="93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 ht="28.5" customHeight="1">
      <c r="A757" s="50"/>
      <c r="B757" s="93"/>
      <c r="C757" s="93"/>
      <c r="D757" s="93"/>
      <c r="E757" s="93"/>
      <c r="F757" s="93"/>
      <c r="G757" s="93"/>
      <c r="H757" s="50"/>
      <c r="I757" s="93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 ht="28.5" customHeight="1">
      <c r="A758" s="50"/>
      <c r="B758" s="93"/>
      <c r="C758" s="93"/>
      <c r="D758" s="93"/>
      <c r="E758" s="93"/>
      <c r="F758" s="93"/>
      <c r="G758" s="93"/>
      <c r="H758" s="50"/>
      <c r="I758" s="93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 ht="28.5" customHeight="1">
      <c r="A759" s="50"/>
      <c r="B759" s="93"/>
      <c r="C759" s="93"/>
      <c r="D759" s="93"/>
      <c r="E759" s="93"/>
      <c r="F759" s="93"/>
      <c r="G759" s="93"/>
      <c r="H759" s="50"/>
      <c r="I759" s="93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 ht="28.5" customHeight="1">
      <c r="A760" s="50"/>
      <c r="B760" s="93"/>
      <c r="C760" s="93"/>
      <c r="D760" s="93"/>
      <c r="E760" s="93"/>
      <c r="F760" s="93"/>
      <c r="G760" s="93"/>
      <c r="H760" s="50"/>
      <c r="I760" s="93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 ht="28.5" customHeight="1">
      <c r="A761" s="50"/>
      <c r="B761" s="93"/>
      <c r="C761" s="93"/>
      <c r="D761" s="93"/>
      <c r="E761" s="93"/>
      <c r="F761" s="93"/>
      <c r="G761" s="93"/>
      <c r="H761" s="50"/>
      <c r="I761" s="93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 ht="28.5" customHeight="1">
      <c r="A762" s="50"/>
      <c r="B762" s="93"/>
      <c r="C762" s="93"/>
      <c r="D762" s="93"/>
      <c r="E762" s="93"/>
      <c r="F762" s="93"/>
      <c r="G762" s="93"/>
      <c r="H762" s="50"/>
      <c r="I762" s="93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 ht="28.5" customHeight="1">
      <c r="A763" s="50"/>
      <c r="B763" s="93"/>
      <c r="C763" s="93"/>
      <c r="D763" s="93"/>
      <c r="E763" s="93"/>
      <c r="F763" s="93"/>
      <c r="G763" s="93"/>
      <c r="H763" s="50"/>
      <c r="I763" s="93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 ht="28.5" customHeight="1">
      <c r="A764" s="50"/>
      <c r="B764" s="93"/>
      <c r="C764" s="93"/>
      <c r="D764" s="93"/>
      <c r="E764" s="93"/>
      <c r="F764" s="93"/>
      <c r="G764" s="93"/>
      <c r="H764" s="50"/>
      <c r="I764" s="93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 ht="28.5" customHeight="1">
      <c r="A765" s="50"/>
      <c r="B765" s="93"/>
      <c r="C765" s="93"/>
      <c r="D765" s="93"/>
      <c r="E765" s="93"/>
      <c r="F765" s="93"/>
      <c r="G765" s="93"/>
      <c r="H765" s="50"/>
      <c r="I765" s="93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 ht="28.5" customHeight="1">
      <c r="A766" s="50"/>
      <c r="B766" s="93"/>
      <c r="C766" s="93"/>
      <c r="D766" s="93"/>
      <c r="E766" s="93"/>
      <c r="F766" s="93"/>
      <c r="G766" s="93"/>
      <c r="H766" s="50"/>
      <c r="I766" s="93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 ht="28.5" customHeight="1">
      <c r="A767" s="50"/>
      <c r="B767" s="93"/>
      <c r="C767" s="93"/>
      <c r="D767" s="93"/>
      <c r="E767" s="93"/>
      <c r="F767" s="93"/>
      <c r="G767" s="93"/>
      <c r="H767" s="50"/>
      <c r="I767" s="93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 ht="28.5" customHeight="1">
      <c r="A768" s="50"/>
      <c r="B768" s="93"/>
      <c r="C768" s="93"/>
      <c r="D768" s="93"/>
      <c r="E768" s="93"/>
      <c r="F768" s="93"/>
      <c r="G768" s="93"/>
      <c r="H768" s="50"/>
      <c r="I768" s="93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 ht="28.5" customHeight="1">
      <c r="A769" s="50"/>
      <c r="B769" s="93"/>
      <c r="C769" s="93"/>
      <c r="D769" s="93"/>
      <c r="E769" s="93"/>
      <c r="F769" s="93"/>
      <c r="G769" s="93"/>
      <c r="H769" s="50"/>
      <c r="I769" s="93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 ht="28.5" customHeight="1">
      <c r="A770" s="50"/>
      <c r="B770" s="93"/>
      <c r="C770" s="93"/>
      <c r="D770" s="93"/>
      <c r="E770" s="93"/>
      <c r="F770" s="93"/>
      <c r="G770" s="93"/>
      <c r="H770" s="50"/>
      <c r="I770" s="93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 ht="28.5" customHeight="1">
      <c r="A771" s="50"/>
      <c r="B771" s="93"/>
      <c r="C771" s="93"/>
      <c r="D771" s="93"/>
      <c r="E771" s="93"/>
      <c r="F771" s="93"/>
      <c r="G771" s="93"/>
      <c r="H771" s="50"/>
      <c r="I771" s="93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 ht="28.5" customHeight="1">
      <c r="A772" s="50"/>
      <c r="B772" s="93"/>
      <c r="C772" s="93"/>
      <c r="D772" s="93"/>
      <c r="E772" s="93"/>
      <c r="F772" s="93"/>
      <c r="G772" s="93"/>
      <c r="H772" s="50"/>
      <c r="I772" s="93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 ht="28.5" customHeight="1">
      <c r="A773" s="50"/>
      <c r="B773" s="93"/>
      <c r="C773" s="93"/>
      <c r="D773" s="93"/>
      <c r="E773" s="93"/>
      <c r="F773" s="93"/>
      <c r="G773" s="93"/>
      <c r="H773" s="50"/>
      <c r="I773" s="93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 ht="28.5" customHeight="1">
      <c r="A774" s="50"/>
      <c r="B774" s="93"/>
      <c r="C774" s="93"/>
      <c r="D774" s="93"/>
      <c r="E774" s="93"/>
      <c r="F774" s="93"/>
      <c r="G774" s="93"/>
      <c r="H774" s="50"/>
      <c r="I774" s="93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 ht="28.5" customHeight="1">
      <c r="A775" s="50"/>
      <c r="B775" s="93"/>
      <c r="C775" s="93"/>
      <c r="D775" s="93"/>
      <c r="E775" s="93"/>
      <c r="F775" s="93"/>
      <c r="G775" s="93"/>
      <c r="H775" s="50"/>
      <c r="I775" s="93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 ht="28.5" customHeight="1">
      <c r="A776" s="50"/>
      <c r="B776" s="93"/>
      <c r="C776" s="93"/>
      <c r="D776" s="93"/>
      <c r="E776" s="93"/>
      <c r="F776" s="93"/>
      <c r="G776" s="93"/>
      <c r="H776" s="50"/>
      <c r="I776" s="93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 ht="28.5" customHeight="1">
      <c r="A777" s="50"/>
      <c r="B777" s="93"/>
      <c r="C777" s="93"/>
      <c r="D777" s="93"/>
      <c r="E777" s="93"/>
      <c r="F777" s="93"/>
      <c r="G777" s="93"/>
      <c r="H777" s="50"/>
      <c r="I777" s="93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 ht="28.5" customHeight="1">
      <c r="A778" s="50"/>
      <c r="B778" s="93"/>
      <c r="C778" s="93"/>
      <c r="D778" s="93"/>
      <c r="E778" s="93"/>
      <c r="F778" s="93"/>
      <c r="G778" s="93"/>
      <c r="H778" s="50"/>
      <c r="I778" s="93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 ht="28.5" customHeight="1">
      <c r="A779" s="50"/>
      <c r="B779" s="93"/>
      <c r="C779" s="93"/>
      <c r="D779" s="93"/>
      <c r="E779" s="93"/>
      <c r="F779" s="93"/>
      <c r="G779" s="93"/>
      <c r="H779" s="50"/>
      <c r="I779" s="93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 ht="28.5" customHeight="1">
      <c r="A780" s="50"/>
      <c r="B780" s="93"/>
      <c r="C780" s="93"/>
      <c r="D780" s="93"/>
      <c r="E780" s="93"/>
      <c r="F780" s="93"/>
      <c r="G780" s="93"/>
      <c r="H780" s="50"/>
      <c r="I780" s="93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 ht="28.5" customHeight="1">
      <c r="A781" s="50"/>
      <c r="B781" s="93"/>
      <c r="C781" s="93"/>
      <c r="D781" s="93"/>
      <c r="E781" s="93"/>
      <c r="F781" s="93"/>
      <c r="G781" s="93"/>
      <c r="H781" s="50"/>
      <c r="I781" s="93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 ht="28.5" customHeight="1">
      <c r="A782" s="50"/>
      <c r="B782" s="93"/>
      <c r="C782" s="93"/>
      <c r="D782" s="93"/>
      <c r="E782" s="93"/>
      <c r="F782" s="93"/>
      <c r="G782" s="93"/>
      <c r="H782" s="50"/>
      <c r="I782" s="93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 ht="28.5" customHeight="1">
      <c r="A783" s="50"/>
      <c r="B783" s="93"/>
      <c r="C783" s="93"/>
      <c r="D783" s="93"/>
      <c r="E783" s="93"/>
      <c r="F783" s="93"/>
      <c r="G783" s="93"/>
      <c r="H783" s="50"/>
      <c r="I783" s="93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 ht="28.5" customHeight="1">
      <c r="A784" s="50"/>
      <c r="B784" s="93"/>
      <c r="C784" s="93"/>
      <c r="D784" s="93"/>
      <c r="E784" s="93"/>
      <c r="F784" s="93"/>
      <c r="G784" s="93"/>
      <c r="H784" s="50"/>
      <c r="I784" s="93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 ht="28.5" customHeight="1">
      <c r="A785" s="50"/>
      <c r="B785" s="93"/>
      <c r="C785" s="93"/>
      <c r="D785" s="93"/>
      <c r="E785" s="93"/>
      <c r="F785" s="93"/>
      <c r="G785" s="93"/>
      <c r="H785" s="50"/>
      <c r="I785" s="93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 ht="28.5" customHeight="1">
      <c r="A786" s="50"/>
      <c r="B786" s="93"/>
      <c r="C786" s="93"/>
      <c r="D786" s="93"/>
      <c r="E786" s="93"/>
      <c r="F786" s="93"/>
      <c r="G786" s="93"/>
      <c r="H786" s="50"/>
      <c r="I786" s="93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 ht="28.5" customHeight="1">
      <c r="A787" s="50"/>
      <c r="B787" s="93"/>
      <c r="C787" s="93"/>
      <c r="D787" s="93"/>
      <c r="E787" s="93"/>
      <c r="F787" s="93"/>
      <c r="G787" s="93"/>
      <c r="H787" s="50"/>
      <c r="I787" s="93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 ht="28.5" customHeight="1">
      <c r="A788" s="50"/>
      <c r="B788" s="93"/>
      <c r="C788" s="93"/>
      <c r="D788" s="93"/>
      <c r="E788" s="93"/>
      <c r="F788" s="93"/>
      <c r="G788" s="93"/>
      <c r="H788" s="50"/>
      <c r="I788" s="93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 ht="28.5" customHeight="1">
      <c r="A789" s="50"/>
      <c r="B789" s="93"/>
      <c r="C789" s="93"/>
      <c r="D789" s="93"/>
      <c r="E789" s="93"/>
      <c r="F789" s="93"/>
      <c r="G789" s="93"/>
      <c r="H789" s="50"/>
      <c r="I789" s="93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 ht="28.5" customHeight="1">
      <c r="A790" s="50"/>
      <c r="B790" s="93"/>
      <c r="C790" s="93"/>
      <c r="D790" s="93"/>
      <c r="E790" s="93"/>
      <c r="F790" s="93"/>
      <c r="G790" s="93"/>
      <c r="H790" s="50"/>
      <c r="I790" s="93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 ht="28.5" customHeight="1">
      <c r="A791" s="50"/>
      <c r="B791" s="93"/>
      <c r="C791" s="93"/>
      <c r="D791" s="93"/>
      <c r="E791" s="93"/>
      <c r="F791" s="93"/>
      <c r="G791" s="93"/>
      <c r="H791" s="50"/>
      <c r="I791" s="93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 ht="28.5" customHeight="1">
      <c r="A792" s="50"/>
      <c r="B792" s="93"/>
      <c r="C792" s="93"/>
      <c r="D792" s="93"/>
      <c r="E792" s="93"/>
      <c r="F792" s="93"/>
      <c r="G792" s="93"/>
      <c r="H792" s="50"/>
      <c r="I792" s="93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 ht="28.5" customHeight="1">
      <c r="A793" s="50"/>
      <c r="B793" s="93"/>
      <c r="C793" s="93"/>
      <c r="D793" s="93"/>
      <c r="E793" s="93"/>
      <c r="F793" s="93"/>
      <c r="G793" s="93"/>
      <c r="H793" s="50"/>
      <c r="I793" s="93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 ht="28.5" customHeight="1">
      <c r="A794" s="50"/>
      <c r="B794" s="93"/>
      <c r="C794" s="93"/>
      <c r="D794" s="93"/>
      <c r="E794" s="93"/>
      <c r="F794" s="93"/>
      <c r="G794" s="93"/>
      <c r="H794" s="50"/>
      <c r="I794" s="93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 ht="28.5" customHeight="1">
      <c r="A795" s="50"/>
      <c r="B795" s="93"/>
      <c r="C795" s="93"/>
      <c r="D795" s="93"/>
      <c r="E795" s="93"/>
      <c r="F795" s="93"/>
      <c r="G795" s="93"/>
      <c r="H795" s="50"/>
      <c r="I795" s="93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 ht="28.5" customHeight="1">
      <c r="A796" s="50"/>
      <c r="B796" s="93"/>
      <c r="C796" s="93"/>
      <c r="D796" s="93"/>
      <c r="E796" s="93"/>
      <c r="F796" s="93"/>
      <c r="G796" s="93"/>
      <c r="H796" s="50"/>
      <c r="I796" s="93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 ht="28.5" customHeight="1">
      <c r="A797" s="50"/>
      <c r="B797" s="93"/>
      <c r="C797" s="93"/>
      <c r="D797" s="93"/>
      <c r="E797" s="93"/>
      <c r="F797" s="93"/>
      <c r="G797" s="93"/>
      <c r="H797" s="50"/>
      <c r="I797" s="93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 ht="28.5" customHeight="1">
      <c r="A798" s="50"/>
      <c r="B798" s="93"/>
      <c r="C798" s="93"/>
      <c r="D798" s="93"/>
      <c r="E798" s="93"/>
      <c r="F798" s="93"/>
      <c r="G798" s="93"/>
      <c r="H798" s="50"/>
      <c r="I798" s="93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 ht="28.5" customHeight="1">
      <c r="A799" s="50"/>
      <c r="B799" s="93"/>
      <c r="C799" s="93"/>
      <c r="D799" s="93"/>
      <c r="E799" s="93"/>
      <c r="F799" s="93"/>
      <c r="G799" s="93"/>
      <c r="H799" s="50"/>
      <c r="I799" s="93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ht="28.5" customHeight="1">
      <c r="A800" s="50"/>
      <c r="B800" s="93"/>
      <c r="C800" s="93"/>
      <c r="D800" s="93"/>
      <c r="E800" s="93"/>
      <c r="F800" s="93"/>
      <c r="G800" s="93"/>
      <c r="H800" s="50"/>
      <c r="I800" s="93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 ht="28.5" customHeight="1">
      <c r="A801" s="50"/>
      <c r="B801" s="93"/>
      <c r="C801" s="93"/>
      <c r="D801" s="93"/>
      <c r="E801" s="93"/>
      <c r="F801" s="93"/>
      <c r="G801" s="93"/>
      <c r="H801" s="50"/>
      <c r="I801" s="93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 ht="28.5" customHeight="1">
      <c r="A802" s="50"/>
      <c r="B802" s="93"/>
      <c r="C802" s="93"/>
      <c r="D802" s="93"/>
      <c r="E802" s="93"/>
      <c r="F802" s="93"/>
      <c r="G802" s="93"/>
      <c r="H802" s="50"/>
      <c r="I802" s="93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ht="28.5" customHeight="1">
      <c r="A803" s="50"/>
      <c r="B803" s="93"/>
      <c r="C803" s="93"/>
      <c r="D803" s="93"/>
      <c r="E803" s="93"/>
      <c r="F803" s="93"/>
      <c r="G803" s="93"/>
      <c r="H803" s="50"/>
      <c r="I803" s="93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ht="28.5" customHeight="1">
      <c r="A804" s="50"/>
      <c r="B804" s="93"/>
      <c r="C804" s="93"/>
      <c r="D804" s="93"/>
      <c r="E804" s="93"/>
      <c r="F804" s="93"/>
      <c r="G804" s="93"/>
      <c r="H804" s="50"/>
      <c r="I804" s="93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ht="28.5" customHeight="1">
      <c r="A805" s="50"/>
      <c r="B805" s="93"/>
      <c r="C805" s="93"/>
      <c r="D805" s="93"/>
      <c r="E805" s="93"/>
      <c r="F805" s="93"/>
      <c r="G805" s="93"/>
      <c r="H805" s="50"/>
      <c r="I805" s="93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 ht="28.5" customHeight="1">
      <c r="A806" s="50"/>
      <c r="B806" s="93"/>
      <c r="C806" s="93"/>
      <c r="D806" s="93"/>
      <c r="E806" s="93"/>
      <c r="F806" s="93"/>
      <c r="G806" s="93"/>
      <c r="H806" s="50"/>
      <c r="I806" s="93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 ht="28.5" customHeight="1">
      <c r="A807" s="50"/>
      <c r="B807" s="93"/>
      <c r="C807" s="93"/>
      <c r="D807" s="93"/>
      <c r="E807" s="93"/>
      <c r="F807" s="93"/>
      <c r="G807" s="93"/>
      <c r="H807" s="50"/>
      <c r="I807" s="93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 ht="28.5" customHeight="1">
      <c r="A808" s="50"/>
      <c r="B808" s="93"/>
      <c r="C808" s="93"/>
      <c r="D808" s="93"/>
      <c r="E808" s="93"/>
      <c r="F808" s="93"/>
      <c r="G808" s="93"/>
      <c r="H808" s="50"/>
      <c r="I808" s="93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 ht="28.5" customHeight="1">
      <c r="A809" s="50"/>
      <c r="B809" s="93"/>
      <c r="C809" s="93"/>
      <c r="D809" s="93"/>
      <c r="E809" s="93"/>
      <c r="F809" s="93"/>
      <c r="G809" s="93"/>
      <c r="H809" s="50"/>
      <c r="I809" s="93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 ht="28.5" customHeight="1">
      <c r="A810" s="50"/>
      <c r="B810" s="93"/>
      <c r="C810" s="93"/>
      <c r="D810" s="93"/>
      <c r="E810" s="93"/>
      <c r="F810" s="93"/>
      <c r="G810" s="93"/>
      <c r="H810" s="50"/>
      <c r="I810" s="93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 ht="28.5" customHeight="1">
      <c r="A811" s="50"/>
      <c r="B811" s="93"/>
      <c r="C811" s="93"/>
      <c r="D811" s="93"/>
      <c r="E811" s="93"/>
      <c r="F811" s="93"/>
      <c r="G811" s="93"/>
      <c r="H811" s="50"/>
      <c r="I811" s="93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 ht="28.5" customHeight="1">
      <c r="A812" s="50"/>
      <c r="B812" s="93"/>
      <c r="C812" s="93"/>
      <c r="D812" s="93"/>
      <c r="E812" s="93"/>
      <c r="F812" s="93"/>
      <c r="G812" s="93"/>
      <c r="H812" s="50"/>
      <c r="I812" s="93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 ht="28.5" customHeight="1">
      <c r="A813" s="50"/>
      <c r="B813" s="93"/>
      <c r="C813" s="93"/>
      <c r="D813" s="93"/>
      <c r="E813" s="93"/>
      <c r="F813" s="93"/>
      <c r="G813" s="93"/>
      <c r="H813" s="50"/>
      <c r="I813" s="93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 ht="28.5" customHeight="1">
      <c r="A814" s="50"/>
      <c r="B814" s="93"/>
      <c r="C814" s="93"/>
      <c r="D814" s="93"/>
      <c r="E814" s="93"/>
      <c r="F814" s="93"/>
      <c r="G814" s="93"/>
      <c r="H814" s="50"/>
      <c r="I814" s="93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 ht="28.5" customHeight="1">
      <c r="A815" s="50"/>
      <c r="B815" s="93"/>
      <c r="C815" s="93"/>
      <c r="D815" s="93"/>
      <c r="E815" s="93"/>
      <c r="F815" s="93"/>
      <c r="G815" s="93"/>
      <c r="H815" s="50"/>
      <c r="I815" s="93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 ht="28.5" customHeight="1">
      <c r="A816" s="50"/>
      <c r="B816" s="93"/>
      <c r="C816" s="93"/>
      <c r="D816" s="93"/>
      <c r="E816" s="93"/>
      <c r="F816" s="93"/>
      <c r="G816" s="93"/>
      <c r="H816" s="50"/>
      <c r="I816" s="93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 ht="28.5" customHeight="1">
      <c r="A817" s="50"/>
      <c r="B817" s="93"/>
      <c r="C817" s="93"/>
      <c r="D817" s="93"/>
      <c r="E817" s="93"/>
      <c r="F817" s="93"/>
      <c r="G817" s="93"/>
      <c r="H817" s="50"/>
      <c r="I817" s="93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 ht="28.5" customHeight="1">
      <c r="A818" s="50"/>
      <c r="B818" s="93"/>
      <c r="C818" s="93"/>
      <c r="D818" s="93"/>
      <c r="E818" s="93"/>
      <c r="F818" s="93"/>
      <c r="G818" s="93"/>
      <c r="H818" s="50"/>
      <c r="I818" s="93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 ht="28.5" customHeight="1">
      <c r="A819" s="50"/>
      <c r="B819" s="93"/>
      <c r="C819" s="93"/>
      <c r="D819" s="93"/>
      <c r="E819" s="93"/>
      <c r="F819" s="93"/>
      <c r="G819" s="93"/>
      <c r="H819" s="50"/>
      <c r="I819" s="93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 ht="28.5" customHeight="1">
      <c r="A820" s="50"/>
      <c r="B820" s="93"/>
      <c r="C820" s="93"/>
      <c r="D820" s="93"/>
      <c r="E820" s="93"/>
      <c r="F820" s="93"/>
      <c r="G820" s="93"/>
      <c r="H820" s="50"/>
      <c r="I820" s="93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 ht="28.5" customHeight="1">
      <c r="A821" s="50"/>
      <c r="B821" s="93"/>
      <c r="C821" s="93"/>
      <c r="D821" s="93"/>
      <c r="E821" s="93"/>
      <c r="F821" s="93"/>
      <c r="G821" s="93"/>
      <c r="H821" s="50"/>
      <c r="I821" s="93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 ht="28.5" customHeight="1">
      <c r="A822" s="50"/>
      <c r="B822" s="93"/>
      <c r="C822" s="93"/>
      <c r="D822" s="93"/>
      <c r="E822" s="93"/>
      <c r="F822" s="93"/>
      <c r="G822" s="93"/>
      <c r="H822" s="50"/>
      <c r="I822" s="93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 ht="28.5" customHeight="1">
      <c r="A823" s="50"/>
      <c r="B823" s="93"/>
      <c r="C823" s="93"/>
      <c r="D823" s="93"/>
      <c r="E823" s="93"/>
      <c r="F823" s="93"/>
      <c r="G823" s="93"/>
      <c r="H823" s="50"/>
      <c r="I823" s="93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 ht="28.5" customHeight="1">
      <c r="A824" s="50"/>
      <c r="B824" s="93"/>
      <c r="C824" s="93"/>
      <c r="D824" s="93"/>
      <c r="E824" s="93"/>
      <c r="F824" s="93"/>
      <c r="G824" s="93"/>
      <c r="H824" s="50"/>
      <c r="I824" s="93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 ht="28.5" customHeight="1">
      <c r="A825" s="50"/>
      <c r="B825" s="93"/>
      <c r="C825" s="93"/>
      <c r="D825" s="93"/>
      <c r="E825" s="93"/>
      <c r="F825" s="93"/>
      <c r="G825" s="93"/>
      <c r="H825" s="50"/>
      <c r="I825" s="93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 ht="28.5" customHeight="1">
      <c r="A826" s="50"/>
      <c r="B826" s="93"/>
      <c r="C826" s="93"/>
      <c r="D826" s="93"/>
      <c r="E826" s="93"/>
      <c r="F826" s="93"/>
      <c r="G826" s="93"/>
      <c r="H826" s="50"/>
      <c r="I826" s="93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 ht="28.5" customHeight="1">
      <c r="A827" s="50"/>
      <c r="B827" s="93"/>
      <c r="C827" s="93"/>
      <c r="D827" s="93"/>
      <c r="E827" s="93"/>
      <c r="F827" s="93"/>
      <c r="G827" s="93"/>
      <c r="H827" s="50"/>
      <c r="I827" s="93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 ht="28.5" customHeight="1">
      <c r="A828" s="50"/>
      <c r="B828" s="93"/>
      <c r="C828" s="93"/>
      <c r="D828" s="93"/>
      <c r="E828" s="93"/>
      <c r="F828" s="93"/>
      <c r="G828" s="93"/>
      <c r="H828" s="50"/>
      <c r="I828" s="93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 ht="28.5" customHeight="1">
      <c r="A829" s="50"/>
      <c r="B829" s="93"/>
      <c r="C829" s="93"/>
      <c r="D829" s="93"/>
      <c r="E829" s="93"/>
      <c r="F829" s="93"/>
      <c r="G829" s="93"/>
      <c r="H829" s="50"/>
      <c r="I829" s="93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 ht="28.5" customHeight="1">
      <c r="A830" s="50"/>
      <c r="B830" s="93"/>
      <c r="C830" s="93"/>
      <c r="D830" s="93"/>
      <c r="E830" s="93"/>
      <c r="F830" s="93"/>
      <c r="G830" s="93"/>
      <c r="H830" s="50"/>
      <c r="I830" s="93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 ht="28.5" customHeight="1">
      <c r="A831" s="50"/>
      <c r="B831" s="93"/>
      <c r="C831" s="93"/>
      <c r="D831" s="93"/>
      <c r="E831" s="93"/>
      <c r="F831" s="93"/>
      <c r="G831" s="93"/>
      <c r="H831" s="50"/>
      <c r="I831" s="93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 ht="28.5" customHeight="1">
      <c r="A832" s="50"/>
      <c r="B832" s="93"/>
      <c r="C832" s="93"/>
      <c r="D832" s="93"/>
      <c r="E832" s="93"/>
      <c r="F832" s="93"/>
      <c r="G832" s="93"/>
      <c r="H832" s="50"/>
      <c r="I832" s="93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 ht="28.5" customHeight="1">
      <c r="A833" s="50"/>
      <c r="B833" s="93"/>
      <c r="C833" s="93"/>
      <c r="D833" s="93"/>
      <c r="E833" s="93"/>
      <c r="F833" s="93"/>
      <c r="G833" s="93"/>
      <c r="H833" s="50"/>
      <c r="I833" s="93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 ht="28.5" customHeight="1">
      <c r="A834" s="50"/>
      <c r="B834" s="93"/>
      <c r="C834" s="93"/>
      <c r="D834" s="93"/>
      <c r="E834" s="93"/>
      <c r="F834" s="93"/>
      <c r="G834" s="93"/>
      <c r="H834" s="50"/>
      <c r="I834" s="93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 ht="28.5" customHeight="1">
      <c r="A835" s="50"/>
      <c r="B835" s="93"/>
      <c r="C835" s="93"/>
      <c r="D835" s="93"/>
      <c r="E835" s="93"/>
      <c r="F835" s="93"/>
      <c r="G835" s="93"/>
      <c r="H835" s="50"/>
      <c r="I835" s="93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 ht="28.5" customHeight="1">
      <c r="A836" s="50"/>
      <c r="B836" s="93"/>
      <c r="C836" s="93"/>
      <c r="D836" s="93"/>
      <c r="E836" s="93"/>
      <c r="F836" s="93"/>
      <c r="G836" s="93"/>
      <c r="H836" s="50"/>
      <c r="I836" s="93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 ht="28.5" customHeight="1">
      <c r="A837" s="50"/>
      <c r="B837" s="93"/>
      <c r="C837" s="93"/>
      <c r="D837" s="93"/>
      <c r="E837" s="93"/>
      <c r="F837" s="93"/>
      <c r="G837" s="93"/>
      <c r="H837" s="50"/>
      <c r="I837" s="93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 ht="28.5" customHeight="1">
      <c r="A838" s="50"/>
      <c r="B838" s="93"/>
      <c r="C838" s="93"/>
      <c r="D838" s="93"/>
      <c r="E838" s="93"/>
      <c r="F838" s="93"/>
      <c r="G838" s="93"/>
      <c r="H838" s="50"/>
      <c r="I838" s="93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 ht="28.5" customHeight="1">
      <c r="A839" s="50"/>
      <c r="B839" s="93"/>
      <c r="C839" s="93"/>
      <c r="D839" s="93"/>
      <c r="E839" s="93"/>
      <c r="F839" s="93"/>
      <c r="G839" s="93"/>
      <c r="H839" s="50"/>
      <c r="I839" s="93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 ht="28.5" customHeight="1">
      <c r="A840" s="50"/>
      <c r="B840" s="93"/>
      <c r="C840" s="93"/>
      <c r="D840" s="93"/>
      <c r="E840" s="93"/>
      <c r="F840" s="93"/>
      <c r="G840" s="93"/>
      <c r="H840" s="50"/>
      <c r="I840" s="93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 ht="28.5" customHeight="1">
      <c r="A841" s="50"/>
      <c r="B841" s="93"/>
      <c r="C841" s="93"/>
      <c r="D841" s="93"/>
      <c r="E841" s="93"/>
      <c r="F841" s="93"/>
      <c r="G841" s="93"/>
      <c r="H841" s="50"/>
      <c r="I841" s="93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 ht="28.5" customHeight="1">
      <c r="A842" s="50"/>
      <c r="B842" s="93"/>
      <c r="C842" s="93"/>
      <c r="D842" s="93"/>
      <c r="E842" s="93"/>
      <c r="F842" s="93"/>
      <c r="G842" s="93"/>
      <c r="H842" s="50"/>
      <c r="I842" s="93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 ht="28.5" customHeight="1">
      <c r="A843" s="50"/>
      <c r="B843" s="93"/>
      <c r="C843" s="93"/>
      <c r="D843" s="93"/>
      <c r="E843" s="93"/>
      <c r="F843" s="93"/>
      <c r="G843" s="93"/>
      <c r="H843" s="50"/>
      <c r="I843" s="93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 ht="28.5" customHeight="1">
      <c r="A844" s="50"/>
      <c r="B844" s="93"/>
      <c r="C844" s="93"/>
      <c r="D844" s="93"/>
      <c r="E844" s="93"/>
      <c r="F844" s="93"/>
      <c r="G844" s="93"/>
      <c r="H844" s="50"/>
      <c r="I844" s="93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 ht="28.5" customHeight="1">
      <c r="A845" s="50"/>
      <c r="B845" s="93"/>
      <c r="C845" s="93"/>
      <c r="D845" s="93"/>
      <c r="E845" s="93"/>
      <c r="F845" s="93"/>
      <c r="G845" s="93"/>
      <c r="H845" s="50"/>
      <c r="I845" s="93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 ht="28.5" customHeight="1">
      <c r="A846" s="50"/>
      <c r="B846" s="93"/>
      <c r="C846" s="93"/>
      <c r="D846" s="93"/>
      <c r="E846" s="93"/>
      <c r="F846" s="93"/>
      <c r="G846" s="93"/>
      <c r="H846" s="50"/>
      <c r="I846" s="93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 ht="28.5" customHeight="1">
      <c r="A847" s="50"/>
      <c r="B847" s="93"/>
      <c r="C847" s="93"/>
      <c r="D847" s="93"/>
      <c r="E847" s="93"/>
      <c r="F847" s="93"/>
      <c r="G847" s="93"/>
      <c r="H847" s="50"/>
      <c r="I847" s="93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 ht="28.5" customHeight="1">
      <c r="A848" s="50"/>
      <c r="B848" s="93"/>
      <c r="C848" s="93"/>
      <c r="D848" s="93"/>
      <c r="E848" s="93"/>
      <c r="F848" s="93"/>
      <c r="G848" s="93"/>
      <c r="H848" s="50"/>
      <c r="I848" s="93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ht="28.5" customHeight="1">
      <c r="A849" s="50"/>
      <c r="B849" s="93"/>
      <c r="C849" s="93"/>
      <c r="D849" s="93"/>
      <c r="E849" s="93"/>
      <c r="F849" s="93"/>
      <c r="G849" s="93"/>
      <c r="H849" s="50"/>
      <c r="I849" s="93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 ht="28.5" customHeight="1">
      <c r="A850" s="50"/>
      <c r="B850" s="93"/>
      <c r="C850" s="93"/>
      <c r="D850" s="93"/>
      <c r="E850" s="93"/>
      <c r="F850" s="93"/>
      <c r="G850" s="93"/>
      <c r="H850" s="50"/>
      <c r="I850" s="93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 ht="28.5" customHeight="1">
      <c r="A851" s="50"/>
      <c r="B851" s="93"/>
      <c r="C851" s="93"/>
      <c r="D851" s="93"/>
      <c r="E851" s="93"/>
      <c r="F851" s="93"/>
      <c r="G851" s="93"/>
      <c r="H851" s="50"/>
      <c r="I851" s="93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 ht="28.5" customHeight="1">
      <c r="A852" s="50"/>
      <c r="B852" s="93"/>
      <c r="C852" s="93"/>
      <c r="D852" s="93"/>
      <c r="E852" s="93"/>
      <c r="F852" s="93"/>
      <c r="G852" s="93"/>
      <c r="H852" s="50"/>
      <c r="I852" s="93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 ht="28.5" customHeight="1">
      <c r="A853" s="50"/>
      <c r="B853" s="93"/>
      <c r="C853" s="93"/>
      <c r="D853" s="93"/>
      <c r="E853" s="93"/>
      <c r="F853" s="93"/>
      <c r="G853" s="93"/>
      <c r="H853" s="50"/>
      <c r="I853" s="93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 ht="28.5" customHeight="1">
      <c r="A854" s="50"/>
      <c r="B854" s="93"/>
      <c r="C854" s="93"/>
      <c r="D854" s="93"/>
      <c r="E854" s="93"/>
      <c r="F854" s="93"/>
      <c r="G854" s="93"/>
      <c r="H854" s="50"/>
      <c r="I854" s="93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 ht="28.5" customHeight="1">
      <c r="A855" s="50"/>
      <c r="B855" s="93"/>
      <c r="C855" s="93"/>
      <c r="D855" s="93"/>
      <c r="E855" s="93"/>
      <c r="F855" s="93"/>
      <c r="G855" s="93"/>
      <c r="H855" s="50"/>
      <c r="I855" s="93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 ht="28.5" customHeight="1">
      <c r="A856" s="50"/>
      <c r="B856" s="93"/>
      <c r="C856" s="93"/>
      <c r="D856" s="93"/>
      <c r="E856" s="93"/>
      <c r="F856" s="93"/>
      <c r="G856" s="93"/>
      <c r="H856" s="50"/>
      <c r="I856" s="93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 ht="28.5" customHeight="1">
      <c r="A857" s="50"/>
      <c r="B857" s="93"/>
      <c r="C857" s="93"/>
      <c r="D857" s="93"/>
      <c r="E857" s="93"/>
      <c r="F857" s="93"/>
      <c r="G857" s="93"/>
      <c r="H857" s="50"/>
      <c r="I857" s="93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 ht="28.5" customHeight="1">
      <c r="A858" s="50"/>
      <c r="B858" s="93"/>
      <c r="C858" s="93"/>
      <c r="D858" s="93"/>
      <c r="E858" s="93"/>
      <c r="F858" s="93"/>
      <c r="G858" s="93"/>
      <c r="H858" s="50"/>
      <c r="I858" s="93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 ht="28.5" customHeight="1">
      <c r="A859" s="50"/>
      <c r="B859" s="93"/>
      <c r="C859" s="93"/>
      <c r="D859" s="93"/>
      <c r="E859" s="93"/>
      <c r="F859" s="93"/>
      <c r="G859" s="93"/>
      <c r="H859" s="50"/>
      <c r="I859" s="93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 ht="28.5" customHeight="1">
      <c r="A860" s="50"/>
      <c r="B860" s="93"/>
      <c r="C860" s="93"/>
      <c r="D860" s="93"/>
      <c r="E860" s="93"/>
      <c r="F860" s="93"/>
      <c r="G860" s="93"/>
      <c r="H860" s="50"/>
      <c r="I860" s="93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 ht="28.5" customHeight="1">
      <c r="A861" s="50"/>
      <c r="B861" s="93"/>
      <c r="C861" s="93"/>
      <c r="D861" s="93"/>
      <c r="E861" s="93"/>
      <c r="F861" s="93"/>
      <c r="G861" s="93"/>
      <c r="H861" s="50"/>
      <c r="I861" s="93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 ht="28.5" customHeight="1">
      <c r="A862" s="50"/>
      <c r="B862" s="93"/>
      <c r="C862" s="93"/>
      <c r="D862" s="93"/>
      <c r="E862" s="93"/>
      <c r="F862" s="93"/>
      <c r="G862" s="93"/>
      <c r="H862" s="50"/>
      <c r="I862" s="93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 ht="28.5" customHeight="1">
      <c r="A863" s="50"/>
      <c r="B863" s="93"/>
      <c r="C863" s="93"/>
      <c r="D863" s="93"/>
      <c r="E863" s="93"/>
      <c r="F863" s="93"/>
      <c r="G863" s="93"/>
      <c r="H863" s="50"/>
      <c r="I863" s="93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 ht="28.5" customHeight="1">
      <c r="A864" s="50"/>
      <c r="B864" s="93"/>
      <c r="C864" s="93"/>
      <c r="D864" s="93"/>
      <c r="E864" s="93"/>
      <c r="F864" s="93"/>
      <c r="G864" s="93"/>
      <c r="H864" s="50"/>
      <c r="I864" s="93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 ht="28.5" customHeight="1">
      <c r="A865" s="50"/>
      <c r="B865" s="93"/>
      <c r="C865" s="93"/>
      <c r="D865" s="93"/>
      <c r="E865" s="93"/>
      <c r="F865" s="93"/>
      <c r="G865" s="93"/>
      <c r="H865" s="50"/>
      <c r="I865" s="93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 ht="28.5" customHeight="1">
      <c r="A866" s="50"/>
      <c r="B866" s="93"/>
      <c r="C866" s="93"/>
      <c r="D866" s="93"/>
      <c r="E866" s="93"/>
      <c r="F866" s="93"/>
      <c r="G866" s="93"/>
      <c r="H866" s="50"/>
      <c r="I866" s="93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 ht="28.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</row>
    <row r="868" ht="28.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</row>
    <row r="869" ht="28.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</row>
    <row r="870" ht="28.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</row>
    <row r="871" ht="28.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</row>
    <row r="872" ht="28.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</row>
    <row r="873" ht="28.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</row>
    <row r="874" ht="28.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</row>
    <row r="875" ht="28.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</row>
    <row r="876" ht="28.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</row>
    <row r="877" ht="28.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</row>
    <row r="878" ht="28.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</row>
    <row r="879" ht="28.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</row>
    <row r="880" ht="28.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</row>
    <row r="881" ht="28.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</row>
    <row r="882" ht="28.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</row>
    <row r="883" ht="28.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</row>
    <row r="884" ht="28.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</row>
    <row r="885" ht="28.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</row>
    <row r="886" ht="28.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</row>
    <row r="887" ht="28.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</row>
    <row r="888" ht="28.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</row>
    <row r="889" ht="28.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</row>
    <row r="890" ht="28.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</row>
    <row r="891" ht="28.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</row>
    <row r="892" ht="28.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</row>
    <row r="893" ht="28.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</row>
    <row r="894" ht="28.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</row>
    <row r="895" ht="28.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</row>
    <row r="896" ht="28.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</row>
    <row r="897" ht="28.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</row>
    <row r="898" ht="28.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</row>
    <row r="899" ht="28.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</row>
    <row r="900" ht="28.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</row>
    <row r="901" ht="28.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</row>
    <row r="902" ht="28.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</row>
    <row r="903" ht="28.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</row>
    <row r="904" ht="28.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</row>
    <row r="905" ht="28.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</row>
    <row r="906" ht="28.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</row>
    <row r="907" ht="28.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</row>
    <row r="908" ht="28.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</row>
    <row r="909" ht="28.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</row>
    <row r="910" ht="28.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</row>
    <row r="911" ht="28.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</row>
    <row r="912" ht="28.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</row>
    <row r="913" ht="28.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</row>
    <row r="914" ht="28.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</row>
    <row r="915" ht="28.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</row>
    <row r="916" ht="28.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</row>
    <row r="917" ht="28.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</row>
    <row r="918" ht="28.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</row>
    <row r="919" ht="28.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</row>
    <row r="920" ht="28.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</row>
    <row r="921" ht="28.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</row>
    <row r="922" ht="28.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</row>
    <row r="923" ht="28.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</row>
    <row r="924" ht="28.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</row>
    <row r="925" ht="28.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</row>
    <row r="926" ht="28.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</row>
    <row r="927" ht="28.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</row>
    <row r="928" ht="28.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</row>
    <row r="929" ht="28.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</row>
    <row r="930" ht="28.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</row>
    <row r="931" ht="28.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</row>
    <row r="932" ht="28.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</row>
    <row r="933" ht="28.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</row>
    <row r="934" ht="28.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</row>
    <row r="935" ht="28.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</row>
    <row r="936" ht="28.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</row>
    <row r="937" ht="28.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</row>
    <row r="938" ht="28.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</row>
    <row r="939" ht="28.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</row>
    <row r="940" ht="28.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</row>
    <row r="941" ht="28.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</row>
    <row r="942" ht="28.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</row>
    <row r="943" ht="28.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</row>
    <row r="944" ht="28.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</row>
    <row r="945" ht="28.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</row>
    <row r="946" ht="28.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</row>
    <row r="947" ht="28.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</row>
    <row r="948" ht="28.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</row>
    <row r="949" ht="28.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</row>
    <row r="950" ht="28.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</row>
    <row r="951" ht="28.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</row>
    <row r="952" ht="28.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</row>
    <row r="953" ht="28.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</row>
    <row r="954" ht="28.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</row>
    <row r="955" ht="28.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</row>
    <row r="956" ht="28.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</row>
    <row r="957" ht="28.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</row>
    <row r="958" ht="28.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</row>
    <row r="959" ht="28.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</row>
    <row r="960" ht="28.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</row>
    <row r="961" ht="28.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</row>
    <row r="962" ht="28.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</row>
    <row r="963" ht="28.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</row>
    <row r="964" ht="28.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</row>
    <row r="965" ht="28.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</row>
    <row r="966" ht="28.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</row>
    <row r="967" ht="28.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</row>
    <row r="968" ht="28.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</row>
    <row r="969" ht="28.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</row>
    <row r="970" ht="28.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</row>
    <row r="971" ht="28.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</row>
    <row r="972" ht="28.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</row>
    <row r="973" ht="28.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</row>
    <row r="974" ht="28.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</row>
    <row r="975" ht="28.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</row>
    <row r="976" ht="28.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</row>
    <row r="977" ht="28.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</row>
    <row r="978" ht="28.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</row>
    <row r="979" ht="28.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</row>
  </sheetData>
  <autoFilter ref="$A$1:$M$866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2" max="2" width="9.71"/>
    <col customWidth="1" min="3" max="3" width="20.57"/>
    <col customWidth="1" min="4" max="4" width="15.29"/>
    <col customWidth="1" min="5" max="5" width="14.57"/>
    <col customWidth="1" min="6" max="6" width="17.0"/>
    <col customWidth="1" min="7" max="7" width="11.0"/>
    <col customWidth="1" min="8" max="8" width="38.86"/>
    <col customWidth="1" min="9" max="9" width="44.29"/>
    <col customWidth="1" min="10" max="10" width="12.29"/>
    <col customWidth="1" min="11" max="22" width="30.43"/>
  </cols>
  <sheetData>
    <row r="1" ht="22.5" customHeight="1">
      <c r="A1" s="3" t="s">
        <v>0</v>
      </c>
      <c r="B1" s="1" t="s">
        <v>1</v>
      </c>
      <c r="C1" s="1" t="s">
        <v>2</v>
      </c>
      <c r="D1" s="49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ht="22.5" customHeight="1">
      <c r="A2" s="27" t="s">
        <v>24</v>
      </c>
      <c r="B2" s="27">
        <v>1024.0</v>
      </c>
      <c r="C2" s="28" t="s">
        <v>409</v>
      </c>
      <c r="D2" s="86">
        <v>3.0</v>
      </c>
      <c r="E2" s="87" t="s">
        <v>410</v>
      </c>
      <c r="F2" s="27" t="s">
        <v>411</v>
      </c>
      <c r="G2" s="27">
        <v>6.0</v>
      </c>
      <c r="H2" s="122"/>
      <c r="I2" s="28"/>
      <c r="J2" s="13" t="b">
        <v>1</v>
      </c>
      <c r="K2" s="13" t="s">
        <v>311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2.5" customHeight="1">
      <c r="A3" s="27" t="s">
        <v>24</v>
      </c>
      <c r="B3" s="27">
        <v>1025.0</v>
      </c>
      <c r="C3" s="28" t="s">
        <v>412</v>
      </c>
      <c r="D3" s="86">
        <v>3.0</v>
      </c>
      <c r="E3" s="87" t="s">
        <v>410</v>
      </c>
      <c r="F3" s="27" t="s">
        <v>411</v>
      </c>
      <c r="G3" s="27">
        <v>4.0</v>
      </c>
      <c r="H3" s="122"/>
      <c r="I3" s="28"/>
      <c r="J3" s="13" t="b">
        <v>1</v>
      </c>
      <c r="K3" s="13" t="s">
        <v>311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2.5" customHeight="1">
      <c r="A4" s="27" t="s">
        <v>24</v>
      </c>
      <c r="B4" s="27" t="s">
        <v>25</v>
      </c>
      <c r="C4" s="28" t="s">
        <v>412</v>
      </c>
      <c r="D4" s="86">
        <v>3.0</v>
      </c>
      <c r="E4" s="87" t="s">
        <v>410</v>
      </c>
      <c r="F4" s="27" t="s">
        <v>411</v>
      </c>
      <c r="G4" s="27">
        <v>4.0</v>
      </c>
      <c r="H4" s="122"/>
      <c r="I4" s="28"/>
      <c r="J4" s="13" t="b">
        <v>1</v>
      </c>
      <c r="K4" s="13" t="s">
        <v>311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2.5" customHeight="1">
      <c r="A5" s="113" t="s">
        <v>156</v>
      </c>
      <c r="B5" s="113">
        <v>2024.0</v>
      </c>
      <c r="C5" s="126" t="s">
        <v>409</v>
      </c>
      <c r="D5" s="164">
        <v>3.0</v>
      </c>
      <c r="E5" s="197" t="s">
        <v>410</v>
      </c>
      <c r="F5" s="113" t="s">
        <v>411</v>
      </c>
      <c r="G5" s="113">
        <v>6.0</v>
      </c>
      <c r="H5" s="128"/>
      <c r="I5" s="126"/>
      <c r="J5" s="13" t="b">
        <v>1</v>
      </c>
      <c r="K5" s="13" t="s">
        <v>311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2.5" customHeight="1">
      <c r="A6" s="113" t="s">
        <v>156</v>
      </c>
      <c r="B6" s="113">
        <v>2025.0</v>
      </c>
      <c r="C6" s="126" t="s">
        <v>412</v>
      </c>
      <c r="D6" s="164">
        <v>3.0</v>
      </c>
      <c r="E6" s="197" t="s">
        <v>410</v>
      </c>
      <c r="F6" s="113" t="s">
        <v>411</v>
      </c>
      <c r="G6" s="113">
        <v>4.0</v>
      </c>
      <c r="H6" s="128"/>
      <c r="I6" s="126"/>
      <c r="J6" s="13" t="b">
        <v>1</v>
      </c>
      <c r="K6" s="13" t="s">
        <v>311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2.5" customHeight="1">
      <c r="A7" s="198" t="s">
        <v>413</v>
      </c>
      <c r="B7" s="198">
        <v>5126.0</v>
      </c>
      <c r="C7" s="199" t="s">
        <v>414</v>
      </c>
      <c r="D7" s="200">
        <v>4.0</v>
      </c>
      <c r="E7" s="201" t="s">
        <v>415</v>
      </c>
      <c r="F7" s="198" t="s">
        <v>411</v>
      </c>
      <c r="G7" s="198">
        <v>1.0</v>
      </c>
      <c r="H7" s="199" t="s">
        <v>416</v>
      </c>
      <c r="I7" s="202" t="s">
        <v>417</v>
      </c>
      <c r="J7" s="13" t="b">
        <v>1</v>
      </c>
      <c r="K7" s="13" t="s">
        <v>311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2.5" customHeight="1">
      <c r="A8" s="130" t="s">
        <v>170</v>
      </c>
      <c r="B8" s="130">
        <v>2324.0</v>
      </c>
      <c r="C8" s="129" t="s">
        <v>418</v>
      </c>
      <c r="D8" s="166">
        <v>2.0</v>
      </c>
      <c r="E8" s="162" t="s">
        <v>415</v>
      </c>
      <c r="F8" s="130" t="s">
        <v>411</v>
      </c>
      <c r="G8" s="130" t="s">
        <v>171</v>
      </c>
      <c r="H8" s="129" t="s">
        <v>172</v>
      </c>
      <c r="I8" s="203" t="s">
        <v>419</v>
      </c>
      <c r="J8" s="13" t="b">
        <v>1</v>
      </c>
      <c r="K8" s="13" t="s">
        <v>311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22.5" customHeight="1">
      <c r="A9" s="27" t="s">
        <v>24</v>
      </c>
      <c r="B9" s="27">
        <v>1026.0</v>
      </c>
      <c r="C9" s="28" t="s">
        <v>420</v>
      </c>
      <c r="D9" s="86">
        <v>3.0</v>
      </c>
      <c r="E9" s="87" t="s">
        <v>415</v>
      </c>
      <c r="F9" s="27" t="s">
        <v>411</v>
      </c>
      <c r="G9" s="27">
        <v>2.0</v>
      </c>
      <c r="H9" s="28" t="s">
        <v>160</v>
      </c>
      <c r="I9" s="204" t="s">
        <v>421</v>
      </c>
      <c r="J9" s="13" t="b">
        <v>1</v>
      </c>
      <c r="K9" s="13" t="s">
        <v>311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ht="22.5" customHeight="1">
      <c r="A10" s="113" t="s">
        <v>156</v>
      </c>
      <c r="B10" s="113">
        <v>2026.0</v>
      </c>
      <c r="C10" s="126" t="s">
        <v>420</v>
      </c>
      <c r="D10" s="164">
        <v>3.0</v>
      </c>
      <c r="E10" s="197" t="s">
        <v>415</v>
      </c>
      <c r="F10" s="113" t="s">
        <v>411</v>
      </c>
      <c r="G10" s="113">
        <v>2.0</v>
      </c>
      <c r="H10" s="128"/>
      <c r="I10" s="183" t="s">
        <v>421</v>
      </c>
      <c r="J10" s="13" t="b">
        <v>1</v>
      </c>
      <c r="K10" s="13" t="s">
        <v>311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ht="22.5" customHeight="1">
      <c r="A11" s="14" t="s">
        <v>17</v>
      </c>
      <c r="B11" s="14">
        <v>2226.0</v>
      </c>
      <c r="C11" s="19" t="s">
        <v>422</v>
      </c>
      <c r="D11" s="195">
        <v>2.0</v>
      </c>
      <c r="E11" s="205" t="s">
        <v>423</v>
      </c>
      <c r="F11" s="14" t="s">
        <v>411</v>
      </c>
      <c r="G11" s="14">
        <v>2.0</v>
      </c>
      <c r="H11" s="19" t="s">
        <v>182</v>
      </c>
      <c r="I11" s="206"/>
      <c r="J11" s="13" t="b">
        <v>1</v>
      </c>
      <c r="K11" s="13" t="s">
        <v>311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ht="22.5" customHeight="1">
      <c r="A12" s="130" t="s">
        <v>269</v>
      </c>
      <c r="B12" s="130" t="s">
        <v>270</v>
      </c>
      <c r="C12" s="129" t="s">
        <v>424</v>
      </c>
      <c r="D12" s="166">
        <v>4.0</v>
      </c>
      <c r="E12" s="162" t="s">
        <v>423</v>
      </c>
      <c r="F12" s="130" t="s">
        <v>411</v>
      </c>
      <c r="G12" s="130" t="s">
        <v>271</v>
      </c>
      <c r="H12" s="129" t="s">
        <v>272</v>
      </c>
      <c r="I12" s="129"/>
      <c r="J12" s="13" t="b">
        <v>1</v>
      </c>
      <c r="K12" s="13" t="s">
        <v>311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ht="22.5" customHeight="1">
      <c r="A13" s="27" t="s">
        <v>24</v>
      </c>
      <c r="B13" s="27">
        <v>1024.0</v>
      </c>
      <c r="C13" s="28" t="s">
        <v>425</v>
      </c>
      <c r="D13" s="86">
        <v>2.0</v>
      </c>
      <c r="E13" s="87" t="s">
        <v>423</v>
      </c>
      <c r="F13" s="27" t="s">
        <v>411</v>
      </c>
      <c r="G13" s="27">
        <v>6.0</v>
      </c>
      <c r="H13" s="122"/>
      <c r="I13" s="28"/>
      <c r="J13" s="13" t="b">
        <v>1</v>
      </c>
      <c r="K13" s="13" t="s">
        <v>311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ht="22.5" customHeight="1">
      <c r="A14" s="113" t="s">
        <v>156</v>
      </c>
      <c r="B14" s="113">
        <v>2024.0</v>
      </c>
      <c r="C14" s="126" t="s">
        <v>425</v>
      </c>
      <c r="D14" s="164">
        <v>2.0</v>
      </c>
      <c r="E14" s="197" t="s">
        <v>423</v>
      </c>
      <c r="F14" s="113" t="s">
        <v>411</v>
      </c>
      <c r="G14" s="113">
        <v>6.0</v>
      </c>
      <c r="H14" s="128"/>
      <c r="I14" s="126"/>
      <c r="J14" s="13" t="b">
        <v>1</v>
      </c>
      <c r="K14" s="13" t="s">
        <v>311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ht="22.5" customHeight="1">
      <c r="A15" s="113" t="s">
        <v>156</v>
      </c>
      <c r="B15" s="113">
        <v>2026.0</v>
      </c>
      <c r="C15" s="126" t="s">
        <v>426</v>
      </c>
      <c r="D15" s="164">
        <v>2.0</v>
      </c>
      <c r="E15" s="197" t="s">
        <v>423</v>
      </c>
      <c r="F15" s="113" t="s">
        <v>411</v>
      </c>
      <c r="G15" s="113">
        <v>2.0</v>
      </c>
      <c r="H15" s="128"/>
      <c r="I15" s="126"/>
      <c r="J15" s="13" t="b">
        <v>1</v>
      </c>
      <c r="K15" s="13" t="s">
        <v>311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ht="22.5" customHeight="1">
      <c r="A16" s="198" t="s">
        <v>413</v>
      </c>
      <c r="B16" s="198">
        <v>5026.0</v>
      </c>
      <c r="C16" s="199" t="s">
        <v>427</v>
      </c>
      <c r="D16" s="200">
        <v>4.0</v>
      </c>
      <c r="E16" s="201" t="s">
        <v>428</v>
      </c>
      <c r="F16" s="198" t="s">
        <v>411</v>
      </c>
      <c r="G16" s="198">
        <v>1.0</v>
      </c>
      <c r="H16" s="199" t="s">
        <v>416</v>
      </c>
      <c r="I16" s="202" t="s">
        <v>419</v>
      </c>
      <c r="J16" s="13" t="b">
        <v>1</v>
      </c>
      <c r="K16" s="13" t="s">
        <v>311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ht="22.5" customHeight="1">
      <c r="A17" s="20" t="s">
        <v>168</v>
      </c>
      <c r="B17" s="20">
        <v>1125.0</v>
      </c>
      <c r="C17" s="123" t="s">
        <v>429</v>
      </c>
      <c r="D17" s="78">
        <v>6.0</v>
      </c>
      <c r="E17" s="79" t="s">
        <v>428</v>
      </c>
      <c r="F17" s="20" t="s">
        <v>411</v>
      </c>
      <c r="G17" s="20">
        <v>3.0</v>
      </c>
      <c r="H17" s="124" t="s">
        <v>252</v>
      </c>
      <c r="I17" s="124" t="s">
        <v>419</v>
      </c>
      <c r="J17" s="13" t="b">
        <v>1</v>
      </c>
      <c r="K17" s="13" t="s">
        <v>311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ht="22.5" customHeight="1">
      <c r="A18" s="130" t="s">
        <v>269</v>
      </c>
      <c r="B18" s="130" t="s">
        <v>270</v>
      </c>
      <c r="C18" s="129" t="s">
        <v>430</v>
      </c>
      <c r="D18" s="166">
        <v>6.0</v>
      </c>
      <c r="E18" s="162" t="s">
        <v>428</v>
      </c>
      <c r="F18" s="130" t="s">
        <v>411</v>
      </c>
      <c r="G18" s="130" t="s">
        <v>271</v>
      </c>
      <c r="H18" s="129" t="s">
        <v>431</v>
      </c>
      <c r="I18" s="203" t="s">
        <v>419</v>
      </c>
      <c r="J18" s="13" t="b">
        <v>1</v>
      </c>
      <c r="K18" s="13" t="s">
        <v>311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ht="22.5" customHeight="1">
      <c r="A19" s="93"/>
      <c r="B19" s="93"/>
      <c r="C19" s="118"/>
      <c r="D19" s="106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</row>
    <row r="20" ht="22.5" customHeight="1">
      <c r="A20" s="93"/>
      <c r="B20" s="93"/>
      <c r="C20" s="118"/>
      <c r="D20" s="106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ht="22.5" customHeight="1">
      <c r="A21" s="93"/>
      <c r="B21" s="93"/>
      <c r="C21" s="118"/>
      <c r="D21" s="106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ht="22.5" customHeight="1">
      <c r="A22" s="93"/>
      <c r="B22" s="93"/>
      <c r="C22" s="118"/>
      <c r="D22" s="106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ht="22.5" customHeight="1">
      <c r="A23" s="93"/>
      <c r="B23" s="93"/>
      <c r="C23" s="118"/>
      <c r="D23" s="106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ht="22.5" customHeight="1">
      <c r="A24" s="93"/>
      <c r="B24" s="93"/>
      <c r="C24" s="118"/>
      <c r="D24" s="106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ht="22.5" customHeight="1">
      <c r="A25" s="93"/>
      <c r="B25" s="93"/>
      <c r="C25" s="118"/>
      <c r="D25" s="106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ht="22.5" customHeight="1">
      <c r="A26" s="93"/>
      <c r="B26" s="93"/>
      <c r="C26" s="118"/>
      <c r="D26" s="106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ht="22.5" customHeight="1">
      <c r="A27" s="93"/>
      <c r="B27" s="93"/>
      <c r="C27" s="118"/>
      <c r="D27" s="106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ht="22.5" customHeight="1">
      <c r="A28" s="93"/>
      <c r="B28" s="93"/>
      <c r="C28" s="118"/>
      <c r="D28" s="106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ht="22.5" customHeight="1">
      <c r="A29" s="93"/>
      <c r="B29" s="93"/>
      <c r="C29" s="118"/>
      <c r="D29" s="106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  <row r="30" ht="22.5" customHeight="1">
      <c r="A30" s="93"/>
      <c r="B30" s="93"/>
      <c r="C30" s="118"/>
      <c r="D30" s="106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</row>
    <row r="31" ht="22.5" customHeight="1">
      <c r="A31" s="93"/>
      <c r="B31" s="93"/>
      <c r="C31" s="118"/>
      <c r="D31" s="106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</row>
    <row r="32" ht="22.5" customHeight="1">
      <c r="A32" s="93"/>
      <c r="B32" s="93"/>
      <c r="C32" s="118"/>
      <c r="D32" s="10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ht="22.5" customHeight="1">
      <c r="A33" s="93"/>
      <c r="B33" s="93"/>
      <c r="C33" s="118"/>
      <c r="D33" s="106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ht="22.5" customHeight="1">
      <c r="A34" s="93"/>
      <c r="B34" s="93"/>
      <c r="C34" s="118"/>
      <c r="D34" s="106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</row>
    <row r="35" ht="22.5" customHeight="1">
      <c r="A35" s="93"/>
      <c r="B35" s="93"/>
      <c r="C35" s="118"/>
      <c r="D35" s="106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</row>
    <row r="36" ht="22.5" customHeight="1">
      <c r="A36" s="93"/>
      <c r="B36" s="93"/>
      <c r="C36" s="118"/>
      <c r="D36" s="106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22.5" customHeight="1">
      <c r="A37" s="93"/>
      <c r="B37" s="93"/>
      <c r="C37" s="118"/>
      <c r="D37" s="106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</row>
    <row r="38" ht="22.5" customHeight="1">
      <c r="A38" s="93"/>
      <c r="B38" s="93"/>
      <c r="C38" s="118"/>
      <c r="D38" s="106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</row>
    <row r="39" ht="22.5" customHeight="1">
      <c r="A39" s="93"/>
      <c r="B39" s="93"/>
      <c r="C39" s="118"/>
      <c r="D39" s="106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</row>
    <row r="40" ht="22.5" customHeight="1">
      <c r="A40" s="93"/>
      <c r="B40" s="93"/>
      <c r="C40" s="118"/>
      <c r="D40" s="106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ht="22.5" customHeight="1">
      <c r="A41" s="93"/>
      <c r="B41" s="93"/>
      <c r="C41" s="118"/>
      <c r="D41" s="106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ht="22.5" customHeight="1">
      <c r="A42" s="93"/>
      <c r="B42" s="93"/>
      <c r="C42" s="118"/>
      <c r="D42" s="106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ht="22.5" customHeight="1">
      <c r="A43" s="93"/>
      <c r="B43" s="93"/>
      <c r="C43" s="118"/>
      <c r="D43" s="106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</row>
    <row r="44" ht="22.5" customHeight="1">
      <c r="A44" s="93"/>
      <c r="B44" s="93"/>
      <c r="C44" s="118"/>
      <c r="D44" s="106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</row>
    <row r="45" ht="22.5" customHeight="1">
      <c r="A45" s="93"/>
      <c r="B45" s="93"/>
      <c r="C45" s="118"/>
      <c r="D45" s="106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ht="22.5" customHeight="1">
      <c r="A46" s="93"/>
      <c r="B46" s="93"/>
      <c r="C46" s="118"/>
      <c r="D46" s="106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ht="22.5" customHeight="1">
      <c r="A47" s="93"/>
      <c r="B47" s="93"/>
      <c r="C47" s="118"/>
      <c r="D47" s="106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ht="22.5" customHeight="1">
      <c r="A48" s="93"/>
      <c r="B48" s="93"/>
      <c r="C48" s="118"/>
      <c r="D48" s="106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ht="22.5" customHeight="1">
      <c r="A49" s="93"/>
      <c r="B49" s="93"/>
      <c r="C49" s="118"/>
      <c r="D49" s="106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ht="22.5" customHeight="1">
      <c r="A50" s="93"/>
      <c r="B50" s="93"/>
      <c r="C50" s="118"/>
      <c r="D50" s="106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ht="22.5" customHeight="1">
      <c r="A51" s="93"/>
      <c r="B51" s="93"/>
      <c r="C51" s="118"/>
      <c r="D51" s="106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ht="22.5" customHeight="1">
      <c r="A52" s="93"/>
      <c r="B52" s="93"/>
      <c r="C52" s="118"/>
      <c r="D52" s="106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ht="22.5" customHeight="1">
      <c r="A53" s="93"/>
      <c r="B53" s="93"/>
      <c r="C53" s="118"/>
      <c r="D53" s="106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ht="22.5" customHeight="1">
      <c r="A54" s="93"/>
      <c r="B54" s="93"/>
      <c r="C54" s="118"/>
      <c r="D54" s="106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ht="22.5" customHeight="1">
      <c r="A55" s="93"/>
      <c r="B55" s="93"/>
      <c r="C55" s="118"/>
      <c r="D55" s="106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ht="22.5" customHeight="1">
      <c r="A56" s="93"/>
      <c r="B56" s="93"/>
      <c r="C56" s="118"/>
      <c r="D56" s="106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ht="22.5" customHeight="1">
      <c r="A57" s="93"/>
      <c r="B57" s="93"/>
      <c r="C57" s="118"/>
      <c r="D57" s="106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ht="22.5" customHeight="1">
      <c r="A58" s="93"/>
      <c r="B58" s="93"/>
      <c r="C58" s="118"/>
      <c r="D58" s="106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ht="22.5" customHeight="1">
      <c r="A59" s="93"/>
      <c r="B59" s="93"/>
      <c r="C59" s="118"/>
      <c r="D59" s="106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ht="22.5" customHeight="1">
      <c r="A60" s="93"/>
      <c r="B60" s="93"/>
      <c r="C60" s="118"/>
      <c r="D60" s="106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ht="22.5" customHeight="1">
      <c r="A61" s="93"/>
      <c r="B61" s="93"/>
      <c r="C61" s="118"/>
      <c r="D61" s="106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ht="22.5" customHeight="1">
      <c r="A62" s="93"/>
      <c r="B62" s="93"/>
      <c r="C62" s="118"/>
      <c r="D62" s="106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ht="22.5" customHeight="1">
      <c r="A63" s="93"/>
      <c r="B63" s="93"/>
      <c r="C63" s="118"/>
      <c r="D63" s="106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ht="22.5" customHeight="1">
      <c r="A64" s="93"/>
      <c r="B64" s="93"/>
      <c r="C64" s="118"/>
      <c r="D64" s="106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ht="22.5" customHeight="1">
      <c r="A65" s="93"/>
      <c r="B65" s="93"/>
      <c r="C65" s="118"/>
      <c r="D65" s="106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ht="22.5" customHeight="1">
      <c r="A66" s="93"/>
      <c r="B66" s="93"/>
      <c r="C66" s="118"/>
      <c r="D66" s="106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ht="22.5" customHeight="1">
      <c r="A67" s="93"/>
      <c r="B67" s="93"/>
      <c r="C67" s="118"/>
      <c r="D67" s="106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ht="22.5" customHeight="1">
      <c r="A68" s="93"/>
      <c r="B68" s="93"/>
      <c r="C68" s="118"/>
      <c r="D68" s="106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69" ht="22.5" customHeight="1">
      <c r="A69" s="93"/>
      <c r="B69" s="93"/>
      <c r="C69" s="118"/>
      <c r="D69" s="106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</row>
    <row r="70" ht="22.5" customHeight="1">
      <c r="A70" s="93"/>
      <c r="B70" s="93"/>
      <c r="C70" s="118"/>
      <c r="D70" s="106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</row>
    <row r="71" ht="22.5" customHeight="1">
      <c r="A71" s="93"/>
      <c r="B71" s="93"/>
      <c r="C71" s="118"/>
      <c r="D71" s="106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</row>
    <row r="72" ht="22.5" customHeight="1">
      <c r="A72" s="93"/>
      <c r="B72" s="93"/>
      <c r="C72" s="118"/>
      <c r="D72" s="106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</row>
    <row r="73" ht="22.5" customHeight="1">
      <c r="A73" s="93"/>
      <c r="B73" s="93"/>
      <c r="C73" s="118"/>
      <c r="D73" s="106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</row>
    <row r="74" ht="22.5" customHeight="1">
      <c r="A74" s="93"/>
      <c r="B74" s="93"/>
      <c r="C74" s="118"/>
      <c r="D74" s="106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</row>
    <row r="75" ht="22.5" customHeight="1">
      <c r="A75" s="93"/>
      <c r="B75" s="93"/>
      <c r="C75" s="118"/>
      <c r="D75" s="106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ht="22.5" customHeight="1">
      <c r="A76" s="93"/>
      <c r="B76" s="93"/>
      <c r="C76" s="118"/>
      <c r="D76" s="106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</row>
    <row r="77" ht="22.5" customHeight="1">
      <c r="A77" s="93"/>
      <c r="B77" s="93"/>
      <c r="C77" s="118"/>
      <c r="D77" s="106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</row>
    <row r="78" ht="22.5" customHeight="1">
      <c r="A78" s="93"/>
      <c r="B78" s="93"/>
      <c r="C78" s="118"/>
      <c r="D78" s="106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</row>
    <row r="79" ht="22.5" customHeight="1">
      <c r="A79" s="93"/>
      <c r="B79" s="93"/>
      <c r="C79" s="118"/>
      <c r="D79" s="106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</row>
    <row r="80" ht="22.5" customHeight="1">
      <c r="A80" s="93"/>
      <c r="B80" s="93"/>
      <c r="C80" s="118"/>
      <c r="D80" s="106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</row>
    <row r="81" ht="22.5" customHeight="1">
      <c r="A81" s="93"/>
      <c r="B81" s="93"/>
      <c r="C81" s="118"/>
      <c r="D81" s="106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ht="22.5" customHeight="1">
      <c r="A82" s="93"/>
      <c r="B82" s="93"/>
      <c r="C82" s="118"/>
      <c r="D82" s="106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</row>
    <row r="83" ht="22.5" customHeight="1">
      <c r="A83" s="93"/>
      <c r="B83" s="93"/>
      <c r="C83" s="118"/>
      <c r="D83" s="106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</row>
    <row r="84" ht="22.5" customHeight="1">
      <c r="A84" s="93"/>
      <c r="B84" s="93"/>
      <c r="C84" s="118"/>
      <c r="D84" s="106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</row>
    <row r="85" ht="22.5" customHeight="1">
      <c r="A85" s="93"/>
      <c r="B85" s="93"/>
      <c r="C85" s="118"/>
      <c r="D85" s="106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</row>
    <row r="86" ht="22.5" customHeight="1">
      <c r="A86" s="93"/>
      <c r="B86" s="93"/>
      <c r="C86" s="118"/>
      <c r="D86" s="106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</row>
    <row r="87" ht="22.5" customHeight="1">
      <c r="A87" s="93"/>
      <c r="B87" s="93"/>
      <c r="C87" s="118"/>
      <c r="D87" s="106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</row>
    <row r="88" ht="22.5" customHeight="1">
      <c r="A88" s="93"/>
      <c r="B88" s="93"/>
      <c r="C88" s="118"/>
      <c r="D88" s="106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ht="22.5" customHeight="1">
      <c r="A89" s="93"/>
      <c r="B89" s="93"/>
      <c r="C89" s="118"/>
      <c r="D89" s="106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</row>
    <row r="90" ht="22.5" customHeight="1">
      <c r="A90" s="93"/>
      <c r="B90" s="93"/>
      <c r="C90" s="118"/>
      <c r="D90" s="106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</row>
    <row r="91" ht="22.5" customHeight="1">
      <c r="A91" s="93"/>
      <c r="B91" s="93"/>
      <c r="C91" s="118"/>
      <c r="D91" s="106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</row>
    <row r="92" ht="22.5" customHeight="1">
      <c r="A92" s="93"/>
      <c r="B92" s="93"/>
      <c r="C92" s="118"/>
      <c r="D92" s="106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</row>
    <row r="93" ht="22.5" customHeight="1">
      <c r="A93" s="93"/>
      <c r="B93" s="93"/>
      <c r="C93" s="118"/>
      <c r="D93" s="106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</row>
    <row r="94" ht="22.5" customHeight="1">
      <c r="A94" s="93"/>
      <c r="B94" s="93"/>
      <c r="C94" s="118"/>
      <c r="D94" s="106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</row>
    <row r="95" ht="22.5" customHeight="1">
      <c r="A95" s="93"/>
      <c r="B95" s="93"/>
      <c r="C95" s="118"/>
      <c r="D95" s="106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</row>
    <row r="96" ht="22.5" customHeight="1">
      <c r="A96" s="93"/>
      <c r="B96" s="93"/>
      <c r="C96" s="118"/>
      <c r="D96" s="106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</row>
    <row r="97" ht="22.5" customHeight="1">
      <c r="A97" s="93"/>
      <c r="B97" s="93"/>
      <c r="C97" s="118"/>
      <c r="D97" s="106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</row>
    <row r="98" ht="22.5" customHeight="1">
      <c r="A98" s="93"/>
      <c r="B98" s="93"/>
      <c r="C98" s="118"/>
      <c r="D98" s="106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</row>
    <row r="99" ht="22.5" customHeight="1">
      <c r="A99" s="93"/>
      <c r="B99" s="93"/>
      <c r="C99" s="118"/>
      <c r="D99" s="106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</row>
    <row r="100" ht="22.5" customHeight="1">
      <c r="A100" s="93"/>
      <c r="B100" s="93"/>
      <c r="C100" s="118"/>
      <c r="D100" s="106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</row>
    <row r="101" ht="22.5" customHeight="1">
      <c r="A101" s="93"/>
      <c r="B101" s="93"/>
      <c r="C101" s="118"/>
      <c r="D101" s="106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</row>
    <row r="102" ht="22.5" customHeight="1">
      <c r="A102" s="93"/>
      <c r="B102" s="93"/>
      <c r="C102" s="118"/>
      <c r="D102" s="106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</row>
    <row r="103" ht="22.5" customHeight="1">
      <c r="A103" s="93"/>
      <c r="B103" s="93"/>
      <c r="C103" s="118"/>
      <c r="D103" s="106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</row>
    <row r="104" ht="22.5" customHeight="1">
      <c r="A104" s="93"/>
      <c r="B104" s="93"/>
      <c r="C104" s="118"/>
      <c r="D104" s="106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</row>
    <row r="105" ht="22.5" customHeight="1">
      <c r="A105" s="93"/>
      <c r="B105" s="93"/>
      <c r="C105" s="118"/>
      <c r="D105" s="106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</row>
    <row r="106" ht="22.5" customHeight="1">
      <c r="A106" s="93"/>
      <c r="B106" s="93"/>
      <c r="C106" s="118"/>
      <c r="D106" s="106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</row>
    <row r="107" ht="22.5" customHeight="1">
      <c r="A107" s="93"/>
      <c r="B107" s="93"/>
      <c r="C107" s="118"/>
      <c r="D107" s="106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</row>
    <row r="108" ht="22.5" customHeight="1">
      <c r="A108" s="93"/>
      <c r="B108" s="93"/>
      <c r="C108" s="118"/>
      <c r="D108" s="106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</row>
    <row r="109" ht="22.5" customHeight="1">
      <c r="A109" s="93"/>
      <c r="B109" s="93"/>
      <c r="C109" s="118"/>
      <c r="D109" s="106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</row>
    <row r="110" ht="22.5" customHeight="1">
      <c r="A110" s="93"/>
      <c r="B110" s="93"/>
      <c r="C110" s="118"/>
      <c r="D110" s="106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</row>
    <row r="111" ht="22.5" customHeight="1">
      <c r="A111" s="93"/>
      <c r="B111" s="93"/>
      <c r="C111" s="118"/>
      <c r="D111" s="106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</row>
    <row r="112" ht="22.5" customHeight="1">
      <c r="A112" s="93"/>
      <c r="B112" s="93"/>
      <c r="C112" s="118"/>
      <c r="D112" s="106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</row>
    <row r="113" ht="22.5" customHeight="1">
      <c r="A113" s="93"/>
      <c r="B113" s="93"/>
      <c r="C113" s="118"/>
      <c r="D113" s="106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</row>
    <row r="114" ht="22.5" customHeight="1">
      <c r="A114" s="93"/>
      <c r="B114" s="93"/>
      <c r="C114" s="118"/>
      <c r="D114" s="106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</row>
    <row r="115" ht="22.5" customHeight="1">
      <c r="A115" s="93"/>
      <c r="B115" s="93"/>
      <c r="C115" s="118"/>
      <c r="D115" s="106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</row>
    <row r="116" ht="22.5" customHeight="1">
      <c r="A116" s="93"/>
      <c r="B116" s="93"/>
      <c r="C116" s="118"/>
      <c r="D116" s="106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</row>
    <row r="117" ht="22.5" customHeight="1">
      <c r="A117" s="93"/>
      <c r="B117" s="93"/>
      <c r="C117" s="118"/>
      <c r="D117" s="106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</row>
    <row r="118" ht="22.5" customHeight="1">
      <c r="A118" s="93"/>
      <c r="B118" s="93"/>
      <c r="C118" s="118"/>
      <c r="D118" s="106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</row>
    <row r="119" ht="22.5" customHeight="1">
      <c r="A119" s="93"/>
      <c r="B119" s="93"/>
      <c r="C119" s="118"/>
      <c r="D119" s="106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</row>
    <row r="120" ht="22.5" customHeight="1">
      <c r="A120" s="93"/>
      <c r="B120" s="93"/>
      <c r="C120" s="118"/>
      <c r="D120" s="106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</row>
    <row r="121" ht="22.5" customHeight="1">
      <c r="A121" s="93"/>
      <c r="B121" s="93"/>
      <c r="C121" s="118"/>
      <c r="D121" s="106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ht="22.5" customHeight="1">
      <c r="A122" s="93"/>
      <c r="B122" s="93"/>
      <c r="C122" s="118"/>
      <c r="D122" s="106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</row>
    <row r="123" ht="22.5" customHeight="1">
      <c r="A123" s="93"/>
      <c r="B123" s="93"/>
      <c r="C123" s="118"/>
      <c r="D123" s="106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</row>
    <row r="124" ht="22.5" customHeight="1">
      <c r="A124" s="93"/>
      <c r="B124" s="93"/>
      <c r="C124" s="118"/>
      <c r="D124" s="106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</row>
    <row r="125" ht="22.5" customHeight="1">
      <c r="A125" s="93"/>
      <c r="B125" s="93"/>
      <c r="C125" s="118"/>
      <c r="D125" s="106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</row>
    <row r="126" ht="22.5" customHeight="1">
      <c r="A126" s="93"/>
      <c r="B126" s="93"/>
      <c r="C126" s="118"/>
      <c r="D126" s="106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</row>
    <row r="127" ht="22.5" customHeight="1">
      <c r="A127" s="93"/>
      <c r="B127" s="93"/>
      <c r="C127" s="118"/>
      <c r="D127" s="106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</row>
    <row r="128" ht="22.5" customHeight="1">
      <c r="A128" s="93"/>
      <c r="B128" s="93"/>
      <c r="C128" s="118"/>
      <c r="D128" s="106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</row>
    <row r="129" ht="22.5" customHeight="1">
      <c r="A129" s="93"/>
      <c r="B129" s="93"/>
      <c r="C129" s="118"/>
      <c r="D129" s="106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ht="22.5" customHeight="1">
      <c r="A130" s="93"/>
      <c r="B130" s="93"/>
      <c r="C130" s="118"/>
      <c r="D130" s="106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</row>
    <row r="131" ht="22.5" customHeight="1">
      <c r="A131" s="93"/>
      <c r="B131" s="93"/>
      <c r="C131" s="118"/>
      <c r="D131" s="106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</row>
    <row r="132" ht="22.5" customHeight="1">
      <c r="A132" s="93"/>
      <c r="B132" s="93"/>
      <c r="C132" s="118"/>
      <c r="D132" s="106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</row>
    <row r="133" ht="22.5" customHeight="1">
      <c r="A133" s="93"/>
      <c r="B133" s="93"/>
      <c r="C133" s="118"/>
      <c r="D133" s="106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</row>
    <row r="134" ht="22.5" customHeight="1">
      <c r="A134" s="93"/>
      <c r="B134" s="93"/>
      <c r="C134" s="118"/>
      <c r="D134" s="106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</row>
    <row r="135" ht="22.5" customHeight="1">
      <c r="A135" s="93"/>
      <c r="B135" s="93"/>
      <c r="C135" s="118"/>
      <c r="D135" s="106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</row>
    <row r="136" ht="22.5" customHeight="1">
      <c r="A136" s="93"/>
      <c r="B136" s="93"/>
      <c r="C136" s="118"/>
      <c r="D136" s="106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</row>
    <row r="137" ht="22.5" customHeight="1">
      <c r="A137" s="93"/>
      <c r="B137" s="93"/>
      <c r="C137" s="118"/>
      <c r="D137" s="106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</row>
    <row r="138" ht="22.5" customHeight="1">
      <c r="A138" s="93"/>
      <c r="B138" s="93"/>
      <c r="C138" s="118"/>
      <c r="D138" s="106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</row>
    <row r="139" ht="22.5" customHeight="1">
      <c r="A139" s="93"/>
      <c r="B139" s="93"/>
      <c r="C139" s="118"/>
      <c r="D139" s="106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</row>
    <row r="140" ht="22.5" customHeight="1">
      <c r="A140" s="93"/>
      <c r="B140" s="93"/>
      <c r="C140" s="118"/>
      <c r="D140" s="106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</row>
    <row r="141" ht="22.5" customHeight="1">
      <c r="A141" s="93"/>
      <c r="B141" s="93"/>
      <c r="C141" s="118"/>
      <c r="D141" s="106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</row>
    <row r="142" ht="22.5" customHeight="1">
      <c r="A142" s="93"/>
      <c r="B142" s="93"/>
      <c r="C142" s="118"/>
      <c r="D142" s="106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</row>
    <row r="143" ht="22.5" customHeight="1">
      <c r="A143" s="93"/>
      <c r="B143" s="93"/>
      <c r="C143" s="118"/>
      <c r="D143" s="106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</row>
    <row r="144" ht="22.5" customHeight="1">
      <c r="A144" s="93"/>
      <c r="B144" s="93"/>
      <c r="C144" s="118"/>
      <c r="D144" s="106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</row>
    <row r="145" ht="22.5" customHeight="1">
      <c r="A145" s="93"/>
      <c r="B145" s="93"/>
      <c r="C145" s="118"/>
      <c r="D145" s="106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</row>
    <row r="146" ht="22.5" customHeight="1">
      <c r="A146" s="93"/>
      <c r="B146" s="93"/>
      <c r="C146" s="118"/>
      <c r="D146" s="106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</row>
    <row r="147" ht="22.5" customHeight="1">
      <c r="A147" s="93"/>
      <c r="B147" s="93"/>
      <c r="C147" s="118"/>
      <c r="D147" s="106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</row>
    <row r="148" ht="22.5" customHeight="1">
      <c r="A148" s="93"/>
      <c r="B148" s="93"/>
      <c r="C148" s="118"/>
      <c r="D148" s="106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</row>
    <row r="149" ht="22.5" customHeight="1">
      <c r="A149" s="93"/>
      <c r="B149" s="93"/>
      <c r="C149" s="118"/>
      <c r="D149" s="106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</row>
    <row r="150" ht="22.5" customHeight="1">
      <c r="A150" s="93"/>
      <c r="B150" s="93"/>
      <c r="C150" s="118"/>
      <c r="D150" s="106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</row>
    <row r="151" ht="22.5" customHeight="1">
      <c r="A151" s="93"/>
      <c r="B151" s="93"/>
      <c r="C151" s="118"/>
      <c r="D151" s="106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</row>
    <row r="152" ht="22.5" customHeight="1">
      <c r="A152" s="93"/>
      <c r="B152" s="93"/>
      <c r="C152" s="118"/>
      <c r="D152" s="106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</row>
    <row r="153" ht="22.5" customHeight="1">
      <c r="A153" s="93"/>
      <c r="B153" s="93"/>
      <c r="C153" s="118"/>
      <c r="D153" s="106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</row>
    <row r="154" ht="22.5" customHeight="1">
      <c r="A154" s="93"/>
      <c r="B154" s="93"/>
      <c r="C154" s="118"/>
      <c r="D154" s="106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</row>
    <row r="155" ht="22.5" customHeight="1">
      <c r="A155" s="93"/>
      <c r="B155" s="93"/>
      <c r="C155" s="118"/>
      <c r="D155" s="106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</row>
    <row r="156" ht="22.5" customHeight="1">
      <c r="A156" s="93"/>
      <c r="B156" s="93"/>
      <c r="C156" s="118"/>
      <c r="D156" s="106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ht="22.5" customHeight="1">
      <c r="A157" s="93"/>
      <c r="B157" s="93"/>
      <c r="C157" s="118"/>
      <c r="D157" s="106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</row>
    <row r="158" ht="22.5" customHeight="1">
      <c r="A158" s="93"/>
      <c r="B158" s="93"/>
      <c r="C158" s="118"/>
      <c r="D158" s="106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</row>
    <row r="159" ht="22.5" customHeight="1">
      <c r="A159" s="93"/>
      <c r="B159" s="93"/>
      <c r="C159" s="118"/>
      <c r="D159" s="106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</row>
    <row r="160" ht="22.5" customHeight="1">
      <c r="A160" s="93"/>
      <c r="B160" s="93"/>
      <c r="C160" s="118"/>
      <c r="D160" s="106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</row>
    <row r="161" ht="22.5" customHeight="1">
      <c r="A161" s="93"/>
      <c r="B161" s="93"/>
      <c r="C161" s="118"/>
      <c r="D161" s="106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</row>
    <row r="162" ht="22.5" customHeight="1">
      <c r="A162" s="93"/>
      <c r="B162" s="93"/>
      <c r="C162" s="118"/>
      <c r="D162" s="106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</row>
    <row r="163" ht="22.5" customHeight="1">
      <c r="A163" s="93"/>
      <c r="B163" s="93"/>
      <c r="C163" s="118"/>
      <c r="D163" s="106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</row>
    <row r="164" ht="22.5" customHeight="1">
      <c r="A164" s="93"/>
      <c r="B164" s="93"/>
      <c r="C164" s="118"/>
      <c r="D164" s="106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</row>
    <row r="165" ht="22.5" customHeight="1">
      <c r="A165" s="93"/>
      <c r="B165" s="93"/>
      <c r="C165" s="118"/>
      <c r="D165" s="106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</row>
    <row r="166" ht="22.5" customHeight="1">
      <c r="A166" s="93"/>
      <c r="B166" s="93"/>
      <c r="C166" s="118"/>
      <c r="D166" s="106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</row>
    <row r="167" ht="22.5" customHeight="1">
      <c r="A167" s="93"/>
      <c r="B167" s="93"/>
      <c r="C167" s="118"/>
      <c r="D167" s="106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</row>
    <row r="168" ht="22.5" customHeight="1">
      <c r="A168" s="93"/>
      <c r="B168" s="93"/>
      <c r="C168" s="118"/>
      <c r="D168" s="106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</row>
    <row r="169" ht="22.5" customHeight="1">
      <c r="A169" s="93"/>
      <c r="B169" s="93"/>
      <c r="C169" s="118"/>
      <c r="D169" s="106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</row>
    <row r="170" ht="22.5" customHeight="1">
      <c r="A170" s="93"/>
      <c r="B170" s="93"/>
      <c r="C170" s="118"/>
      <c r="D170" s="106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</row>
    <row r="171" ht="22.5" customHeight="1">
      <c r="A171" s="93"/>
      <c r="B171" s="93"/>
      <c r="C171" s="118"/>
      <c r="D171" s="106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</row>
    <row r="172" ht="22.5" customHeight="1">
      <c r="A172" s="93"/>
      <c r="B172" s="93"/>
      <c r="C172" s="118"/>
      <c r="D172" s="106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</row>
    <row r="173" ht="22.5" customHeight="1">
      <c r="A173" s="93"/>
      <c r="B173" s="93"/>
      <c r="C173" s="118"/>
      <c r="D173" s="106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</row>
    <row r="174" ht="22.5" customHeight="1">
      <c r="A174" s="93"/>
      <c r="B174" s="93"/>
      <c r="C174" s="118"/>
      <c r="D174" s="106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</row>
    <row r="175" ht="22.5" customHeight="1">
      <c r="A175" s="93"/>
      <c r="B175" s="93"/>
      <c r="C175" s="118"/>
      <c r="D175" s="106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</row>
    <row r="176" ht="22.5" customHeight="1">
      <c r="A176" s="93"/>
      <c r="B176" s="93"/>
      <c r="C176" s="118"/>
      <c r="D176" s="106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</row>
    <row r="177" ht="22.5" customHeight="1">
      <c r="A177" s="93"/>
      <c r="B177" s="93"/>
      <c r="C177" s="118"/>
      <c r="D177" s="106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</row>
    <row r="178" ht="22.5" customHeight="1">
      <c r="A178" s="93"/>
      <c r="B178" s="93"/>
      <c r="C178" s="118"/>
      <c r="D178" s="106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</row>
    <row r="179" ht="22.5" customHeight="1">
      <c r="A179" s="93"/>
      <c r="B179" s="93"/>
      <c r="C179" s="118"/>
      <c r="D179" s="106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</row>
    <row r="180" ht="22.5" customHeight="1">
      <c r="A180" s="93"/>
      <c r="B180" s="93"/>
      <c r="C180" s="118"/>
      <c r="D180" s="106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</row>
    <row r="181" ht="22.5" customHeight="1">
      <c r="A181" s="93"/>
      <c r="B181" s="93"/>
      <c r="C181" s="118"/>
      <c r="D181" s="106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</row>
    <row r="182" ht="22.5" customHeight="1">
      <c r="A182" s="93"/>
      <c r="B182" s="93"/>
      <c r="C182" s="118"/>
      <c r="D182" s="106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</row>
    <row r="183" ht="22.5" customHeight="1">
      <c r="A183" s="93"/>
      <c r="B183" s="93"/>
      <c r="C183" s="118"/>
      <c r="D183" s="106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</row>
    <row r="184" ht="22.5" customHeight="1">
      <c r="A184" s="93"/>
      <c r="B184" s="93"/>
      <c r="C184" s="118"/>
      <c r="D184" s="106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</row>
    <row r="185" ht="22.5" customHeight="1">
      <c r="A185" s="93"/>
      <c r="B185" s="93"/>
      <c r="C185" s="118"/>
      <c r="D185" s="106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</row>
    <row r="186" ht="22.5" customHeight="1">
      <c r="A186" s="93"/>
      <c r="B186" s="93"/>
      <c r="C186" s="118"/>
      <c r="D186" s="106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</row>
    <row r="187" ht="22.5" customHeight="1">
      <c r="A187" s="93"/>
      <c r="B187" s="93"/>
      <c r="C187" s="118"/>
      <c r="D187" s="106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</row>
    <row r="188" ht="22.5" customHeight="1">
      <c r="A188" s="93"/>
      <c r="B188" s="93"/>
      <c r="C188" s="118"/>
      <c r="D188" s="106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</row>
    <row r="189" ht="22.5" customHeight="1">
      <c r="A189" s="93"/>
      <c r="B189" s="93"/>
      <c r="C189" s="118"/>
      <c r="D189" s="106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</row>
    <row r="190" ht="22.5" customHeight="1">
      <c r="A190" s="93"/>
      <c r="B190" s="93"/>
      <c r="C190" s="118"/>
      <c r="D190" s="106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</row>
    <row r="191" ht="22.5" customHeight="1">
      <c r="A191" s="93"/>
      <c r="B191" s="93"/>
      <c r="C191" s="118"/>
      <c r="D191" s="106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</row>
    <row r="192" ht="22.5" customHeight="1">
      <c r="A192" s="93"/>
      <c r="B192" s="93"/>
      <c r="C192" s="118"/>
      <c r="D192" s="106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</row>
    <row r="193" ht="22.5" customHeight="1">
      <c r="A193" s="93"/>
      <c r="B193" s="93"/>
      <c r="C193" s="118"/>
      <c r="D193" s="106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</row>
    <row r="194" ht="22.5" customHeight="1">
      <c r="A194" s="93"/>
      <c r="B194" s="93"/>
      <c r="C194" s="118"/>
      <c r="D194" s="106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</row>
    <row r="195" ht="22.5" customHeight="1">
      <c r="A195" s="93"/>
      <c r="B195" s="93"/>
      <c r="C195" s="118"/>
      <c r="D195" s="106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</row>
    <row r="196" ht="22.5" customHeight="1">
      <c r="A196" s="93"/>
      <c r="B196" s="93"/>
      <c r="C196" s="118"/>
      <c r="D196" s="106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</row>
    <row r="197" ht="22.5" customHeight="1">
      <c r="A197" s="93"/>
      <c r="B197" s="93"/>
      <c r="C197" s="118"/>
      <c r="D197" s="106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</row>
    <row r="198" ht="22.5" customHeight="1">
      <c r="A198" s="93"/>
      <c r="B198" s="93"/>
      <c r="C198" s="118"/>
      <c r="D198" s="106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</row>
    <row r="199" ht="22.5" customHeight="1">
      <c r="A199" s="93"/>
      <c r="B199" s="93"/>
      <c r="C199" s="118"/>
      <c r="D199" s="106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</row>
    <row r="200" ht="22.5" customHeight="1">
      <c r="A200" s="93"/>
      <c r="B200" s="93"/>
      <c r="C200" s="118"/>
      <c r="D200" s="106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ht="22.5" customHeight="1">
      <c r="A201" s="93"/>
      <c r="B201" s="93"/>
      <c r="C201" s="118"/>
      <c r="D201" s="106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</row>
    <row r="202" ht="22.5" customHeight="1">
      <c r="A202" s="93"/>
      <c r="B202" s="93"/>
      <c r="C202" s="118"/>
      <c r="D202" s="106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</row>
    <row r="203" ht="22.5" customHeight="1">
      <c r="A203" s="93"/>
      <c r="B203" s="93"/>
      <c r="C203" s="118"/>
      <c r="D203" s="106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</row>
    <row r="204" ht="22.5" customHeight="1">
      <c r="A204" s="93"/>
      <c r="B204" s="93"/>
      <c r="C204" s="118"/>
      <c r="D204" s="106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</row>
    <row r="205" ht="22.5" customHeight="1">
      <c r="A205" s="93"/>
      <c r="B205" s="93"/>
      <c r="C205" s="118"/>
      <c r="D205" s="106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</row>
    <row r="206" ht="22.5" customHeight="1">
      <c r="A206" s="93"/>
      <c r="B206" s="93"/>
      <c r="C206" s="118"/>
      <c r="D206" s="106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</row>
    <row r="207" ht="22.5" customHeight="1">
      <c r="A207" s="93"/>
      <c r="B207" s="93"/>
      <c r="C207" s="118"/>
      <c r="D207" s="106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</row>
    <row r="208" ht="22.5" customHeight="1">
      <c r="A208" s="93"/>
      <c r="B208" s="93"/>
      <c r="C208" s="118"/>
      <c r="D208" s="106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</row>
    <row r="209" ht="22.5" customHeight="1">
      <c r="A209" s="93"/>
      <c r="B209" s="93"/>
      <c r="C209" s="118"/>
      <c r="D209" s="106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</row>
    <row r="210" ht="22.5" customHeight="1">
      <c r="A210" s="93"/>
      <c r="B210" s="93"/>
      <c r="C210" s="118"/>
      <c r="D210" s="106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</row>
    <row r="211" ht="22.5" customHeight="1">
      <c r="A211" s="93"/>
      <c r="B211" s="93"/>
      <c r="C211" s="118"/>
      <c r="D211" s="106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</row>
    <row r="212" ht="22.5" customHeight="1">
      <c r="A212" s="93"/>
      <c r="B212" s="93"/>
      <c r="C212" s="118"/>
      <c r="D212" s="106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</row>
    <row r="213" ht="22.5" customHeight="1">
      <c r="A213" s="93"/>
      <c r="B213" s="93"/>
      <c r="C213" s="118"/>
      <c r="D213" s="106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</row>
    <row r="214" ht="22.5" customHeight="1">
      <c r="A214" s="93"/>
      <c r="B214" s="93"/>
      <c r="C214" s="118"/>
      <c r="D214" s="106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</row>
    <row r="215" ht="22.5" customHeight="1">
      <c r="A215" s="93"/>
      <c r="B215" s="93"/>
      <c r="C215" s="118"/>
      <c r="D215" s="106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</row>
    <row r="216" ht="22.5" customHeight="1">
      <c r="A216" s="93"/>
      <c r="B216" s="93"/>
      <c r="C216" s="118"/>
      <c r="D216" s="106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</row>
    <row r="217" ht="22.5" customHeight="1">
      <c r="A217" s="93"/>
      <c r="B217" s="93"/>
      <c r="C217" s="118"/>
      <c r="D217" s="106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</row>
    <row r="218" ht="22.5" customHeight="1">
      <c r="A218" s="93"/>
      <c r="B218" s="93"/>
      <c r="C218" s="118"/>
      <c r="D218" s="106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</row>
    <row r="219" ht="22.5" customHeight="1">
      <c r="A219" s="93"/>
      <c r="B219" s="93"/>
      <c r="C219" s="118"/>
      <c r="D219" s="106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</row>
    <row r="220" ht="22.5" customHeight="1">
      <c r="A220" s="93"/>
      <c r="B220" s="93"/>
      <c r="C220" s="118"/>
      <c r="D220" s="106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</row>
    <row r="221" ht="22.5" customHeight="1">
      <c r="A221" s="93"/>
      <c r="B221" s="93"/>
      <c r="C221" s="118"/>
      <c r="D221" s="106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</row>
    <row r="222" ht="22.5" customHeight="1">
      <c r="A222" s="93"/>
      <c r="B222" s="93"/>
      <c r="C222" s="118"/>
      <c r="D222" s="106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</row>
    <row r="223" ht="22.5" customHeight="1">
      <c r="A223" s="93"/>
      <c r="B223" s="93"/>
      <c r="C223" s="118"/>
      <c r="D223" s="106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</row>
    <row r="224" ht="22.5" customHeight="1">
      <c r="A224" s="93"/>
      <c r="B224" s="93"/>
      <c r="C224" s="118"/>
      <c r="D224" s="106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</row>
    <row r="225" ht="22.5" customHeight="1">
      <c r="A225" s="93"/>
      <c r="B225" s="93"/>
      <c r="C225" s="118"/>
      <c r="D225" s="106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</row>
    <row r="226" ht="22.5" customHeight="1">
      <c r="A226" s="93"/>
      <c r="B226" s="93"/>
      <c r="C226" s="118"/>
      <c r="D226" s="106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</row>
    <row r="227" ht="22.5" customHeight="1">
      <c r="A227" s="93"/>
      <c r="B227" s="93"/>
      <c r="C227" s="118"/>
      <c r="D227" s="106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</row>
    <row r="228" ht="22.5" customHeight="1">
      <c r="A228" s="93"/>
      <c r="B228" s="93"/>
      <c r="C228" s="118"/>
      <c r="D228" s="106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</row>
    <row r="229" ht="22.5" customHeight="1">
      <c r="A229" s="93"/>
      <c r="B229" s="93"/>
      <c r="C229" s="118"/>
      <c r="D229" s="106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</row>
    <row r="230" ht="22.5" customHeight="1">
      <c r="A230" s="93"/>
      <c r="B230" s="93"/>
      <c r="C230" s="118"/>
      <c r="D230" s="106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</row>
    <row r="231" ht="22.5" customHeight="1">
      <c r="A231" s="93"/>
      <c r="B231" s="93"/>
      <c r="C231" s="118"/>
      <c r="D231" s="106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</row>
    <row r="232" ht="22.5" customHeight="1">
      <c r="A232" s="93"/>
      <c r="B232" s="93"/>
      <c r="C232" s="118"/>
      <c r="D232" s="106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</row>
    <row r="233" ht="22.5" customHeight="1">
      <c r="A233" s="93"/>
      <c r="B233" s="93"/>
      <c r="C233" s="118"/>
      <c r="D233" s="106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</row>
    <row r="234" ht="22.5" customHeight="1">
      <c r="A234" s="93"/>
      <c r="B234" s="93"/>
      <c r="C234" s="118"/>
      <c r="D234" s="106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</row>
    <row r="235" ht="22.5" customHeight="1">
      <c r="A235" s="93"/>
      <c r="B235" s="93"/>
      <c r="C235" s="118"/>
      <c r="D235" s="106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</row>
    <row r="236" ht="22.5" customHeight="1">
      <c r="A236" s="93"/>
      <c r="B236" s="93"/>
      <c r="C236" s="118"/>
      <c r="D236" s="106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</row>
    <row r="237" ht="22.5" customHeight="1">
      <c r="A237" s="93"/>
      <c r="B237" s="93"/>
      <c r="C237" s="118"/>
      <c r="D237" s="106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</row>
    <row r="238" ht="22.5" customHeight="1">
      <c r="A238" s="93"/>
      <c r="B238" s="93"/>
      <c r="C238" s="118"/>
      <c r="D238" s="106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</row>
    <row r="239" ht="22.5" customHeight="1">
      <c r="A239" s="93"/>
      <c r="B239" s="93"/>
      <c r="C239" s="118"/>
      <c r="D239" s="106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</row>
    <row r="240" ht="22.5" customHeight="1">
      <c r="A240" s="93"/>
      <c r="B240" s="93"/>
      <c r="C240" s="118"/>
      <c r="D240" s="106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</row>
    <row r="241" ht="22.5" customHeight="1">
      <c r="A241" s="93"/>
      <c r="B241" s="93"/>
      <c r="C241" s="118"/>
      <c r="D241" s="106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</row>
    <row r="242" ht="22.5" customHeight="1">
      <c r="A242" s="93"/>
      <c r="B242" s="93"/>
      <c r="C242" s="118"/>
      <c r="D242" s="106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</row>
    <row r="243" ht="22.5" customHeight="1">
      <c r="A243" s="93"/>
      <c r="B243" s="93"/>
      <c r="C243" s="118"/>
      <c r="D243" s="106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</row>
    <row r="244" ht="22.5" customHeight="1">
      <c r="A244" s="93"/>
      <c r="B244" s="93"/>
      <c r="C244" s="118"/>
      <c r="D244" s="106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</row>
    <row r="245" ht="22.5" customHeight="1">
      <c r="A245" s="93"/>
      <c r="B245" s="93"/>
      <c r="C245" s="118"/>
      <c r="D245" s="106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</row>
    <row r="246" ht="22.5" customHeight="1">
      <c r="A246" s="93"/>
      <c r="B246" s="93"/>
      <c r="C246" s="118"/>
      <c r="D246" s="106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</row>
    <row r="247" ht="22.5" customHeight="1">
      <c r="A247" s="93"/>
      <c r="B247" s="93"/>
      <c r="C247" s="118"/>
      <c r="D247" s="106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</row>
    <row r="248" ht="22.5" customHeight="1">
      <c r="A248" s="93"/>
      <c r="B248" s="93"/>
      <c r="C248" s="118"/>
      <c r="D248" s="106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</row>
    <row r="249" ht="22.5" customHeight="1">
      <c r="A249" s="93"/>
      <c r="B249" s="93"/>
      <c r="C249" s="118"/>
      <c r="D249" s="106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</row>
    <row r="250" ht="22.5" customHeight="1">
      <c r="A250" s="93"/>
      <c r="B250" s="93"/>
      <c r="C250" s="118"/>
      <c r="D250" s="106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</row>
    <row r="251" ht="22.5" customHeight="1">
      <c r="A251" s="93"/>
      <c r="B251" s="93"/>
      <c r="C251" s="118"/>
      <c r="D251" s="106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</row>
    <row r="252" ht="22.5" customHeight="1">
      <c r="A252" s="93"/>
      <c r="B252" s="93"/>
      <c r="C252" s="118"/>
      <c r="D252" s="106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</row>
    <row r="253" ht="22.5" customHeight="1">
      <c r="A253" s="93"/>
      <c r="B253" s="93"/>
      <c r="C253" s="118"/>
      <c r="D253" s="106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</row>
    <row r="254" ht="22.5" customHeight="1">
      <c r="A254" s="93"/>
      <c r="B254" s="93"/>
      <c r="C254" s="118"/>
      <c r="D254" s="106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</row>
    <row r="255" ht="22.5" customHeight="1">
      <c r="A255" s="93"/>
      <c r="B255" s="93"/>
      <c r="C255" s="118"/>
      <c r="D255" s="106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</row>
    <row r="256" ht="22.5" customHeight="1">
      <c r="A256" s="93"/>
      <c r="B256" s="93"/>
      <c r="C256" s="118"/>
      <c r="D256" s="106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</row>
    <row r="257" ht="22.5" customHeight="1">
      <c r="A257" s="93"/>
      <c r="B257" s="93"/>
      <c r="C257" s="118"/>
      <c r="D257" s="106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</row>
    <row r="258" ht="22.5" customHeight="1">
      <c r="A258" s="93"/>
      <c r="B258" s="93"/>
      <c r="C258" s="118"/>
      <c r="D258" s="106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</row>
    <row r="259" ht="22.5" customHeight="1">
      <c r="A259" s="93"/>
      <c r="B259" s="93"/>
      <c r="C259" s="118"/>
      <c r="D259" s="106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</row>
    <row r="260" ht="22.5" customHeight="1">
      <c r="A260" s="93"/>
      <c r="B260" s="93"/>
      <c r="C260" s="118"/>
      <c r="D260" s="106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</row>
    <row r="261" ht="22.5" customHeight="1">
      <c r="A261" s="93"/>
      <c r="B261" s="93"/>
      <c r="C261" s="118"/>
      <c r="D261" s="106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</row>
    <row r="262" ht="22.5" customHeight="1">
      <c r="A262" s="93"/>
      <c r="B262" s="93"/>
      <c r="C262" s="118"/>
      <c r="D262" s="106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</row>
    <row r="263" ht="22.5" customHeight="1">
      <c r="A263" s="93"/>
      <c r="B263" s="93"/>
      <c r="C263" s="118"/>
      <c r="D263" s="106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</row>
    <row r="264" ht="22.5" customHeight="1">
      <c r="A264" s="93"/>
      <c r="B264" s="93"/>
      <c r="C264" s="118"/>
      <c r="D264" s="106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</row>
    <row r="265" ht="22.5" customHeight="1">
      <c r="A265" s="93"/>
      <c r="B265" s="93"/>
      <c r="C265" s="118"/>
      <c r="D265" s="106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</row>
    <row r="266" ht="22.5" customHeight="1">
      <c r="A266" s="93"/>
      <c r="B266" s="93"/>
      <c r="C266" s="118"/>
      <c r="D266" s="106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</row>
    <row r="267" ht="22.5" customHeight="1">
      <c r="A267" s="93"/>
      <c r="B267" s="93"/>
      <c r="C267" s="118"/>
      <c r="D267" s="106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</row>
    <row r="268" ht="22.5" customHeight="1">
      <c r="A268" s="93"/>
      <c r="B268" s="93"/>
      <c r="C268" s="118"/>
      <c r="D268" s="106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ht="22.5" customHeight="1">
      <c r="A269" s="93"/>
      <c r="B269" s="93"/>
      <c r="C269" s="118"/>
      <c r="D269" s="106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</row>
    <row r="270" ht="22.5" customHeight="1">
      <c r="A270" s="93"/>
      <c r="B270" s="93"/>
      <c r="C270" s="118"/>
      <c r="D270" s="106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</row>
    <row r="271" ht="22.5" customHeight="1">
      <c r="A271" s="93"/>
      <c r="B271" s="93"/>
      <c r="C271" s="118"/>
      <c r="D271" s="106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</row>
    <row r="272" ht="22.5" customHeight="1">
      <c r="A272" s="93"/>
      <c r="B272" s="93"/>
      <c r="C272" s="118"/>
      <c r="D272" s="106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</row>
    <row r="273" ht="22.5" customHeight="1">
      <c r="A273" s="93"/>
      <c r="B273" s="93"/>
      <c r="C273" s="118"/>
      <c r="D273" s="106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</row>
    <row r="274" ht="22.5" customHeight="1">
      <c r="A274" s="93"/>
      <c r="B274" s="93"/>
      <c r="C274" s="118"/>
      <c r="D274" s="106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</row>
    <row r="275" ht="22.5" customHeight="1">
      <c r="A275" s="93"/>
      <c r="B275" s="93"/>
      <c r="C275" s="118"/>
      <c r="D275" s="106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</row>
    <row r="276" ht="22.5" customHeight="1">
      <c r="A276" s="93"/>
      <c r="B276" s="93"/>
      <c r="C276" s="118"/>
      <c r="D276" s="106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</row>
    <row r="277" ht="22.5" customHeight="1">
      <c r="A277" s="93"/>
      <c r="B277" s="93"/>
      <c r="C277" s="118"/>
      <c r="D277" s="106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</row>
    <row r="278" ht="22.5" customHeight="1">
      <c r="A278" s="93"/>
      <c r="B278" s="93"/>
      <c r="C278" s="118"/>
      <c r="D278" s="106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</row>
    <row r="279" ht="22.5" customHeight="1">
      <c r="A279" s="93"/>
      <c r="B279" s="93"/>
      <c r="C279" s="118"/>
      <c r="D279" s="106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</row>
    <row r="280" ht="22.5" customHeight="1">
      <c r="A280" s="93"/>
      <c r="B280" s="93"/>
      <c r="C280" s="118"/>
      <c r="D280" s="106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</row>
    <row r="281" ht="22.5" customHeight="1">
      <c r="A281" s="93"/>
      <c r="B281" s="93"/>
      <c r="C281" s="118"/>
      <c r="D281" s="106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</row>
    <row r="282" ht="22.5" customHeight="1">
      <c r="A282" s="93"/>
      <c r="B282" s="93"/>
      <c r="C282" s="118"/>
      <c r="D282" s="106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</row>
    <row r="283" ht="22.5" customHeight="1">
      <c r="A283" s="93"/>
      <c r="B283" s="93"/>
      <c r="C283" s="118"/>
      <c r="D283" s="106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</row>
    <row r="284" ht="22.5" customHeight="1">
      <c r="A284" s="93"/>
      <c r="B284" s="93"/>
      <c r="C284" s="118"/>
      <c r="D284" s="106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</row>
    <row r="285" ht="22.5" customHeight="1">
      <c r="A285" s="93"/>
      <c r="B285" s="93"/>
      <c r="C285" s="118"/>
      <c r="D285" s="106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</row>
    <row r="286" ht="22.5" customHeight="1">
      <c r="A286" s="93"/>
      <c r="B286" s="93"/>
      <c r="C286" s="118"/>
      <c r="D286" s="106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</row>
    <row r="287" ht="22.5" customHeight="1">
      <c r="A287" s="93"/>
      <c r="B287" s="93"/>
      <c r="C287" s="118"/>
      <c r="D287" s="106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</row>
    <row r="288" ht="22.5" customHeight="1">
      <c r="A288" s="93"/>
      <c r="B288" s="93"/>
      <c r="C288" s="118"/>
      <c r="D288" s="106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</row>
    <row r="289" ht="22.5" customHeight="1">
      <c r="A289" s="93"/>
      <c r="B289" s="93"/>
      <c r="C289" s="118"/>
      <c r="D289" s="106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</row>
    <row r="290" ht="22.5" customHeight="1">
      <c r="A290" s="93"/>
      <c r="B290" s="93"/>
      <c r="C290" s="118"/>
      <c r="D290" s="106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</row>
    <row r="291" ht="22.5" customHeight="1">
      <c r="A291" s="93"/>
      <c r="B291" s="93"/>
      <c r="C291" s="118"/>
      <c r="D291" s="106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</row>
    <row r="292" ht="22.5" customHeight="1">
      <c r="A292" s="93"/>
      <c r="B292" s="93"/>
      <c r="C292" s="118"/>
      <c r="D292" s="106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</row>
    <row r="293" ht="22.5" customHeight="1">
      <c r="A293" s="93"/>
      <c r="B293" s="93"/>
      <c r="C293" s="118"/>
      <c r="D293" s="106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</row>
    <row r="294" ht="22.5" customHeight="1">
      <c r="A294" s="93"/>
      <c r="B294" s="93"/>
      <c r="C294" s="118"/>
      <c r="D294" s="106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</row>
    <row r="295" ht="22.5" customHeight="1">
      <c r="A295" s="93"/>
      <c r="B295" s="93"/>
      <c r="C295" s="118"/>
      <c r="D295" s="106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</row>
    <row r="296" ht="22.5" customHeight="1">
      <c r="A296" s="93"/>
      <c r="B296" s="93"/>
      <c r="C296" s="118"/>
      <c r="D296" s="106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</row>
    <row r="297" ht="22.5" customHeight="1">
      <c r="A297" s="93"/>
      <c r="B297" s="93"/>
      <c r="C297" s="118"/>
      <c r="D297" s="106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</row>
    <row r="298" ht="22.5" customHeight="1">
      <c r="A298" s="93"/>
      <c r="B298" s="93"/>
      <c r="C298" s="118"/>
      <c r="D298" s="106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</row>
    <row r="299" ht="22.5" customHeight="1">
      <c r="A299" s="93"/>
      <c r="B299" s="93"/>
      <c r="C299" s="118"/>
      <c r="D299" s="106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</row>
    <row r="300" ht="22.5" customHeight="1">
      <c r="A300" s="93"/>
      <c r="B300" s="93"/>
      <c r="C300" s="118"/>
      <c r="D300" s="106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</row>
    <row r="301" ht="22.5" customHeight="1">
      <c r="A301" s="93"/>
      <c r="B301" s="93"/>
      <c r="C301" s="118"/>
      <c r="D301" s="106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</row>
    <row r="302" ht="22.5" customHeight="1">
      <c r="A302" s="93"/>
      <c r="B302" s="93"/>
      <c r="C302" s="118"/>
      <c r="D302" s="106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</row>
    <row r="303" ht="22.5" customHeight="1">
      <c r="A303" s="93"/>
      <c r="B303" s="93"/>
      <c r="C303" s="118"/>
      <c r="D303" s="106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</row>
    <row r="304" ht="22.5" customHeight="1">
      <c r="A304" s="93"/>
      <c r="B304" s="93"/>
      <c r="C304" s="118"/>
      <c r="D304" s="106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</row>
    <row r="305" ht="22.5" customHeight="1">
      <c r="A305" s="93"/>
      <c r="B305" s="93"/>
      <c r="C305" s="118"/>
      <c r="D305" s="106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</row>
    <row r="306" ht="22.5" customHeight="1">
      <c r="A306" s="93"/>
      <c r="B306" s="93"/>
      <c r="C306" s="118"/>
      <c r="D306" s="106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</row>
    <row r="307" ht="22.5" customHeight="1">
      <c r="A307" s="93"/>
      <c r="B307" s="93"/>
      <c r="C307" s="118"/>
      <c r="D307" s="106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</row>
    <row r="308" ht="22.5" customHeight="1">
      <c r="A308" s="93"/>
      <c r="B308" s="93"/>
      <c r="C308" s="118"/>
      <c r="D308" s="106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</row>
    <row r="309" ht="22.5" customHeight="1">
      <c r="A309" s="93"/>
      <c r="B309" s="93"/>
      <c r="C309" s="118"/>
      <c r="D309" s="106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</row>
    <row r="310" ht="22.5" customHeight="1">
      <c r="A310" s="93"/>
      <c r="B310" s="93"/>
      <c r="C310" s="118"/>
      <c r="D310" s="106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</row>
    <row r="311" ht="22.5" customHeight="1">
      <c r="A311" s="93"/>
      <c r="B311" s="93"/>
      <c r="C311" s="118"/>
      <c r="D311" s="106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</row>
    <row r="312" ht="22.5" customHeight="1">
      <c r="A312" s="93"/>
      <c r="B312" s="93"/>
      <c r="C312" s="118"/>
      <c r="D312" s="106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</row>
    <row r="313" ht="22.5" customHeight="1">
      <c r="A313" s="93"/>
      <c r="B313" s="93"/>
      <c r="C313" s="118"/>
      <c r="D313" s="106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</row>
    <row r="314" ht="22.5" customHeight="1">
      <c r="A314" s="93"/>
      <c r="B314" s="93"/>
      <c r="C314" s="118"/>
      <c r="D314" s="106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</row>
    <row r="315" ht="22.5" customHeight="1">
      <c r="A315" s="93"/>
      <c r="B315" s="93"/>
      <c r="C315" s="118"/>
      <c r="D315" s="106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</row>
    <row r="316" ht="22.5" customHeight="1">
      <c r="A316" s="93"/>
      <c r="B316" s="93"/>
      <c r="C316" s="118"/>
      <c r="D316" s="106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</row>
    <row r="317" ht="22.5" customHeight="1">
      <c r="A317" s="93"/>
      <c r="B317" s="93"/>
      <c r="C317" s="118"/>
      <c r="D317" s="106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</row>
    <row r="318" ht="22.5" customHeight="1">
      <c r="A318" s="93"/>
      <c r="B318" s="93"/>
      <c r="C318" s="118"/>
      <c r="D318" s="106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</row>
    <row r="319" ht="22.5" customHeight="1">
      <c r="A319" s="93"/>
      <c r="B319" s="93"/>
      <c r="C319" s="118"/>
      <c r="D319" s="106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</row>
    <row r="320" ht="22.5" customHeight="1">
      <c r="A320" s="93"/>
      <c r="B320" s="93"/>
      <c r="C320" s="118"/>
      <c r="D320" s="106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</row>
    <row r="321" ht="22.5" customHeight="1">
      <c r="A321" s="93"/>
      <c r="B321" s="93"/>
      <c r="C321" s="118"/>
      <c r="D321" s="106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</row>
    <row r="322" ht="22.5" customHeight="1">
      <c r="A322" s="93"/>
      <c r="B322" s="93"/>
      <c r="C322" s="118"/>
      <c r="D322" s="106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</row>
    <row r="323" ht="22.5" customHeight="1">
      <c r="A323" s="93"/>
      <c r="B323" s="93"/>
      <c r="C323" s="118"/>
      <c r="D323" s="106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</row>
    <row r="324" ht="22.5" customHeight="1">
      <c r="A324" s="93"/>
      <c r="B324" s="93"/>
      <c r="C324" s="118"/>
      <c r="D324" s="106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</row>
    <row r="325" ht="22.5" customHeight="1">
      <c r="A325" s="93"/>
      <c r="B325" s="93"/>
      <c r="C325" s="118"/>
      <c r="D325" s="106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</row>
    <row r="326" ht="22.5" customHeight="1">
      <c r="A326" s="93"/>
      <c r="B326" s="93"/>
      <c r="C326" s="118"/>
      <c r="D326" s="106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ht="22.5" customHeight="1">
      <c r="A327" s="93"/>
      <c r="B327" s="93"/>
      <c r="C327" s="118"/>
      <c r="D327" s="106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</row>
    <row r="328" ht="22.5" customHeight="1">
      <c r="A328" s="93"/>
      <c r="B328" s="93"/>
      <c r="C328" s="118"/>
      <c r="D328" s="106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</row>
    <row r="329" ht="22.5" customHeight="1">
      <c r="A329" s="93"/>
      <c r="B329" s="93"/>
      <c r="C329" s="118"/>
      <c r="D329" s="106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</row>
    <row r="330" ht="22.5" customHeight="1">
      <c r="A330" s="93"/>
      <c r="B330" s="93"/>
      <c r="C330" s="118"/>
      <c r="D330" s="106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</row>
    <row r="331" ht="22.5" customHeight="1">
      <c r="A331" s="93"/>
      <c r="B331" s="93"/>
      <c r="C331" s="118"/>
      <c r="D331" s="106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</row>
    <row r="332" ht="22.5" customHeight="1">
      <c r="A332" s="93"/>
      <c r="B332" s="93"/>
      <c r="C332" s="118"/>
      <c r="D332" s="106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</row>
    <row r="333" ht="22.5" customHeight="1">
      <c r="A333" s="93"/>
      <c r="B333" s="93"/>
      <c r="C333" s="118"/>
      <c r="D333" s="106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</row>
    <row r="334" ht="22.5" customHeight="1">
      <c r="A334" s="93"/>
      <c r="B334" s="93"/>
      <c r="C334" s="118"/>
      <c r="D334" s="106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</row>
    <row r="335" ht="22.5" customHeight="1">
      <c r="A335" s="93"/>
      <c r="B335" s="93"/>
      <c r="C335" s="118"/>
      <c r="D335" s="106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</row>
    <row r="336" ht="22.5" customHeight="1">
      <c r="A336" s="93"/>
      <c r="B336" s="93"/>
      <c r="C336" s="118"/>
      <c r="D336" s="106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</row>
    <row r="337" ht="22.5" customHeight="1">
      <c r="A337" s="93"/>
      <c r="B337" s="93"/>
      <c r="C337" s="118"/>
      <c r="D337" s="106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</row>
    <row r="338" ht="22.5" customHeight="1">
      <c r="A338" s="93"/>
      <c r="B338" s="93"/>
      <c r="C338" s="118"/>
      <c r="D338" s="106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</row>
    <row r="339" ht="22.5" customHeight="1">
      <c r="A339" s="93"/>
      <c r="B339" s="93"/>
      <c r="C339" s="118"/>
      <c r="D339" s="106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</row>
    <row r="340" ht="22.5" customHeight="1">
      <c r="A340" s="93"/>
      <c r="B340" s="93"/>
      <c r="C340" s="118"/>
      <c r="D340" s="106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</row>
    <row r="341" ht="22.5" customHeight="1">
      <c r="A341" s="93"/>
      <c r="B341" s="93"/>
      <c r="C341" s="118"/>
      <c r="D341" s="106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</row>
    <row r="342" ht="22.5" customHeight="1">
      <c r="A342" s="93"/>
      <c r="B342" s="93"/>
      <c r="C342" s="118"/>
      <c r="D342" s="106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</row>
    <row r="343" ht="22.5" customHeight="1">
      <c r="A343" s="93"/>
      <c r="B343" s="93"/>
      <c r="C343" s="118"/>
      <c r="D343" s="106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</row>
    <row r="344" ht="22.5" customHeight="1">
      <c r="A344" s="93"/>
      <c r="B344" s="93"/>
      <c r="C344" s="118"/>
      <c r="D344" s="106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</row>
    <row r="345" ht="22.5" customHeight="1">
      <c r="A345" s="93"/>
      <c r="B345" s="93"/>
      <c r="C345" s="118"/>
      <c r="D345" s="106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</row>
    <row r="346" ht="22.5" customHeight="1">
      <c r="A346" s="93"/>
      <c r="B346" s="93"/>
      <c r="C346" s="118"/>
      <c r="D346" s="106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</row>
    <row r="347" ht="22.5" customHeight="1">
      <c r="A347" s="93"/>
      <c r="B347" s="93"/>
      <c r="C347" s="118"/>
      <c r="D347" s="106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</row>
    <row r="348" ht="22.5" customHeight="1">
      <c r="A348" s="93"/>
      <c r="B348" s="93"/>
      <c r="C348" s="118"/>
      <c r="D348" s="106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</row>
    <row r="349" ht="22.5" customHeight="1">
      <c r="A349" s="93"/>
      <c r="B349" s="93"/>
      <c r="C349" s="118"/>
      <c r="D349" s="106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</row>
    <row r="350" ht="22.5" customHeight="1">
      <c r="A350" s="93"/>
      <c r="B350" s="93"/>
      <c r="C350" s="118"/>
      <c r="D350" s="106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</row>
    <row r="351" ht="22.5" customHeight="1">
      <c r="A351" s="93"/>
      <c r="B351" s="93"/>
      <c r="C351" s="118"/>
      <c r="D351" s="106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</row>
    <row r="352" ht="22.5" customHeight="1">
      <c r="A352" s="93"/>
      <c r="B352" s="93"/>
      <c r="C352" s="118"/>
      <c r="D352" s="106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</row>
    <row r="353" ht="22.5" customHeight="1">
      <c r="A353" s="93"/>
      <c r="B353" s="93"/>
      <c r="C353" s="118"/>
      <c r="D353" s="106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</row>
    <row r="354" ht="22.5" customHeight="1">
      <c r="A354" s="93"/>
      <c r="B354" s="93"/>
      <c r="C354" s="118"/>
      <c r="D354" s="106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ht="22.5" customHeight="1">
      <c r="A355" s="93"/>
      <c r="B355" s="93"/>
      <c r="C355" s="118"/>
      <c r="D355" s="106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</row>
    <row r="356" ht="22.5" customHeight="1">
      <c r="A356" s="93"/>
      <c r="B356" s="93"/>
      <c r="C356" s="118"/>
      <c r="D356" s="106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</row>
    <row r="357" ht="22.5" customHeight="1">
      <c r="A357" s="93"/>
      <c r="B357" s="93"/>
      <c r="C357" s="118"/>
      <c r="D357" s="106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</row>
    <row r="358" ht="22.5" customHeight="1">
      <c r="A358" s="93"/>
      <c r="B358" s="93"/>
      <c r="C358" s="118"/>
      <c r="D358" s="106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</row>
    <row r="359" ht="22.5" customHeight="1">
      <c r="A359" s="93"/>
      <c r="B359" s="93"/>
      <c r="C359" s="118"/>
      <c r="D359" s="106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</row>
    <row r="360" ht="22.5" customHeight="1">
      <c r="A360" s="93"/>
      <c r="B360" s="93"/>
      <c r="C360" s="118"/>
      <c r="D360" s="106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</row>
    <row r="361" ht="22.5" customHeight="1">
      <c r="A361" s="93"/>
      <c r="B361" s="93"/>
      <c r="C361" s="118"/>
      <c r="D361" s="106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</row>
    <row r="362" ht="22.5" customHeight="1">
      <c r="A362" s="93"/>
      <c r="B362" s="93"/>
      <c r="C362" s="118"/>
      <c r="D362" s="106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</row>
    <row r="363" ht="22.5" customHeight="1">
      <c r="A363" s="93"/>
      <c r="B363" s="93"/>
      <c r="C363" s="118"/>
      <c r="D363" s="106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</row>
    <row r="364" ht="22.5" customHeight="1">
      <c r="A364" s="93"/>
      <c r="B364" s="93"/>
      <c r="C364" s="118"/>
      <c r="D364" s="106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</row>
    <row r="365" ht="22.5" customHeight="1">
      <c r="A365" s="93"/>
      <c r="B365" s="93"/>
      <c r="C365" s="118"/>
      <c r="D365" s="106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</row>
    <row r="366" ht="22.5" customHeight="1">
      <c r="A366" s="93"/>
      <c r="B366" s="93"/>
      <c r="C366" s="118"/>
      <c r="D366" s="106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</row>
    <row r="367" ht="22.5" customHeight="1">
      <c r="A367" s="93"/>
      <c r="B367" s="93"/>
      <c r="C367" s="118"/>
      <c r="D367" s="106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</row>
    <row r="368" ht="22.5" customHeight="1">
      <c r="A368" s="93"/>
      <c r="B368" s="93"/>
      <c r="C368" s="118"/>
      <c r="D368" s="106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</row>
    <row r="369" ht="22.5" customHeight="1">
      <c r="A369" s="93"/>
      <c r="B369" s="93"/>
      <c r="C369" s="118"/>
      <c r="D369" s="106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</row>
    <row r="370" ht="22.5" customHeight="1">
      <c r="A370" s="93"/>
      <c r="B370" s="93"/>
      <c r="C370" s="118"/>
      <c r="D370" s="106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</row>
    <row r="371" ht="22.5" customHeight="1">
      <c r="A371" s="93"/>
      <c r="B371" s="93"/>
      <c r="C371" s="118"/>
      <c r="D371" s="106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</row>
    <row r="372" ht="22.5" customHeight="1">
      <c r="A372" s="93"/>
      <c r="B372" s="93"/>
      <c r="C372" s="118"/>
      <c r="D372" s="106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</row>
    <row r="373" ht="22.5" customHeight="1">
      <c r="A373" s="93"/>
      <c r="B373" s="93"/>
      <c r="C373" s="118"/>
      <c r="D373" s="106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</row>
    <row r="374" ht="22.5" customHeight="1">
      <c r="A374" s="93"/>
      <c r="B374" s="93"/>
      <c r="C374" s="118"/>
      <c r="D374" s="106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</row>
    <row r="375" ht="22.5" customHeight="1">
      <c r="A375" s="93"/>
      <c r="B375" s="93"/>
      <c r="C375" s="118"/>
      <c r="D375" s="106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</row>
    <row r="376" ht="22.5" customHeight="1">
      <c r="A376" s="93"/>
      <c r="B376" s="93"/>
      <c r="C376" s="118"/>
      <c r="D376" s="106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</row>
    <row r="377" ht="22.5" customHeight="1">
      <c r="A377" s="93"/>
      <c r="B377" s="93"/>
      <c r="C377" s="118"/>
      <c r="D377" s="106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</row>
    <row r="378" ht="22.5" customHeight="1">
      <c r="A378" s="93"/>
      <c r="B378" s="93"/>
      <c r="C378" s="118"/>
      <c r="D378" s="106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</row>
    <row r="379" ht="22.5" customHeight="1">
      <c r="A379" s="93"/>
      <c r="B379" s="93"/>
      <c r="C379" s="118"/>
      <c r="D379" s="106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</row>
    <row r="380" ht="22.5" customHeight="1">
      <c r="A380" s="93"/>
      <c r="B380" s="93"/>
      <c r="C380" s="118"/>
      <c r="D380" s="106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</row>
    <row r="381" ht="22.5" customHeight="1">
      <c r="A381" s="93"/>
      <c r="B381" s="93"/>
      <c r="C381" s="118"/>
      <c r="D381" s="106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</row>
    <row r="382" ht="22.5" customHeight="1">
      <c r="A382" s="93"/>
      <c r="B382" s="93"/>
      <c r="C382" s="118"/>
      <c r="D382" s="106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</row>
    <row r="383" ht="22.5" customHeight="1">
      <c r="A383" s="93"/>
      <c r="B383" s="93"/>
      <c r="C383" s="118"/>
      <c r="D383" s="106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</row>
    <row r="384" ht="22.5" customHeight="1">
      <c r="A384" s="93"/>
      <c r="B384" s="93"/>
      <c r="C384" s="118"/>
      <c r="D384" s="106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</row>
    <row r="385" ht="22.5" customHeight="1">
      <c r="A385" s="93"/>
      <c r="B385" s="93"/>
      <c r="C385" s="118"/>
      <c r="D385" s="106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</row>
    <row r="386" ht="22.5" customHeight="1">
      <c r="A386" s="93"/>
      <c r="B386" s="93"/>
      <c r="C386" s="118"/>
      <c r="D386" s="106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</row>
    <row r="387" ht="22.5" customHeight="1">
      <c r="A387" s="93"/>
      <c r="B387" s="93"/>
      <c r="C387" s="118"/>
      <c r="D387" s="106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</row>
    <row r="388" ht="22.5" customHeight="1">
      <c r="A388" s="93"/>
      <c r="B388" s="93"/>
      <c r="C388" s="118"/>
      <c r="D388" s="106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</row>
    <row r="389" ht="22.5" customHeight="1">
      <c r="A389" s="93"/>
      <c r="B389" s="93"/>
      <c r="C389" s="118"/>
      <c r="D389" s="106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</row>
    <row r="390" ht="22.5" customHeight="1">
      <c r="A390" s="93"/>
      <c r="B390" s="93"/>
      <c r="C390" s="118"/>
      <c r="D390" s="106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</row>
    <row r="391" ht="22.5" customHeight="1">
      <c r="A391" s="93"/>
      <c r="B391" s="93"/>
      <c r="C391" s="118"/>
      <c r="D391" s="106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</row>
    <row r="392" ht="22.5" customHeight="1">
      <c r="A392" s="93"/>
      <c r="B392" s="93"/>
      <c r="C392" s="118"/>
      <c r="D392" s="106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</row>
    <row r="393" ht="22.5" customHeight="1">
      <c r="A393" s="93"/>
      <c r="B393" s="93"/>
      <c r="C393" s="118"/>
      <c r="D393" s="106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</row>
    <row r="394" ht="22.5" customHeight="1">
      <c r="A394" s="93"/>
      <c r="B394" s="93"/>
      <c r="C394" s="118"/>
      <c r="D394" s="106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</row>
    <row r="395" ht="22.5" customHeight="1">
      <c r="A395" s="93"/>
      <c r="B395" s="93"/>
      <c r="C395" s="118"/>
      <c r="D395" s="106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</row>
    <row r="396" ht="22.5" customHeight="1">
      <c r="A396" s="93"/>
      <c r="B396" s="93"/>
      <c r="C396" s="118"/>
      <c r="D396" s="106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</row>
    <row r="397" ht="22.5" customHeight="1">
      <c r="A397" s="93"/>
      <c r="B397" s="93"/>
      <c r="C397" s="118"/>
      <c r="D397" s="106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</row>
    <row r="398" ht="22.5" customHeight="1">
      <c r="A398" s="93"/>
      <c r="B398" s="93"/>
      <c r="C398" s="118"/>
      <c r="D398" s="106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</row>
    <row r="399" ht="22.5" customHeight="1">
      <c r="A399" s="93"/>
      <c r="B399" s="93"/>
      <c r="C399" s="118"/>
      <c r="D399" s="106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</row>
    <row r="400" ht="22.5" customHeight="1">
      <c r="A400" s="93"/>
      <c r="B400" s="93"/>
      <c r="C400" s="118"/>
      <c r="D400" s="106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</row>
    <row r="401" ht="22.5" customHeight="1">
      <c r="A401" s="93"/>
      <c r="B401" s="93"/>
      <c r="C401" s="118"/>
      <c r="D401" s="106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</row>
    <row r="402" ht="22.5" customHeight="1">
      <c r="A402" s="93"/>
      <c r="B402" s="93"/>
      <c r="C402" s="118"/>
      <c r="D402" s="106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</row>
    <row r="403" ht="22.5" customHeight="1">
      <c r="A403" s="93"/>
      <c r="B403" s="93"/>
      <c r="C403" s="118"/>
      <c r="D403" s="106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</row>
    <row r="404" ht="22.5" customHeight="1">
      <c r="A404" s="93"/>
      <c r="B404" s="93"/>
      <c r="C404" s="118"/>
      <c r="D404" s="106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</row>
    <row r="405" ht="22.5" customHeight="1">
      <c r="A405" s="93"/>
      <c r="B405" s="93"/>
      <c r="C405" s="118"/>
      <c r="D405" s="106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</row>
    <row r="406" ht="22.5" customHeight="1">
      <c r="A406" s="93"/>
      <c r="B406" s="93"/>
      <c r="C406" s="118"/>
      <c r="D406" s="106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</row>
    <row r="407" ht="22.5" customHeight="1">
      <c r="A407" s="93"/>
      <c r="B407" s="93"/>
      <c r="C407" s="118"/>
      <c r="D407" s="106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</row>
    <row r="408" ht="22.5" customHeight="1">
      <c r="A408" s="93"/>
      <c r="B408" s="93"/>
      <c r="C408" s="118"/>
      <c r="D408" s="106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</row>
    <row r="409" ht="22.5" customHeight="1">
      <c r="A409" s="93"/>
      <c r="B409" s="93"/>
      <c r="C409" s="118"/>
      <c r="D409" s="106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</row>
    <row r="410" ht="22.5" customHeight="1">
      <c r="A410" s="93"/>
      <c r="B410" s="93"/>
      <c r="C410" s="118"/>
      <c r="D410" s="106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</row>
    <row r="411" ht="22.5" customHeight="1">
      <c r="A411" s="93"/>
      <c r="B411" s="93"/>
      <c r="C411" s="118"/>
      <c r="D411" s="106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</row>
    <row r="412" ht="22.5" customHeight="1">
      <c r="A412" s="93"/>
      <c r="B412" s="93"/>
      <c r="C412" s="118"/>
      <c r="D412" s="106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</row>
    <row r="413" ht="22.5" customHeight="1">
      <c r="A413" s="93"/>
      <c r="B413" s="93"/>
      <c r="C413" s="118"/>
      <c r="D413" s="106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</row>
    <row r="414" ht="22.5" customHeight="1">
      <c r="A414" s="93"/>
      <c r="B414" s="93"/>
      <c r="C414" s="118"/>
      <c r="D414" s="106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</row>
    <row r="415" ht="22.5" customHeight="1">
      <c r="A415" s="93"/>
      <c r="B415" s="93"/>
      <c r="C415" s="118"/>
      <c r="D415" s="106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</row>
    <row r="416" ht="22.5" customHeight="1">
      <c r="A416" s="93"/>
      <c r="B416" s="93"/>
      <c r="C416" s="118"/>
      <c r="D416" s="106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</row>
    <row r="417" ht="22.5" customHeight="1">
      <c r="A417" s="93"/>
      <c r="B417" s="93"/>
      <c r="C417" s="118"/>
      <c r="D417" s="106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</row>
    <row r="418" ht="22.5" customHeight="1">
      <c r="A418" s="93"/>
      <c r="B418" s="93"/>
      <c r="C418" s="118"/>
      <c r="D418" s="106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</row>
    <row r="419" ht="22.5" customHeight="1">
      <c r="A419" s="93"/>
      <c r="B419" s="93"/>
      <c r="C419" s="118"/>
      <c r="D419" s="106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</row>
    <row r="420" ht="22.5" customHeight="1">
      <c r="A420" s="93"/>
      <c r="B420" s="93"/>
      <c r="C420" s="118"/>
      <c r="D420" s="106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</row>
    <row r="421" ht="22.5" customHeight="1">
      <c r="A421" s="93"/>
      <c r="B421" s="93"/>
      <c r="C421" s="118"/>
      <c r="D421" s="106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</row>
    <row r="422" ht="22.5" customHeight="1">
      <c r="A422" s="93"/>
      <c r="B422" s="93"/>
      <c r="C422" s="118"/>
      <c r="D422" s="106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</row>
    <row r="423" ht="22.5" customHeight="1">
      <c r="A423" s="93"/>
      <c r="B423" s="93"/>
      <c r="C423" s="118"/>
      <c r="D423" s="106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</row>
    <row r="424" ht="22.5" customHeight="1">
      <c r="A424" s="93"/>
      <c r="B424" s="93"/>
      <c r="C424" s="118"/>
      <c r="D424" s="106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</row>
    <row r="425" ht="22.5" customHeight="1">
      <c r="A425" s="93"/>
      <c r="B425" s="93"/>
      <c r="C425" s="118"/>
      <c r="D425" s="106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</row>
    <row r="426" ht="22.5" customHeight="1">
      <c r="A426" s="93"/>
      <c r="B426" s="93"/>
      <c r="C426" s="118"/>
      <c r="D426" s="106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</row>
    <row r="427" ht="22.5" customHeight="1">
      <c r="A427" s="93"/>
      <c r="B427" s="93"/>
      <c r="C427" s="118"/>
      <c r="D427" s="106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</row>
    <row r="428" ht="22.5" customHeight="1">
      <c r="A428" s="93"/>
      <c r="B428" s="93"/>
      <c r="C428" s="118"/>
      <c r="D428" s="106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</row>
    <row r="429" ht="22.5" customHeight="1">
      <c r="A429" s="93"/>
      <c r="B429" s="93"/>
      <c r="C429" s="118"/>
      <c r="D429" s="106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</row>
    <row r="430" ht="22.5" customHeight="1">
      <c r="A430" s="93"/>
      <c r="B430" s="93"/>
      <c r="C430" s="118"/>
      <c r="D430" s="106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</row>
    <row r="431" ht="22.5" customHeight="1">
      <c r="A431" s="93"/>
      <c r="B431" s="93"/>
      <c r="C431" s="118"/>
      <c r="D431" s="106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</row>
    <row r="432" ht="22.5" customHeight="1">
      <c r="A432" s="93"/>
      <c r="B432" s="93"/>
      <c r="C432" s="118"/>
      <c r="D432" s="106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</row>
    <row r="433" ht="22.5" customHeight="1">
      <c r="A433" s="93"/>
      <c r="B433" s="93"/>
      <c r="C433" s="118"/>
      <c r="D433" s="106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</row>
    <row r="434" ht="22.5" customHeight="1">
      <c r="A434" s="93"/>
      <c r="B434" s="93"/>
      <c r="C434" s="118"/>
      <c r="D434" s="106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</row>
    <row r="435" ht="22.5" customHeight="1">
      <c r="A435" s="93"/>
      <c r="B435" s="93"/>
      <c r="C435" s="118"/>
      <c r="D435" s="106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</row>
    <row r="436" ht="22.5" customHeight="1">
      <c r="A436" s="93"/>
      <c r="B436" s="93"/>
      <c r="C436" s="118"/>
      <c r="D436" s="106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</row>
    <row r="437" ht="22.5" customHeight="1">
      <c r="A437" s="93"/>
      <c r="B437" s="93"/>
      <c r="C437" s="118"/>
      <c r="D437" s="106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</row>
    <row r="438" ht="22.5" customHeight="1">
      <c r="A438" s="93"/>
      <c r="B438" s="93"/>
      <c r="C438" s="118"/>
      <c r="D438" s="106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</row>
    <row r="439" ht="22.5" customHeight="1">
      <c r="A439" s="93"/>
      <c r="B439" s="93"/>
      <c r="C439" s="118"/>
      <c r="D439" s="106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</row>
    <row r="440" ht="22.5" customHeight="1">
      <c r="A440" s="93"/>
      <c r="B440" s="93"/>
      <c r="C440" s="118"/>
      <c r="D440" s="106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</row>
    <row r="441" ht="22.5" customHeight="1">
      <c r="A441" s="93"/>
      <c r="B441" s="93"/>
      <c r="C441" s="118"/>
      <c r="D441" s="106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</row>
    <row r="442" ht="22.5" customHeight="1">
      <c r="A442" s="93"/>
      <c r="B442" s="93"/>
      <c r="C442" s="118"/>
      <c r="D442" s="106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</row>
    <row r="443" ht="22.5" customHeight="1">
      <c r="A443" s="93"/>
      <c r="B443" s="93"/>
      <c r="C443" s="118"/>
      <c r="D443" s="106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</row>
    <row r="444" ht="22.5" customHeight="1">
      <c r="A444" s="93"/>
      <c r="B444" s="93"/>
      <c r="C444" s="118"/>
      <c r="D444" s="106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</row>
    <row r="445" ht="22.5" customHeight="1">
      <c r="A445" s="93"/>
      <c r="B445" s="93"/>
      <c r="C445" s="118"/>
      <c r="D445" s="106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</row>
    <row r="446" ht="22.5" customHeight="1">
      <c r="A446" s="93"/>
      <c r="B446" s="93"/>
      <c r="C446" s="118"/>
      <c r="D446" s="106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</row>
    <row r="447" ht="22.5" customHeight="1">
      <c r="A447" s="93"/>
      <c r="B447" s="93"/>
      <c r="C447" s="118"/>
      <c r="D447" s="106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</row>
    <row r="448" ht="22.5" customHeight="1">
      <c r="A448" s="93"/>
      <c r="B448" s="93"/>
      <c r="C448" s="118"/>
      <c r="D448" s="106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</row>
    <row r="449" ht="22.5" customHeight="1">
      <c r="A449" s="93"/>
      <c r="B449" s="93"/>
      <c r="C449" s="118"/>
      <c r="D449" s="106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</row>
    <row r="450" ht="22.5" customHeight="1">
      <c r="A450" s="93"/>
      <c r="B450" s="93"/>
      <c r="C450" s="118"/>
      <c r="D450" s="106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</row>
    <row r="451" ht="22.5" customHeight="1">
      <c r="A451" s="93"/>
      <c r="B451" s="93"/>
      <c r="C451" s="118"/>
      <c r="D451" s="106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</row>
    <row r="452" ht="22.5" customHeight="1">
      <c r="A452" s="93"/>
      <c r="B452" s="93"/>
      <c r="C452" s="118"/>
      <c r="D452" s="106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</row>
    <row r="453" ht="22.5" customHeight="1">
      <c r="A453" s="93"/>
      <c r="B453" s="93"/>
      <c r="C453" s="118"/>
      <c r="D453" s="106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</row>
    <row r="454" ht="22.5" customHeight="1">
      <c r="A454" s="93"/>
      <c r="B454" s="93"/>
      <c r="C454" s="118"/>
      <c r="D454" s="106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</row>
    <row r="455" ht="22.5" customHeight="1">
      <c r="A455" s="93"/>
      <c r="B455" s="93"/>
      <c r="C455" s="118"/>
      <c r="D455" s="106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</row>
    <row r="456" ht="22.5" customHeight="1">
      <c r="A456" s="93"/>
      <c r="B456" s="93"/>
      <c r="C456" s="118"/>
      <c r="D456" s="106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</row>
    <row r="457" ht="22.5" customHeight="1">
      <c r="A457" s="93"/>
      <c r="B457" s="93"/>
      <c r="C457" s="118"/>
      <c r="D457" s="106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</row>
    <row r="458" ht="22.5" customHeight="1">
      <c r="A458" s="93"/>
      <c r="B458" s="93"/>
      <c r="C458" s="118"/>
      <c r="D458" s="106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</row>
    <row r="459" ht="22.5" customHeight="1">
      <c r="A459" s="93"/>
      <c r="B459" s="93"/>
      <c r="C459" s="118"/>
      <c r="D459" s="106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</row>
    <row r="460" ht="22.5" customHeight="1">
      <c r="A460" s="93"/>
      <c r="B460" s="93"/>
      <c r="C460" s="118"/>
      <c r="D460" s="106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</row>
    <row r="461" ht="22.5" customHeight="1">
      <c r="A461" s="93"/>
      <c r="B461" s="93"/>
      <c r="C461" s="118"/>
      <c r="D461" s="106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</row>
    <row r="462" ht="22.5" customHeight="1">
      <c r="A462" s="93"/>
      <c r="B462" s="93"/>
      <c r="C462" s="118"/>
      <c r="D462" s="106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</row>
    <row r="463" ht="22.5" customHeight="1">
      <c r="A463" s="93"/>
      <c r="B463" s="93"/>
      <c r="C463" s="118"/>
      <c r="D463" s="106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</row>
    <row r="464" ht="22.5" customHeight="1">
      <c r="A464" s="93"/>
      <c r="B464" s="93"/>
      <c r="C464" s="118"/>
      <c r="D464" s="106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</row>
    <row r="465" ht="22.5" customHeight="1">
      <c r="A465" s="93"/>
      <c r="B465" s="93"/>
      <c r="C465" s="118"/>
      <c r="D465" s="106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</row>
    <row r="466" ht="22.5" customHeight="1">
      <c r="A466" s="93"/>
      <c r="B466" s="93"/>
      <c r="C466" s="118"/>
      <c r="D466" s="106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</row>
    <row r="467" ht="22.5" customHeight="1">
      <c r="A467" s="93"/>
      <c r="B467" s="93"/>
      <c r="C467" s="118"/>
      <c r="D467" s="106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</row>
    <row r="468" ht="22.5" customHeight="1">
      <c r="A468" s="93"/>
      <c r="B468" s="93"/>
      <c r="C468" s="118"/>
      <c r="D468" s="106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</row>
    <row r="469" ht="22.5" customHeight="1">
      <c r="A469" s="93"/>
      <c r="B469" s="93"/>
      <c r="C469" s="118"/>
      <c r="D469" s="106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</row>
    <row r="470" ht="22.5" customHeight="1">
      <c r="A470" s="93"/>
      <c r="B470" s="93"/>
      <c r="C470" s="118"/>
      <c r="D470" s="106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</row>
    <row r="471" ht="22.5" customHeight="1">
      <c r="A471" s="93"/>
      <c r="B471" s="93"/>
      <c r="C471" s="118"/>
      <c r="D471" s="106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</row>
    <row r="472" ht="22.5" customHeight="1">
      <c r="A472" s="93"/>
      <c r="B472" s="93"/>
      <c r="C472" s="118"/>
      <c r="D472" s="106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</row>
    <row r="473" ht="22.5" customHeight="1">
      <c r="A473" s="93"/>
      <c r="B473" s="93"/>
      <c r="C473" s="118"/>
      <c r="D473" s="106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</row>
    <row r="474" ht="22.5" customHeight="1">
      <c r="A474" s="93"/>
      <c r="B474" s="93"/>
      <c r="C474" s="118"/>
      <c r="D474" s="106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</row>
    <row r="475" ht="22.5" customHeight="1">
      <c r="A475" s="93"/>
      <c r="B475" s="93"/>
      <c r="C475" s="118"/>
      <c r="D475" s="106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</row>
    <row r="476" ht="22.5" customHeight="1">
      <c r="A476" s="93"/>
      <c r="B476" s="93"/>
      <c r="C476" s="118"/>
      <c r="D476" s="106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</row>
    <row r="477" ht="22.5" customHeight="1">
      <c r="A477" s="93"/>
      <c r="B477" s="93"/>
      <c r="C477" s="118"/>
      <c r="D477" s="106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</row>
    <row r="478" ht="22.5" customHeight="1">
      <c r="A478" s="93"/>
      <c r="B478" s="93"/>
      <c r="C478" s="118"/>
      <c r="D478" s="106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</row>
    <row r="479" ht="22.5" customHeight="1">
      <c r="A479" s="93"/>
      <c r="B479" s="93"/>
      <c r="C479" s="118"/>
      <c r="D479" s="106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</row>
    <row r="480" ht="22.5" customHeight="1">
      <c r="A480" s="93"/>
      <c r="B480" s="93"/>
      <c r="C480" s="118"/>
      <c r="D480" s="106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</row>
    <row r="481" ht="22.5" customHeight="1">
      <c r="A481" s="93"/>
      <c r="B481" s="93"/>
      <c r="C481" s="118"/>
      <c r="D481" s="106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</row>
    <row r="482" ht="22.5" customHeight="1">
      <c r="A482" s="93"/>
      <c r="B482" s="93"/>
      <c r="C482" s="118"/>
      <c r="D482" s="106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</row>
    <row r="483" ht="22.5" customHeight="1">
      <c r="A483" s="93"/>
      <c r="B483" s="93"/>
      <c r="C483" s="118"/>
      <c r="D483" s="106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</row>
    <row r="484" ht="22.5" customHeight="1">
      <c r="A484" s="93"/>
      <c r="B484" s="93"/>
      <c r="C484" s="118"/>
      <c r="D484" s="106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</row>
    <row r="485" ht="22.5" customHeight="1">
      <c r="A485" s="93"/>
      <c r="B485" s="93"/>
      <c r="C485" s="118"/>
      <c r="D485" s="106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</row>
    <row r="486" ht="22.5" customHeight="1">
      <c r="A486" s="93"/>
      <c r="B486" s="93"/>
      <c r="C486" s="118"/>
      <c r="D486" s="106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</row>
    <row r="487" ht="22.5" customHeight="1">
      <c r="A487" s="93"/>
      <c r="B487" s="93"/>
      <c r="C487" s="118"/>
      <c r="D487" s="106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</row>
    <row r="488" ht="22.5" customHeight="1">
      <c r="A488" s="93"/>
      <c r="B488" s="93"/>
      <c r="C488" s="118"/>
      <c r="D488" s="106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</row>
    <row r="489" ht="22.5" customHeight="1">
      <c r="A489" s="93"/>
      <c r="B489" s="93"/>
      <c r="C489" s="118"/>
      <c r="D489" s="106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</row>
    <row r="490" ht="22.5" customHeight="1">
      <c r="A490" s="93"/>
      <c r="B490" s="93"/>
      <c r="C490" s="118"/>
      <c r="D490" s="106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</row>
    <row r="491" ht="22.5" customHeight="1">
      <c r="A491" s="93"/>
      <c r="B491" s="93"/>
      <c r="C491" s="118"/>
      <c r="D491" s="106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</row>
    <row r="492" ht="22.5" customHeight="1">
      <c r="A492" s="93"/>
      <c r="B492" s="93"/>
      <c r="C492" s="118"/>
      <c r="D492" s="106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</row>
    <row r="493" ht="22.5" customHeight="1">
      <c r="A493" s="93"/>
      <c r="B493" s="93"/>
      <c r="C493" s="118"/>
      <c r="D493" s="106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</row>
    <row r="494" ht="22.5" customHeight="1">
      <c r="A494" s="93"/>
      <c r="B494" s="93"/>
      <c r="C494" s="118"/>
      <c r="D494" s="106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</row>
    <row r="495" ht="22.5" customHeight="1">
      <c r="A495" s="93"/>
      <c r="B495" s="93"/>
      <c r="C495" s="118"/>
      <c r="D495" s="106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</row>
    <row r="496" ht="22.5" customHeight="1">
      <c r="A496" s="93"/>
      <c r="B496" s="93"/>
      <c r="C496" s="118"/>
      <c r="D496" s="106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</row>
    <row r="497" ht="22.5" customHeight="1">
      <c r="A497" s="93"/>
      <c r="B497" s="93"/>
      <c r="C497" s="118"/>
      <c r="D497" s="106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</row>
    <row r="498" ht="22.5" customHeight="1">
      <c r="A498" s="93"/>
      <c r="B498" s="93"/>
      <c r="C498" s="118"/>
      <c r="D498" s="106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</row>
    <row r="499" ht="22.5" customHeight="1">
      <c r="A499" s="93"/>
      <c r="B499" s="93"/>
      <c r="C499" s="118"/>
      <c r="D499" s="106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</row>
    <row r="500" ht="22.5" customHeight="1">
      <c r="A500" s="93"/>
      <c r="B500" s="93"/>
      <c r="C500" s="118"/>
      <c r="D500" s="106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</row>
    <row r="501" ht="22.5" customHeight="1">
      <c r="A501" s="93"/>
      <c r="B501" s="93"/>
      <c r="C501" s="118"/>
      <c r="D501" s="106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</row>
    <row r="502" ht="22.5" customHeight="1">
      <c r="A502" s="93"/>
      <c r="B502" s="93"/>
      <c r="C502" s="118"/>
      <c r="D502" s="106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</row>
    <row r="503" ht="22.5" customHeight="1">
      <c r="A503" s="93"/>
      <c r="B503" s="93"/>
      <c r="C503" s="118"/>
      <c r="D503" s="106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</row>
    <row r="504" ht="22.5" customHeight="1">
      <c r="A504" s="93"/>
      <c r="B504" s="93"/>
      <c r="C504" s="118"/>
      <c r="D504" s="106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</row>
    <row r="505" ht="22.5" customHeight="1">
      <c r="A505" s="93"/>
      <c r="B505" s="93"/>
      <c r="C505" s="118"/>
      <c r="D505" s="106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</row>
    <row r="506" ht="22.5" customHeight="1">
      <c r="A506" s="93"/>
      <c r="B506" s="93"/>
      <c r="C506" s="118"/>
      <c r="D506" s="106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</row>
    <row r="507" ht="22.5" customHeight="1">
      <c r="A507" s="93"/>
      <c r="B507" s="93"/>
      <c r="C507" s="118"/>
      <c r="D507" s="106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</row>
    <row r="508" ht="22.5" customHeight="1">
      <c r="A508" s="93"/>
      <c r="B508" s="93"/>
      <c r="C508" s="118"/>
      <c r="D508" s="106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</row>
    <row r="509" ht="22.5" customHeight="1">
      <c r="A509" s="93"/>
      <c r="B509" s="93"/>
      <c r="C509" s="118"/>
      <c r="D509" s="106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</row>
    <row r="510" ht="22.5" customHeight="1">
      <c r="A510" s="93"/>
      <c r="B510" s="93"/>
      <c r="C510" s="118"/>
      <c r="D510" s="106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</row>
    <row r="511" ht="22.5" customHeight="1">
      <c r="A511" s="93"/>
      <c r="B511" s="93"/>
      <c r="C511" s="118"/>
      <c r="D511" s="106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</row>
    <row r="512" ht="22.5" customHeight="1">
      <c r="A512" s="93"/>
      <c r="B512" s="93"/>
      <c r="C512" s="118"/>
      <c r="D512" s="106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ht="22.5" customHeight="1">
      <c r="A513" s="93"/>
      <c r="B513" s="93"/>
      <c r="C513" s="118"/>
      <c r="D513" s="106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</row>
    <row r="514" ht="22.5" customHeight="1">
      <c r="A514" s="93"/>
      <c r="B514" s="93"/>
      <c r="C514" s="118"/>
      <c r="D514" s="106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</row>
    <row r="515" ht="22.5" customHeight="1">
      <c r="A515" s="93"/>
      <c r="B515" s="93"/>
      <c r="C515" s="118"/>
      <c r="D515" s="106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</row>
    <row r="516" ht="22.5" customHeight="1">
      <c r="A516" s="93"/>
      <c r="B516" s="93"/>
      <c r="C516" s="118"/>
      <c r="D516" s="106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</row>
    <row r="517" ht="22.5" customHeight="1">
      <c r="A517" s="93"/>
      <c r="B517" s="93"/>
      <c r="C517" s="118"/>
      <c r="D517" s="106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</row>
    <row r="518" ht="22.5" customHeight="1">
      <c r="A518" s="93"/>
      <c r="B518" s="93"/>
      <c r="C518" s="118"/>
      <c r="D518" s="106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</row>
    <row r="519" ht="22.5" customHeight="1">
      <c r="A519" s="93"/>
      <c r="B519" s="93"/>
      <c r="C519" s="118"/>
      <c r="D519" s="106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</row>
    <row r="520" ht="22.5" customHeight="1">
      <c r="A520" s="93"/>
      <c r="B520" s="93"/>
      <c r="C520" s="118"/>
      <c r="D520" s="106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</row>
    <row r="521" ht="22.5" customHeight="1">
      <c r="A521" s="93"/>
      <c r="B521" s="93"/>
      <c r="C521" s="118"/>
      <c r="D521" s="106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</row>
    <row r="522" ht="22.5" customHeight="1">
      <c r="A522" s="93"/>
      <c r="B522" s="93"/>
      <c r="C522" s="118"/>
      <c r="D522" s="106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</row>
    <row r="523" ht="22.5" customHeight="1">
      <c r="A523" s="93"/>
      <c r="B523" s="93"/>
      <c r="C523" s="118"/>
      <c r="D523" s="106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</row>
    <row r="524" ht="22.5" customHeight="1">
      <c r="A524" s="93"/>
      <c r="B524" s="93"/>
      <c r="C524" s="118"/>
      <c r="D524" s="106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</row>
    <row r="525" ht="22.5" customHeight="1">
      <c r="A525" s="93"/>
      <c r="B525" s="93"/>
      <c r="C525" s="118"/>
      <c r="D525" s="106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</row>
    <row r="526" ht="22.5" customHeight="1">
      <c r="A526" s="93"/>
      <c r="B526" s="93"/>
      <c r="C526" s="118"/>
      <c r="D526" s="106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</row>
    <row r="527" ht="22.5" customHeight="1">
      <c r="A527" s="93"/>
      <c r="B527" s="93"/>
      <c r="C527" s="118"/>
      <c r="D527" s="106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</row>
    <row r="528" ht="22.5" customHeight="1">
      <c r="A528" s="93"/>
      <c r="B528" s="93"/>
      <c r="C528" s="118"/>
      <c r="D528" s="106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</row>
    <row r="529" ht="22.5" customHeight="1">
      <c r="A529" s="93"/>
      <c r="B529" s="93"/>
      <c r="C529" s="118"/>
      <c r="D529" s="106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</row>
    <row r="530" ht="22.5" customHeight="1">
      <c r="A530" s="93"/>
      <c r="B530" s="93"/>
      <c r="C530" s="118"/>
      <c r="D530" s="106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</row>
    <row r="531" ht="22.5" customHeight="1">
      <c r="A531" s="93"/>
      <c r="B531" s="93"/>
      <c r="C531" s="118"/>
      <c r="D531" s="106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</row>
    <row r="532" ht="22.5" customHeight="1">
      <c r="A532" s="93"/>
      <c r="B532" s="93"/>
      <c r="C532" s="118"/>
      <c r="D532" s="106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</row>
    <row r="533" ht="22.5" customHeight="1">
      <c r="A533" s="93"/>
      <c r="B533" s="93"/>
      <c r="C533" s="118"/>
      <c r="D533" s="106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</row>
    <row r="534" ht="22.5" customHeight="1">
      <c r="A534" s="93"/>
      <c r="B534" s="93"/>
      <c r="C534" s="118"/>
      <c r="D534" s="106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</row>
    <row r="535" ht="22.5" customHeight="1">
      <c r="A535" s="93"/>
      <c r="B535" s="93"/>
      <c r="C535" s="118"/>
      <c r="D535" s="106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</row>
    <row r="536" ht="22.5" customHeight="1">
      <c r="A536" s="93"/>
      <c r="B536" s="93"/>
      <c r="C536" s="118"/>
      <c r="D536" s="106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</row>
    <row r="537" ht="22.5" customHeight="1">
      <c r="A537" s="93"/>
      <c r="B537" s="93"/>
      <c r="C537" s="118"/>
      <c r="D537" s="106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</row>
    <row r="538" ht="22.5" customHeight="1">
      <c r="A538" s="93"/>
      <c r="B538" s="93"/>
      <c r="C538" s="118"/>
      <c r="D538" s="106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</row>
    <row r="539" ht="22.5" customHeight="1">
      <c r="A539" s="93"/>
      <c r="B539" s="93"/>
      <c r="C539" s="118"/>
      <c r="D539" s="106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</row>
    <row r="540" ht="22.5" customHeight="1">
      <c r="A540" s="93"/>
      <c r="B540" s="93"/>
      <c r="C540" s="118"/>
      <c r="D540" s="106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</row>
    <row r="541" ht="22.5" customHeight="1">
      <c r="A541" s="93"/>
      <c r="B541" s="93"/>
      <c r="C541" s="118"/>
      <c r="D541" s="106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</row>
    <row r="542" ht="22.5" customHeight="1">
      <c r="A542" s="93"/>
      <c r="B542" s="93"/>
      <c r="C542" s="118"/>
      <c r="D542" s="106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</row>
    <row r="543" ht="22.5" customHeight="1">
      <c r="A543" s="93"/>
      <c r="B543" s="93"/>
      <c r="C543" s="118"/>
      <c r="D543" s="106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</row>
    <row r="544" ht="22.5" customHeight="1">
      <c r="A544" s="93"/>
      <c r="B544" s="93"/>
      <c r="C544" s="118"/>
      <c r="D544" s="106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</row>
    <row r="545" ht="22.5" customHeight="1">
      <c r="A545" s="93"/>
      <c r="B545" s="93"/>
      <c r="C545" s="118"/>
      <c r="D545" s="106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</row>
    <row r="546" ht="22.5" customHeight="1">
      <c r="A546" s="93"/>
      <c r="B546" s="93"/>
      <c r="C546" s="118"/>
      <c r="D546" s="106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</row>
    <row r="547" ht="22.5" customHeight="1">
      <c r="A547" s="93"/>
      <c r="B547" s="93"/>
      <c r="C547" s="118"/>
      <c r="D547" s="106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</row>
    <row r="548" ht="22.5" customHeight="1">
      <c r="A548" s="93"/>
      <c r="B548" s="93"/>
      <c r="C548" s="118"/>
      <c r="D548" s="106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</row>
    <row r="549" ht="22.5" customHeight="1">
      <c r="A549" s="93"/>
      <c r="B549" s="93"/>
      <c r="C549" s="118"/>
      <c r="D549" s="106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</row>
    <row r="550" ht="22.5" customHeight="1">
      <c r="A550" s="93"/>
      <c r="B550" s="93"/>
      <c r="C550" s="118"/>
      <c r="D550" s="106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</row>
    <row r="551" ht="22.5" customHeight="1">
      <c r="A551" s="93"/>
      <c r="B551" s="93"/>
      <c r="C551" s="118"/>
      <c r="D551" s="106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</row>
    <row r="552" ht="22.5" customHeight="1">
      <c r="A552" s="93"/>
      <c r="B552" s="93"/>
      <c r="C552" s="118"/>
      <c r="D552" s="106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</row>
    <row r="553" ht="22.5" customHeight="1">
      <c r="A553" s="93"/>
      <c r="B553" s="93"/>
      <c r="C553" s="118"/>
      <c r="D553" s="106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</row>
    <row r="554" ht="22.5" customHeight="1">
      <c r="A554" s="93"/>
      <c r="B554" s="93"/>
      <c r="C554" s="118"/>
      <c r="D554" s="106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</row>
    <row r="555" ht="22.5" customHeight="1">
      <c r="A555" s="93"/>
      <c r="B555" s="93"/>
      <c r="C555" s="118"/>
      <c r="D555" s="106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</row>
    <row r="556" ht="22.5" customHeight="1">
      <c r="A556" s="93"/>
      <c r="B556" s="93"/>
      <c r="C556" s="118"/>
      <c r="D556" s="106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</row>
    <row r="557" ht="22.5" customHeight="1">
      <c r="A557" s="93"/>
      <c r="B557" s="93"/>
      <c r="C557" s="118"/>
      <c r="D557" s="106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</row>
    <row r="558" ht="22.5" customHeight="1">
      <c r="A558" s="93"/>
      <c r="B558" s="93"/>
      <c r="C558" s="118"/>
      <c r="D558" s="106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</row>
    <row r="559" ht="22.5" customHeight="1">
      <c r="A559" s="93"/>
      <c r="B559" s="93"/>
      <c r="C559" s="118"/>
      <c r="D559" s="106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</row>
    <row r="560" ht="22.5" customHeight="1">
      <c r="A560" s="93"/>
      <c r="B560" s="93"/>
      <c r="C560" s="118"/>
      <c r="D560" s="106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</row>
    <row r="561" ht="22.5" customHeight="1">
      <c r="A561" s="93"/>
      <c r="B561" s="93"/>
      <c r="C561" s="118"/>
      <c r="D561" s="106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</row>
    <row r="562" ht="22.5" customHeight="1">
      <c r="A562" s="93"/>
      <c r="B562" s="93"/>
      <c r="C562" s="118"/>
      <c r="D562" s="106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</row>
    <row r="563" ht="22.5" customHeight="1">
      <c r="A563" s="93"/>
      <c r="B563" s="93"/>
      <c r="C563" s="118"/>
      <c r="D563" s="106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</row>
    <row r="564" ht="22.5" customHeight="1">
      <c r="A564" s="93"/>
      <c r="B564" s="93"/>
      <c r="C564" s="118"/>
      <c r="D564" s="106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</row>
    <row r="565" ht="22.5" customHeight="1">
      <c r="A565" s="93"/>
      <c r="B565" s="93"/>
      <c r="C565" s="118"/>
      <c r="D565" s="106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</row>
    <row r="566" ht="22.5" customHeight="1">
      <c r="A566" s="93"/>
      <c r="B566" s="93"/>
      <c r="C566" s="118"/>
      <c r="D566" s="106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</row>
    <row r="567" ht="22.5" customHeight="1">
      <c r="A567" s="93"/>
      <c r="B567" s="93"/>
      <c r="C567" s="118"/>
      <c r="D567" s="106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</row>
    <row r="568" ht="22.5" customHeight="1">
      <c r="A568" s="93"/>
      <c r="B568" s="93"/>
      <c r="C568" s="118"/>
      <c r="D568" s="106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</row>
    <row r="569" ht="22.5" customHeight="1">
      <c r="A569" s="93"/>
      <c r="B569" s="93"/>
      <c r="C569" s="118"/>
      <c r="D569" s="106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</row>
    <row r="570" ht="22.5" customHeight="1">
      <c r="A570" s="93"/>
      <c r="B570" s="93"/>
      <c r="C570" s="118"/>
      <c r="D570" s="106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</row>
    <row r="571" ht="22.5" customHeight="1">
      <c r="A571" s="93"/>
      <c r="B571" s="93"/>
      <c r="C571" s="118"/>
      <c r="D571" s="106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</row>
    <row r="572" ht="22.5" customHeight="1">
      <c r="A572" s="93"/>
      <c r="B572" s="93"/>
      <c r="C572" s="118"/>
      <c r="D572" s="106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</row>
    <row r="573" ht="22.5" customHeight="1">
      <c r="A573" s="93"/>
      <c r="B573" s="93"/>
      <c r="C573" s="118"/>
      <c r="D573" s="106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</row>
    <row r="574" ht="22.5" customHeight="1">
      <c r="A574" s="93"/>
      <c r="B574" s="93"/>
      <c r="C574" s="118"/>
      <c r="D574" s="106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</row>
    <row r="575" ht="22.5" customHeight="1">
      <c r="A575" s="93"/>
      <c r="B575" s="93"/>
      <c r="C575" s="118"/>
      <c r="D575" s="106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</row>
    <row r="576" ht="22.5" customHeight="1">
      <c r="A576" s="93"/>
      <c r="B576" s="93"/>
      <c r="C576" s="118"/>
      <c r="D576" s="106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</row>
    <row r="577" ht="22.5" customHeight="1">
      <c r="A577" s="93"/>
      <c r="B577" s="93"/>
      <c r="C577" s="118"/>
      <c r="D577" s="106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</row>
    <row r="578" ht="22.5" customHeight="1">
      <c r="A578" s="93"/>
      <c r="B578" s="93"/>
      <c r="C578" s="118"/>
      <c r="D578" s="106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</row>
    <row r="579" ht="22.5" customHeight="1">
      <c r="A579" s="93"/>
      <c r="B579" s="93"/>
      <c r="C579" s="118"/>
      <c r="D579" s="106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</row>
    <row r="580" ht="22.5" customHeight="1">
      <c r="A580" s="93"/>
      <c r="B580" s="93"/>
      <c r="C580" s="118"/>
      <c r="D580" s="106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</row>
    <row r="581" ht="22.5" customHeight="1">
      <c r="A581" s="93"/>
      <c r="B581" s="93"/>
      <c r="C581" s="118"/>
      <c r="D581" s="106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</row>
    <row r="582" ht="22.5" customHeight="1">
      <c r="A582" s="93"/>
      <c r="B582" s="93"/>
      <c r="C582" s="118"/>
      <c r="D582" s="106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</row>
    <row r="583" ht="22.5" customHeight="1">
      <c r="A583" s="93"/>
      <c r="B583" s="93"/>
      <c r="C583" s="118"/>
      <c r="D583" s="106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</row>
    <row r="584" ht="22.5" customHeight="1">
      <c r="A584" s="93"/>
      <c r="B584" s="93"/>
      <c r="C584" s="118"/>
      <c r="D584" s="106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</row>
    <row r="585" ht="22.5" customHeight="1">
      <c r="A585" s="93"/>
      <c r="B585" s="93"/>
      <c r="C585" s="118"/>
      <c r="D585" s="106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</row>
    <row r="586" ht="22.5" customHeight="1">
      <c r="A586" s="93"/>
      <c r="B586" s="93"/>
      <c r="C586" s="118"/>
      <c r="D586" s="106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</row>
    <row r="587" ht="22.5" customHeight="1">
      <c r="A587" s="93"/>
      <c r="B587" s="93"/>
      <c r="C587" s="118"/>
      <c r="D587" s="106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</row>
    <row r="588" ht="22.5" customHeight="1">
      <c r="A588" s="93"/>
      <c r="B588" s="93"/>
      <c r="C588" s="118"/>
      <c r="D588" s="106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</row>
    <row r="589" ht="22.5" customHeight="1">
      <c r="A589" s="93"/>
      <c r="B589" s="93"/>
      <c r="C589" s="118"/>
      <c r="D589" s="106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</row>
    <row r="590" ht="22.5" customHeight="1">
      <c r="A590" s="93"/>
      <c r="B590" s="93"/>
      <c r="C590" s="118"/>
      <c r="D590" s="106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</row>
    <row r="591" ht="22.5" customHeight="1">
      <c r="A591" s="93"/>
      <c r="B591" s="93"/>
      <c r="C591" s="118"/>
      <c r="D591" s="106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</row>
    <row r="592" ht="22.5" customHeight="1">
      <c r="A592" s="93"/>
      <c r="B592" s="93"/>
      <c r="C592" s="118"/>
      <c r="D592" s="106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</row>
    <row r="593" ht="22.5" customHeight="1">
      <c r="A593" s="93"/>
      <c r="B593" s="93"/>
      <c r="C593" s="118"/>
      <c r="D593" s="106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</row>
    <row r="594" ht="22.5" customHeight="1">
      <c r="A594" s="93"/>
      <c r="B594" s="93"/>
      <c r="C594" s="118"/>
      <c r="D594" s="106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</row>
    <row r="595" ht="22.5" customHeight="1">
      <c r="A595" s="93"/>
      <c r="B595" s="93"/>
      <c r="C595" s="118"/>
      <c r="D595" s="106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</row>
    <row r="596" ht="22.5" customHeight="1">
      <c r="A596" s="93"/>
      <c r="B596" s="93"/>
      <c r="C596" s="118"/>
      <c r="D596" s="106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</row>
    <row r="597" ht="22.5" customHeight="1">
      <c r="A597" s="93"/>
      <c r="B597" s="93"/>
      <c r="C597" s="118"/>
      <c r="D597" s="106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</row>
    <row r="598" ht="22.5" customHeight="1">
      <c r="A598" s="93"/>
      <c r="B598" s="93"/>
      <c r="C598" s="118"/>
      <c r="D598" s="106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</row>
    <row r="599" ht="22.5" customHeight="1">
      <c r="A599" s="93"/>
      <c r="B599" s="93"/>
      <c r="C599" s="118"/>
      <c r="D599" s="106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</row>
    <row r="600" ht="22.5" customHeight="1">
      <c r="A600" s="93"/>
      <c r="B600" s="93"/>
      <c r="C600" s="118"/>
      <c r="D600" s="106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</row>
    <row r="601" ht="22.5" customHeight="1">
      <c r="A601" s="93"/>
      <c r="B601" s="93"/>
      <c r="C601" s="118"/>
      <c r="D601" s="106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</row>
    <row r="602" ht="22.5" customHeight="1">
      <c r="A602" s="93"/>
      <c r="B602" s="93"/>
      <c r="C602" s="118"/>
      <c r="D602" s="106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</row>
    <row r="603" ht="22.5" customHeight="1">
      <c r="A603" s="93"/>
      <c r="B603" s="93"/>
      <c r="C603" s="118"/>
      <c r="D603" s="106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</row>
    <row r="604" ht="22.5" customHeight="1">
      <c r="A604" s="93"/>
      <c r="B604" s="93"/>
      <c r="C604" s="118"/>
      <c r="D604" s="106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</row>
    <row r="605" ht="22.5" customHeight="1">
      <c r="A605" s="93"/>
      <c r="B605" s="93"/>
      <c r="C605" s="118"/>
      <c r="D605" s="106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</row>
    <row r="606" ht="22.5" customHeight="1">
      <c r="A606" s="93"/>
      <c r="B606" s="93"/>
      <c r="C606" s="118"/>
      <c r="D606" s="106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</row>
    <row r="607" ht="22.5" customHeight="1">
      <c r="A607" s="93"/>
      <c r="B607" s="93"/>
      <c r="C607" s="118"/>
      <c r="D607" s="106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</row>
    <row r="608" ht="22.5" customHeight="1">
      <c r="A608" s="93"/>
      <c r="B608" s="93"/>
      <c r="C608" s="118"/>
      <c r="D608" s="106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</row>
    <row r="609" ht="22.5" customHeight="1">
      <c r="A609" s="93"/>
      <c r="B609" s="93"/>
      <c r="C609" s="118"/>
      <c r="D609" s="106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</row>
    <row r="610" ht="22.5" customHeight="1">
      <c r="A610" s="93"/>
      <c r="B610" s="93"/>
      <c r="C610" s="118"/>
      <c r="D610" s="106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</row>
    <row r="611" ht="22.5" customHeight="1">
      <c r="A611" s="93"/>
      <c r="B611" s="93"/>
      <c r="C611" s="118"/>
      <c r="D611" s="106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</row>
    <row r="612" ht="22.5" customHeight="1">
      <c r="A612" s="93"/>
      <c r="B612" s="93"/>
      <c r="C612" s="118"/>
      <c r="D612" s="106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</row>
    <row r="613" ht="22.5" customHeight="1">
      <c r="A613" s="93"/>
      <c r="B613" s="93"/>
      <c r="C613" s="118"/>
      <c r="D613" s="106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</row>
    <row r="614" ht="22.5" customHeight="1">
      <c r="A614" s="93"/>
      <c r="B614" s="93"/>
      <c r="C614" s="118"/>
      <c r="D614" s="106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</row>
    <row r="615" ht="22.5" customHeight="1">
      <c r="A615" s="93"/>
      <c r="B615" s="93"/>
      <c r="C615" s="118"/>
      <c r="D615" s="106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</row>
    <row r="616" ht="22.5" customHeight="1">
      <c r="A616" s="93"/>
      <c r="B616" s="93"/>
      <c r="C616" s="118"/>
      <c r="D616" s="106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</row>
    <row r="617" ht="22.5" customHeight="1">
      <c r="A617" s="93"/>
      <c r="B617" s="93"/>
      <c r="C617" s="118"/>
      <c r="D617" s="106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</row>
    <row r="618" ht="22.5" customHeight="1">
      <c r="A618" s="93"/>
      <c r="B618" s="93"/>
      <c r="C618" s="118"/>
      <c r="D618" s="106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</row>
    <row r="619" ht="22.5" customHeight="1">
      <c r="A619" s="93"/>
      <c r="B619" s="93"/>
      <c r="C619" s="118"/>
      <c r="D619" s="106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</row>
    <row r="620" ht="22.5" customHeight="1">
      <c r="A620" s="93"/>
      <c r="B620" s="93"/>
      <c r="C620" s="118"/>
      <c r="D620" s="106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</row>
    <row r="621" ht="22.5" customHeight="1">
      <c r="A621" s="93"/>
      <c r="B621" s="93"/>
      <c r="C621" s="118"/>
      <c r="D621" s="106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</row>
    <row r="622" ht="22.5" customHeight="1">
      <c r="A622" s="93"/>
      <c r="B622" s="93"/>
      <c r="C622" s="118"/>
      <c r="D622" s="106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</row>
    <row r="623" ht="22.5" customHeight="1">
      <c r="A623" s="93"/>
      <c r="B623" s="93"/>
      <c r="C623" s="118"/>
      <c r="D623" s="106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</row>
    <row r="624" ht="22.5" customHeight="1">
      <c r="A624" s="93"/>
      <c r="B624" s="93"/>
      <c r="C624" s="118"/>
      <c r="D624" s="106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</row>
    <row r="625" ht="22.5" customHeight="1">
      <c r="A625" s="93"/>
      <c r="B625" s="93"/>
      <c r="C625" s="118"/>
      <c r="D625" s="106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</row>
    <row r="626" ht="22.5" customHeight="1">
      <c r="A626" s="93"/>
      <c r="B626" s="93"/>
      <c r="C626" s="118"/>
      <c r="D626" s="106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</row>
    <row r="627" ht="22.5" customHeight="1">
      <c r="A627" s="93"/>
      <c r="B627" s="93"/>
      <c r="C627" s="118"/>
      <c r="D627" s="106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</row>
    <row r="628" ht="22.5" customHeight="1">
      <c r="A628" s="93"/>
      <c r="B628" s="93"/>
      <c r="C628" s="118"/>
      <c r="D628" s="106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</row>
    <row r="629" ht="22.5" customHeight="1">
      <c r="A629" s="93"/>
      <c r="B629" s="93"/>
      <c r="C629" s="118"/>
      <c r="D629" s="106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</row>
    <row r="630" ht="22.5" customHeight="1">
      <c r="A630" s="93"/>
      <c r="B630" s="93"/>
      <c r="C630" s="118"/>
      <c r="D630" s="106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</row>
    <row r="631" ht="22.5" customHeight="1">
      <c r="A631" s="93"/>
      <c r="B631" s="93"/>
      <c r="C631" s="118"/>
      <c r="D631" s="106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</row>
    <row r="632" ht="22.5" customHeight="1">
      <c r="A632" s="93"/>
      <c r="B632" s="93"/>
      <c r="C632" s="118"/>
      <c r="D632" s="106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</row>
    <row r="633" ht="22.5" customHeight="1">
      <c r="A633" s="93"/>
      <c r="B633" s="93"/>
      <c r="C633" s="118"/>
      <c r="D633" s="106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</row>
    <row r="634" ht="22.5" customHeight="1">
      <c r="A634" s="93"/>
      <c r="B634" s="93"/>
      <c r="C634" s="118"/>
      <c r="D634" s="106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</row>
    <row r="635" ht="22.5" customHeight="1">
      <c r="A635" s="93"/>
      <c r="B635" s="93"/>
      <c r="C635" s="118"/>
      <c r="D635" s="106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</row>
    <row r="636" ht="22.5" customHeight="1">
      <c r="A636" s="93"/>
      <c r="B636" s="93"/>
      <c r="C636" s="118"/>
      <c r="D636" s="106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</row>
    <row r="637" ht="22.5" customHeight="1">
      <c r="A637" s="93"/>
      <c r="B637" s="93"/>
      <c r="C637" s="118"/>
      <c r="D637" s="106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</row>
    <row r="638" ht="22.5" customHeight="1">
      <c r="A638" s="93"/>
      <c r="B638" s="93"/>
      <c r="C638" s="118"/>
      <c r="D638" s="106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</row>
    <row r="639" ht="22.5" customHeight="1">
      <c r="A639" s="93"/>
      <c r="B639" s="93"/>
      <c r="C639" s="118"/>
      <c r="D639" s="106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</row>
    <row r="640" ht="22.5" customHeight="1">
      <c r="A640" s="93"/>
      <c r="B640" s="93"/>
      <c r="C640" s="118"/>
      <c r="D640" s="106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</row>
    <row r="641" ht="22.5" customHeight="1">
      <c r="A641" s="93"/>
      <c r="B641" s="93"/>
      <c r="C641" s="118"/>
      <c r="D641" s="106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</row>
    <row r="642" ht="22.5" customHeight="1">
      <c r="A642" s="93"/>
      <c r="B642" s="93"/>
      <c r="C642" s="118"/>
      <c r="D642" s="106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</row>
    <row r="643" ht="22.5" customHeight="1">
      <c r="A643" s="93"/>
      <c r="B643" s="93"/>
      <c r="C643" s="118"/>
      <c r="D643" s="106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</row>
    <row r="644" ht="22.5" customHeight="1">
      <c r="A644" s="93"/>
      <c r="B644" s="93"/>
      <c r="C644" s="118"/>
      <c r="D644" s="106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</row>
    <row r="645" ht="22.5" customHeight="1">
      <c r="A645" s="93"/>
      <c r="B645" s="93"/>
      <c r="C645" s="118"/>
      <c r="D645" s="106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</row>
    <row r="646" ht="22.5" customHeight="1">
      <c r="A646" s="93"/>
      <c r="B646" s="93"/>
      <c r="C646" s="118"/>
      <c r="D646" s="106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</row>
    <row r="647" ht="22.5" customHeight="1">
      <c r="A647" s="93"/>
      <c r="B647" s="93"/>
      <c r="C647" s="118"/>
      <c r="D647" s="106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</row>
    <row r="648" ht="22.5" customHeight="1">
      <c r="A648" s="93"/>
      <c r="B648" s="93"/>
      <c r="C648" s="118"/>
      <c r="D648" s="106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</row>
    <row r="649" ht="22.5" customHeight="1">
      <c r="A649" s="93"/>
      <c r="B649" s="93"/>
      <c r="C649" s="118"/>
      <c r="D649" s="106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</row>
    <row r="650" ht="22.5" customHeight="1">
      <c r="A650" s="93"/>
      <c r="B650" s="93"/>
      <c r="C650" s="118"/>
      <c r="D650" s="106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</row>
    <row r="651" ht="22.5" customHeight="1">
      <c r="A651" s="93"/>
      <c r="B651" s="93"/>
      <c r="C651" s="118"/>
      <c r="D651" s="106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</row>
    <row r="652" ht="22.5" customHeight="1">
      <c r="A652" s="93"/>
      <c r="B652" s="93"/>
      <c r="C652" s="118"/>
      <c r="D652" s="106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</row>
    <row r="653" ht="22.5" customHeight="1">
      <c r="A653" s="93"/>
      <c r="B653" s="93"/>
      <c r="C653" s="118"/>
      <c r="D653" s="106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</row>
    <row r="654" ht="22.5" customHeight="1">
      <c r="A654" s="93"/>
      <c r="B654" s="93"/>
      <c r="C654" s="118"/>
      <c r="D654" s="106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</row>
    <row r="655" ht="22.5" customHeight="1">
      <c r="A655" s="93"/>
      <c r="B655" s="93"/>
      <c r="C655" s="118"/>
      <c r="D655" s="106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</row>
    <row r="656" ht="22.5" customHeight="1">
      <c r="A656" s="93"/>
      <c r="B656" s="93"/>
      <c r="C656" s="118"/>
      <c r="D656" s="106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</row>
    <row r="657" ht="22.5" customHeight="1">
      <c r="A657" s="93"/>
      <c r="B657" s="93"/>
      <c r="C657" s="118"/>
      <c r="D657" s="106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</row>
    <row r="658" ht="22.5" customHeight="1">
      <c r="A658" s="93"/>
      <c r="B658" s="93"/>
      <c r="C658" s="118"/>
      <c r="D658" s="106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</row>
    <row r="659" ht="22.5" customHeight="1">
      <c r="A659" s="93"/>
      <c r="B659" s="93"/>
      <c r="C659" s="118"/>
      <c r="D659" s="106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</row>
    <row r="660" ht="22.5" customHeight="1">
      <c r="A660" s="93"/>
      <c r="B660" s="93"/>
      <c r="C660" s="118"/>
      <c r="D660" s="106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</row>
    <row r="661" ht="22.5" customHeight="1">
      <c r="A661" s="93"/>
      <c r="B661" s="93"/>
      <c r="C661" s="118"/>
      <c r="D661" s="106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</row>
    <row r="662" ht="22.5" customHeight="1">
      <c r="A662" s="93"/>
      <c r="B662" s="93"/>
      <c r="C662" s="118"/>
      <c r="D662" s="106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</row>
    <row r="663" ht="22.5" customHeight="1">
      <c r="A663" s="93"/>
      <c r="B663" s="93"/>
      <c r="C663" s="118"/>
      <c r="D663" s="106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</row>
    <row r="664" ht="22.5" customHeight="1">
      <c r="A664" s="93"/>
      <c r="B664" s="93"/>
      <c r="C664" s="118"/>
      <c r="D664" s="106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</row>
    <row r="665" ht="22.5" customHeight="1">
      <c r="A665" s="93"/>
      <c r="B665" s="93"/>
      <c r="C665" s="118"/>
      <c r="D665" s="106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</row>
    <row r="666" ht="22.5" customHeight="1">
      <c r="A666" s="93"/>
      <c r="B666" s="93"/>
      <c r="C666" s="118"/>
      <c r="D666" s="106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</row>
    <row r="667" ht="22.5" customHeight="1">
      <c r="A667" s="93"/>
      <c r="B667" s="93"/>
      <c r="C667" s="118"/>
      <c r="D667" s="106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</row>
    <row r="668" ht="22.5" customHeight="1">
      <c r="A668" s="93"/>
      <c r="B668" s="93"/>
      <c r="C668" s="118"/>
      <c r="D668" s="106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</row>
    <row r="669" ht="22.5" customHeight="1">
      <c r="A669" s="93"/>
      <c r="B669" s="93"/>
      <c r="C669" s="118"/>
      <c r="D669" s="106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</row>
    <row r="670" ht="22.5" customHeight="1">
      <c r="A670" s="93"/>
      <c r="B670" s="93"/>
      <c r="C670" s="118"/>
      <c r="D670" s="106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</row>
    <row r="671" ht="22.5" customHeight="1">
      <c r="A671" s="93"/>
      <c r="B671" s="93"/>
      <c r="C671" s="118"/>
      <c r="D671" s="106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</row>
    <row r="672" ht="22.5" customHeight="1">
      <c r="A672" s="93"/>
      <c r="B672" s="93"/>
      <c r="C672" s="118"/>
      <c r="D672" s="106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</row>
    <row r="673" ht="22.5" customHeight="1">
      <c r="A673" s="93"/>
      <c r="B673" s="93"/>
      <c r="C673" s="118"/>
      <c r="D673" s="106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</row>
    <row r="674" ht="22.5" customHeight="1">
      <c r="A674" s="93"/>
      <c r="B674" s="93"/>
      <c r="C674" s="118"/>
      <c r="D674" s="106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</row>
    <row r="675" ht="22.5" customHeight="1">
      <c r="A675" s="93"/>
      <c r="B675" s="93"/>
      <c r="C675" s="118"/>
      <c r="D675" s="106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</row>
    <row r="676" ht="22.5" customHeight="1">
      <c r="A676" s="93"/>
      <c r="B676" s="93"/>
      <c r="C676" s="118"/>
      <c r="D676" s="106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</row>
    <row r="677" ht="22.5" customHeight="1">
      <c r="A677" s="93"/>
      <c r="B677" s="93"/>
      <c r="C677" s="118"/>
      <c r="D677" s="106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</row>
    <row r="678" ht="22.5" customHeight="1">
      <c r="A678" s="93"/>
      <c r="B678" s="93"/>
      <c r="C678" s="118"/>
      <c r="D678" s="106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</row>
    <row r="679" ht="22.5" customHeight="1">
      <c r="A679" s="93"/>
      <c r="B679" s="93"/>
      <c r="C679" s="118"/>
      <c r="D679" s="106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</row>
    <row r="680" ht="22.5" customHeight="1">
      <c r="A680" s="93"/>
      <c r="B680" s="93"/>
      <c r="C680" s="118"/>
      <c r="D680" s="106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</row>
    <row r="681" ht="22.5" customHeight="1">
      <c r="A681" s="93"/>
      <c r="B681" s="93"/>
      <c r="C681" s="118"/>
      <c r="D681" s="106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</row>
    <row r="682" ht="22.5" customHeight="1">
      <c r="A682" s="93"/>
      <c r="B682" s="93"/>
      <c r="C682" s="118"/>
      <c r="D682" s="106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</row>
    <row r="683" ht="22.5" customHeight="1">
      <c r="A683" s="93"/>
      <c r="B683" s="93"/>
      <c r="C683" s="118"/>
      <c r="D683" s="106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</row>
    <row r="684" ht="22.5" customHeight="1">
      <c r="A684" s="93"/>
      <c r="B684" s="93"/>
      <c r="C684" s="118"/>
      <c r="D684" s="106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</row>
    <row r="685" ht="22.5" customHeight="1">
      <c r="A685" s="93"/>
      <c r="B685" s="93"/>
      <c r="C685" s="118"/>
      <c r="D685" s="106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</row>
    <row r="686" ht="22.5" customHeight="1">
      <c r="A686" s="93"/>
      <c r="B686" s="93"/>
      <c r="C686" s="118"/>
      <c r="D686" s="106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</row>
    <row r="687" ht="22.5" customHeight="1">
      <c r="A687" s="93"/>
      <c r="B687" s="93"/>
      <c r="C687" s="118"/>
      <c r="D687" s="106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</row>
    <row r="688" ht="22.5" customHeight="1">
      <c r="A688" s="93"/>
      <c r="B688" s="93"/>
      <c r="C688" s="118"/>
      <c r="D688" s="106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</row>
    <row r="689" ht="22.5" customHeight="1">
      <c r="A689" s="93"/>
      <c r="B689" s="93"/>
      <c r="C689" s="118"/>
      <c r="D689" s="106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</row>
    <row r="690" ht="22.5" customHeight="1">
      <c r="A690" s="93"/>
      <c r="B690" s="93"/>
      <c r="C690" s="118"/>
      <c r="D690" s="106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</row>
    <row r="691" ht="22.5" customHeight="1">
      <c r="A691" s="93"/>
      <c r="B691" s="93"/>
      <c r="C691" s="118"/>
      <c r="D691" s="106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</row>
    <row r="692" ht="22.5" customHeight="1">
      <c r="A692" s="93"/>
      <c r="B692" s="93"/>
      <c r="C692" s="118"/>
      <c r="D692" s="106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</row>
    <row r="693" ht="22.5" customHeight="1">
      <c r="A693" s="93"/>
      <c r="B693" s="93"/>
      <c r="C693" s="118"/>
      <c r="D693" s="106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</row>
    <row r="694" ht="22.5" customHeight="1">
      <c r="A694" s="93"/>
      <c r="B694" s="93"/>
      <c r="C694" s="118"/>
      <c r="D694" s="106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</row>
    <row r="695" ht="22.5" customHeight="1">
      <c r="A695" s="93"/>
      <c r="B695" s="93"/>
      <c r="C695" s="118"/>
      <c r="D695" s="106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</row>
    <row r="696" ht="22.5" customHeight="1">
      <c r="A696" s="93"/>
      <c r="B696" s="93"/>
      <c r="C696" s="118"/>
      <c r="D696" s="106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</row>
    <row r="697" ht="22.5" customHeight="1">
      <c r="A697" s="93"/>
      <c r="B697" s="93"/>
      <c r="C697" s="118"/>
      <c r="D697" s="106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</row>
    <row r="698" ht="22.5" customHeight="1">
      <c r="A698" s="93"/>
      <c r="B698" s="93"/>
      <c r="C698" s="118"/>
      <c r="D698" s="106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</row>
    <row r="699" ht="22.5" customHeight="1">
      <c r="A699" s="93"/>
      <c r="B699" s="93"/>
      <c r="C699" s="118"/>
      <c r="D699" s="106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</row>
    <row r="700" ht="22.5" customHeight="1">
      <c r="A700" s="93"/>
      <c r="B700" s="93"/>
      <c r="C700" s="118"/>
      <c r="D700" s="106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</row>
    <row r="701" ht="22.5" customHeight="1">
      <c r="A701" s="93"/>
      <c r="B701" s="93"/>
      <c r="C701" s="118"/>
      <c r="D701" s="106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</row>
    <row r="702" ht="22.5" customHeight="1">
      <c r="A702" s="93"/>
      <c r="B702" s="93"/>
      <c r="C702" s="118"/>
      <c r="D702" s="106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</row>
    <row r="703" ht="22.5" customHeight="1">
      <c r="A703" s="93"/>
      <c r="B703" s="93"/>
      <c r="C703" s="118"/>
      <c r="D703" s="106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</row>
    <row r="704" ht="22.5" customHeight="1">
      <c r="A704" s="93"/>
      <c r="B704" s="93"/>
      <c r="C704" s="118"/>
      <c r="D704" s="106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</row>
    <row r="705" ht="22.5" customHeight="1">
      <c r="A705" s="93"/>
      <c r="B705" s="93"/>
      <c r="C705" s="118"/>
      <c r="D705" s="106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</row>
    <row r="706" ht="22.5" customHeight="1">
      <c r="A706" s="93"/>
      <c r="B706" s="93"/>
      <c r="C706" s="118"/>
      <c r="D706" s="106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</row>
    <row r="707" ht="22.5" customHeight="1">
      <c r="A707" s="93"/>
      <c r="B707" s="93"/>
      <c r="C707" s="118"/>
      <c r="D707" s="106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</row>
    <row r="708" ht="22.5" customHeight="1">
      <c r="A708" s="93"/>
      <c r="B708" s="93"/>
      <c r="C708" s="118"/>
      <c r="D708" s="106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</row>
    <row r="709" ht="22.5" customHeight="1">
      <c r="A709" s="93"/>
      <c r="B709" s="93"/>
      <c r="C709" s="118"/>
      <c r="D709" s="106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</row>
    <row r="710" ht="22.5" customHeight="1">
      <c r="A710" s="93"/>
      <c r="B710" s="93"/>
      <c r="C710" s="118"/>
      <c r="D710" s="106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</row>
    <row r="711" ht="22.5" customHeight="1">
      <c r="A711" s="93"/>
      <c r="B711" s="93"/>
      <c r="C711" s="118"/>
      <c r="D711" s="106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</row>
    <row r="712" ht="22.5" customHeight="1">
      <c r="A712" s="93"/>
      <c r="B712" s="93"/>
      <c r="C712" s="118"/>
      <c r="D712" s="106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</row>
    <row r="713" ht="22.5" customHeight="1">
      <c r="A713" s="93"/>
      <c r="B713" s="93"/>
      <c r="C713" s="118"/>
      <c r="D713" s="106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</row>
    <row r="714" ht="22.5" customHeight="1">
      <c r="A714" s="93"/>
      <c r="B714" s="93"/>
      <c r="C714" s="118"/>
      <c r="D714" s="106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</row>
    <row r="715" ht="22.5" customHeight="1">
      <c r="A715" s="93"/>
      <c r="B715" s="93"/>
      <c r="C715" s="118"/>
      <c r="D715" s="106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</row>
    <row r="716" ht="22.5" customHeight="1">
      <c r="A716" s="93"/>
      <c r="B716" s="93"/>
      <c r="C716" s="118"/>
      <c r="D716" s="106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</row>
    <row r="717" ht="22.5" customHeight="1">
      <c r="A717" s="93"/>
      <c r="B717" s="93"/>
      <c r="C717" s="118"/>
      <c r="D717" s="106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</row>
    <row r="718" ht="22.5" customHeight="1">
      <c r="A718" s="93"/>
      <c r="B718" s="93"/>
      <c r="C718" s="118"/>
      <c r="D718" s="106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</row>
    <row r="719" ht="22.5" customHeight="1">
      <c r="A719" s="93"/>
      <c r="B719" s="93"/>
      <c r="C719" s="118"/>
      <c r="D719" s="106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</row>
    <row r="720" ht="22.5" customHeight="1">
      <c r="A720" s="93"/>
      <c r="B720" s="93"/>
      <c r="C720" s="118"/>
      <c r="D720" s="106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</row>
    <row r="721" ht="22.5" customHeight="1">
      <c r="A721" s="93"/>
      <c r="B721" s="93"/>
      <c r="C721" s="118"/>
      <c r="D721" s="106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</row>
    <row r="722" ht="22.5" customHeight="1">
      <c r="A722" s="93"/>
      <c r="B722" s="93"/>
      <c r="C722" s="118"/>
      <c r="D722" s="106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</row>
    <row r="723" ht="22.5" customHeight="1">
      <c r="A723" s="93"/>
      <c r="B723" s="93"/>
      <c r="C723" s="118"/>
      <c r="D723" s="106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</row>
    <row r="724" ht="22.5" customHeight="1">
      <c r="A724" s="93"/>
      <c r="B724" s="93"/>
      <c r="C724" s="118"/>
      <c r="D724" s="106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</row>
    <row r="725" ht="22.5" customHeight="1">
      <c r="A725" s="93"/>
      <c r="B725" s="93"/>
      <c r="C725" s="118"/>
      <c r="D725" s="106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</row>
    <row r="726" ht="22.5" customHeight="1">
      <c r="A726" s="93"/>
      <c r="B726" s="93"/>
      <c r="C726" s="118"/>
      <c r="D726" s="106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</row>
    <row r="727" ht="22.5" customHeight="1">
      <c r="A727" s="93"/>
      <c r="B727" s="93"/>
      <c r="C727" s="118"/>
      <c r="D727" s="106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</row>
    <row r="728" ht="22.5" customHeight="1">
      <c r="A728" s="93"/>
      <c r="B728" s="93"/>
      <c r="C728" s="118"/>
      <c r="D728" s="106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</row>
    <row r="729" ht="22.5" customHeight="1">
      <c r="A729" s="93"/>
      <c r="B729" s="93"/>
      <c r="C729" s="118"/>
      <c r="D729" s="106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</row>
    <row r="730" ht="22.5" customHeight="1">
      <c r="A730" s="93"/>
      <c r="B730" s="93"/>
      <c r="C730" s="118"/>
      <c r="D730" s="106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</row>
    <row r="731" ht="22.5" customHeight="1">
      <c r="A731" s="93"/>
      <c r="B731" s="93"/>
      <c r="C731" s="118"/>
      <c r="D731" s="106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</row>
    <row r="732" ht="22.5" customHeight="1">
      <c r="A732" s="93"/>
      <c r="B732" s="93"/>
      <c r="C732" s="118"/>
      <c r="D732" s="106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</row>
    <row r="733" ht="22.5" customHeight="1">
      <c r="A733" s="93"/>
      <c r="B733" s="93"/>
      <c r="C733" s="118"/>
      <c r="D733" s="106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</row>
    <row r="734" ht="22.5" customHeight="1">
      <c r="A734" s="93"/>
      <c r="B734" s="93"/>
      <c r="C734" s="118"/>
      <c r="D734" s="106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</row>
    <row r="735" ht="22.5" customHeight="1">
      <c r="A735" s="93"/>
      <c r="B735" s="93"/>
      <c r="C735" s="118"/>
      <c r="D735" s="106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</row>
    <row r="736" ht="22.5" customHeight="1">
      <c r="A736" s="93"/>
      <c r="B736" s="93"/>
      <c r="C736" s="118"/>
      <c r="D736" s="106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</row>
    <row r="737" ht="22.5" customHeight="1">
      <c r="A737" s="93"/>
      <c r="B737" s="93"/>
      <c r="C737" s="118"/>
      <c r="D737" s="106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</row>
    <row r="738" ht="22.5" customHeight="1">
      <c r="A738" s="93"/>
      <c r="B738" s="93"/>
      <c r="C738" s="118"/>
      <c r="D738" s="106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</row>
    <row r="739" ht="22.5" customHeight="1">
      <c r="A739" s="93"/>
      <c r="B739" s="93"/>
      <c r="C739" s="118"/>
      <c r="D739" s="106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</row>
    <row r="740" ht="22.5" customHeight="1">
      <c r="A740" s="93"/>
      <c r="B740" s="93"/>
      <c r="C740" s="118"/>
      <c r="D740" s="106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</row>
    <row r="741" ht="22.5" customHeight="1">
      <c r="A741" s="93"/>
      <c r="B741" s="93"/>
      <c r="C741" s="118"/>
      <c r="D741" s="106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</row>
    <row r="742" ht="22.5" customHeight="1">
      <c r="A742" s="93"/>
      <c r="B742" s="93"/>
      <c r="C742" s="118"/>
      <c r="D742" s="106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</row>
    <row r="743" ht="22.5" customHeight="1">
      <c r="A743" s="93"/>
      <c r="B743" s="93"/>
      <c r="C743" s="118"/>
      <c r="D743" s="106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</row>
    <row r="744" ht="22.5" customHeight="1">
      <c r="A744" s="93"/>
      <c r="B744" s="93"/>
      <c r="C744" s="118"/>
      <c r="D744" s="106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</row>
    <row r="745" ht="22.5" customHeight="1">
      <c r="A745" s="93"/>
      <c r="B745" s="93"/>
      <c r="C745" s="118"/>
      <c r="D745" s="106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</row>
    <row r="746" ht="22.5" customHeight="1">
      <c r="A746" s="93"/>
      <c r="B746" s="93"/>
      <c r="C746" s="118"/>
      <c r="D746" s="106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</row>
    <row r="747" ht="22.5" customHeight="1">
      <c r="A747" s="93"/>
      <c r="B747" s="93"/>
      <c r="C747" s="118"/>
      <c r="D747" s="106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</row>
    <row r="748" ht="22.5" customHeight="1">
      <c r="A748" s="93"/>
      <c r="B748" s="93"/>
      <c r="C748" s="118"/>
      <c r="D748" s="106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</row>
    <row r="749" ht="22.5" customHeight="1">
      <c r="A749" s="93"/>
      <c r="B749" s="93"/>
      <c r="C749" s="118"/>
      <c r="D749" s="106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</row>
    <row r="750" ht="22.5" customHeight="1">
      <c r="A750" s="93"/>
      <c r="B750" s="93"/>
      <c r="C750" s="118"/>
      <c r="D750" s="106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</row>
    <row r="751" ht="22.5" customHeight="1">
      <c r="A751" s="93"/>
      <c r="B751" s="93"/>
      <c r="C751" s="118"/>
      <c r="D751" s="106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</row>
    <row r="752" ht="22.5" customHeight="1">
      <c r="A752" s="93"/>
      <c r="B752" s="93"/>
      <c r="C752" s="118"/>
      <c r="D752" s="106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</row>
    <row r="753" ht="22.5" customHeight="1">
      <c r="A753" s="93"/>
      <c r="B753" s="93"/>
      <c r="C753" s="118"/>
      <c r="D753" s="106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</row>
    <row r="754" ht="22.5" customHeight="1">
      <c r="A754" s="93"/>
      <c r="B754" s="93"/>
      <c r="C754" s="118"/>
      <c r="D754" s="106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</row>
    <row r="755" ht="22.5" customHeight="1">
      <c r="A755" s="93"/>
      <c r="B755" s="93"/>
      <c r="C755" s="118"/>
      <c r="D755" s="106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</row>
    <row r="756" ht="22.5" customHeight="1">
      <c r="A756" s="93"/>
      <c r="B756" s="93"/>
      <c r="C756" s="118"/>
      <c r="D756" s="106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</row>
    <row r="757" ht="22.5" customHeight="1">
      <c r="A757" s="93"/>
      <c r="B757" s="93"/>
      <c r="C757" s="118"/>
      <c r="D757" s="106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</row>
    <row r="758" ht="22.5" customHeight="1">
      <c r="A758" s="93"/>
      <c r="B758" s="93"/>
      <c r="C758" s="118"/>
      <c r="D758" s="106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</row>
    <row r="759" ht="22.5" customHeight="1">
      <c r="A759" s="93"/>
      <c r="B759" s="93"/>
      <c r="C759" s="118"/>
      <c r="D759" s="106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</row>
    <row r="760" ht="22.5" customHeight="1">
      <c r="A760" s="93"/>
      <c r="B760" s="93"/>
      <c r="C760" s="118"/>
      <c r="D760" s="106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</row>
    <row r="761" ht="22.5" customHeight="1">
      <c r="A761" s="93"/>
      <c r="B761" s="93"/>
      <c r="C761" s="118"/>
      <c r="D761" s="106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</row>
    <row r="762" ht="22.5" customHeight="1">
      <c r="A762" s="93"/>
      <c r="B762" s="93"/>
      <c r="C762" s="118"/>
      <c r="D762" s="106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</row>
    <row r="763" ht="22.5" customHeight="1">
      <c r="A763" s="93"/>
      <c r="B763" s="93"/>
      <c r="C763" s="118"/>
      <c r="D763" s="106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</row>
    <row r="764" ht="22.5" customHeight="1">
      <c r="A764" s="93"/>
      <c r="B764" s="93"/>
      <c r="C764" s="118"/>
      <c r="D764" s="106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</row>
    <row r="765" ht="22.5" customHeight="1">
      <c r="A765" s="93"/>
      <c r="B765" s="93"/>
      <c r="C765" s="118"/>
      <c r="D765" s="106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</row>
    <row r="766" ht="22.5" customHeight="1">
      <c r="A766" s="93"/>
      <c r="B766" s="93"/>
      <c r="C766" s="118"/>
      <c r="D766" s="106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</row>
    <row r="767" ht="22.5" customHeight="1">
      <c r="A767" s="93"/>
      <c r="B767" s="93"/>
      <c r="C767" s="118"/>
      <c r="D767" s="106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</row>
    <row r="768" ht="22.5" customHeight="1">
      <c r="A768" s="93"/>
      <c r="B768" s="93"/>
      <c r="C768" s="118"/>
      <c r="D768" s="106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</row>
    <row r="769" ht="22.5" customHeight="1">
      <c r="A769" s="93"/>
      <c r="B769" s="93"/>
      <c r="C769" s="118"/>
      <c r="D769" s="106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</row>
    <row r="770" ht="22.5" customHeight="1">
      <c r="A770" s="93"/>
      <c r="B770" s="93"/>
      <c r="C770" s="118"/>
      <c r="D770" s="106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</row>
    <row r="771" ht="22.5" customHeight="1">
      <c r="A771" s="93"/>
      <c r="B771" s="93"/>
      <c r="C771" s="118"/>
      <c r="D771" s="106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</row>
    <row r="772" ht="22.5" customHeight="1">
      <c r="A772" s="93"/>
      <c r="B772" s="93"/>
      <c r="C772" s="118"/>
      <c r="D772" s="106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</row>
    <row r="773" ht="22.5" customHeight="1">
      <c r="A773" s="93"/>
      <c r="B773" s="93"/>
      <c r="C773" s="118"/>
      <c r="D773" s="106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</row>
    <row r="774" ht="22.5" customHeight="1">
      <c r="A774" s="93"/>
      <c r="B774" s="93"/>
      <c r="C774" s="118"/>
      <c r="D774" s="106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</row>
    <row r="775" ht="22.5" customHeight="1">
      <c r="A775" s="93"/>
      <c r="B775" s="93"/>
      <c r="C775" s="118"/>
      <c r="D775" s="106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</row>
    <row r="776" ht="22.5" customHeight="1">
      <c r="A776" s="93"/>
      <c r="B776" s="93"/>
      <c r="C776" s="118"/>
      <c r="D776" s="106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</row>
    <row r="777" ht="22.5" customHeight="1">
      <c r="A777" s="93"/>
      <c r="B777" s="93"/>
      <c r="C777" s="118"/>
      <c r="D777" s="106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</row>
    <row r="778" ht="22.5" customHeight="1">
      <c r="A778" s="93"/>
      <c r="B778" s="93"/>
      <c r="C778" s="118"/>
      <c r="D778" s="106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</row>
    <row r="779" ht="22.5" customHeight="1">
      <c r="A779" s="93"/>
      <c r="B779" s="93"/>
      <c r="C779" s="118"/>
      <c r="D779" s="106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</row>
    <row r="780" ht="22.5" customHeight="1">
      <c r="A780" s="93"/>
      <c r="B780" s="93"/>
      <c r="C780" s="118"/>
      <c r="D780" s="106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</row>
    <row r="781" ht="22.5" customHeight="1">
      <c r="A781" s="93"/>
      <c r="B781" s="93"/>
      <c r="C781" s="118"/>
      <c r="D781" s="106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</row>
    <row r="782" ht="22.5" customHeight="1">
      <c r="A782" s="93"/>
      <c r="B782" s="93"/>
      <c r="C782" s="118"/>
      <c r="D782" s="106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</row>
    <row r="783" ht="22.5" customHeight="1">
      <c r="A783" s="93"/>
      <c r="B783" s="93"/>
      <c r="C783" s="118"/>
      <c r="D783" s="106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</row>
    <row r="784" ht="22.5" customHeight="1">
      <c r="A784" s="93"/>
      <c r="B784" s="93"/>
      <c r="C784" s="118"/>
      <c r="D784" s="106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</row>
    <row r="785" ht="22.5" customHeight="1">
      <c r="A785" s="93"/>
      <c r="B785" s="93"/>
      <c r="C785" s="118"/>
      <c r="D785" s="106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</row>
    <row r="786" ht="22.5" customHeight="1">
      <c r="A786" s="93"/>
      <c r="B786" s="93"/>
      <c r="C786" s="118"/>
      <c r="D786" s="106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</row>
    <row r="787" ht="22.5" customHeight="1">
      <c r="A787" s="93"/>
      <c r="B787" s="93"/>
      <c r="C787" s="118"/>
      <c r="D787" s="106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</row>
    <row r="788" ht="22.5" customHeight="1">
      <c r="A788" s="93"/>
      <c r="B788" s="93"/>
      <c r="C788" s="118"/>
      <c r="D788" s="106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</row>
    <row r="789" ht="22.5" customHeight="1">
      <c r="A789" s="93"/>
      <c r="B789" s="93"/>
      <c r="C789" s="118"/>
      <c r="D789" s="106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</row>
    <row r="790" ht="22.5" customHeight="1">
      <c r="A790" s="93"/>
      <c r="B790" s="93"/>
      <c r="C790" s="118"/>
      <c r="D790" s="106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</row>
    <row r="791" ht="22.5" customHeight="1">
      <c r="A791" s="93"/>
      <c r="B791" s="93"/>
      <c r="C791" s="118"/>
      <c r="D791" s="106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</row>
    <row r="792" ht="22.5" customHeight="1">
      <c r="A792" s="93"/>
      <c r="B792" s="93"/>
      <c r="C792" s="118"/>
      <c r="D792" s="106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</row>
    <row r="793" ht="22.5" customHeight="1">
      <c r="A793" s="93"/>
      <c r="B793" s="93"/>
      <c r="C793" s="118"/>
      <c r="D793" s="106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</row>
    <row r="794" ht="22.5" customHeight="1">
      <c r="A794" s="93"/>
      <c r="B794" s="93"/>
      <c r="C794" s="118"/>
      <c r="D794" s="106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</row>
    <row r="795" ht="22.5" customHeight="1">
      <c r="A795" s="93"/>
      <c r="B795" s="93"/>
      <c r="C795" s="118"/>
      <c r="D795" s="106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</row>
    <row r="796" ht="22.5" customHeight="1">
      <c r="A796" s="93"/>
      <c r="B796" s="93"/>
      <c r="C796" s="118"/>
      <c r="D796" s="106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</row>
    <row r="797" ht="22.5" customHeight="1">
      <c r="A797" s="93"/>
      <c r="B797" s="93"/>
      <c r="C797" s="118"/>
      <c r="D797" s="106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</row>
    <row r="798" ht="22.5" customHeight="1">
      <c r="A798" s="93"/>
      <c r="B798" s="93"/>
      <c r="C798" s="118"/>
      <c r="D798" s="106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</row>
    <row r="799" ht="22.5" customHeight="1">
      <c r="A799" s="93"/>
      <c r="B799" s="93"/>
      <c r="C799" s="118"/>
      <c r="D799" s="106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</row>
    <row r="800" ht="22.5" customHeight="1">
      <c r="A800" s="93"/>
      <c r="B800" s="93"/>
      <c r="C800" s="118"/>
      <c r="D800" s="106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</row>
    <row r="801" ht="22.5" customHeight="1">
      <c r="A801" s="93"/>
      <c r="B801" s="93"/>
      <c r="C801" s="118"/>
      <c r="D801" s="106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</row>
    <row r="802" ht="22.5" customHeight="1">
      <c r="A802" s="93"/>
      <c r="B802" s="93"/>
      <c r="C802" s="118"/>
      <c r="D802" s="106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</row>
    <row r="803" ht="22.5" customHeight="1">
      <c r="A803" s="93"/>
      <c r="B803" s="93"/>
      <c r="C803" s="118"/>
      <c r="D803" s="106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</row>
    <row r="804" ht="22.5" customHeight="1">
      <c r="A804" s="93"/>
      <c r="B804" s="93"/>
      <c r="C804" s="118"/>
      <c r="D804" s="106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</row>
    <row r="805" ht="22.5" customHeight="1">
      <c r="A805" s="93"/>
      <c r="B805" s="93"/>
      <c r="C805" s="118"/>
      <c r="D805" s="106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</row>
    <row r="806" ht="22.5" customHeight="1">
      <c r="A806" s="93"/>
      <c r="B806" s="93"/>
      <c r="C806" s="118"/>
      <c r="D806" s="106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</row>
    <row r="807" ht="22.5" customHeight="1">
      <c r="A807" s="93"/>
      <c r="B807" s="93"/>
      <c r="C807" s="118"/>
      <c r="D807" s="106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</row>
    <row r="808" ht="22.5" customHeight="1">
      <c r="A808" s="93"/>
      <c r="B808" s="93"/>
      <c r="C808" s="118"/>
      <c r="D808" s="106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</row>
    <row r="809" ht="22.5" customHeight="1">
      <c r="A809" s="93"/>
      <c r="B809" s="93"/>
      <c r="C809" s="118"/>
      <c r="D809" s="106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</row>
    <row r="810" ht="22.5" customHeight="1">
      <c r="A810" s="93"/>
      <c r="B810" s="93"/>
      <c r="C810" s="118"/>
      <c r="D810" s="106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</row>
    <row r="811" ht="22.5" customHeight="1">
      <c r="A811" s="93"/>
      <c r="B811" s="93"/>
      <c r="C811" s="118"/>
      <c r="D811" s="106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</row>
    <row r="812" ht="22.5" customHeight="1">
      <c r="A812" s="93"/>
      <c r="B812" s="93"/>
      <c r="C812" s="118"/>
      <c r="D812" s="106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</row>
    <row r="813" ht="22.5" customHeight="1">
      <c r="A813" s="93"/>
      <c r="B813" s="93"/>
      <c r="C813" s="118"/>
      <c r="D813" s="106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</row>
    <row r="814" ht="22.5" customHeight="1">
      <c r="A814" s="93"/>
      <c r="B814" s="93"/>
      <c r="C814" s="118"/>
      <c r="D814" s="106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</row>
    <row r="815" ht="22.5" customHeight="1">
      <c r="A815" s="93"/>
      <c r="B815" s="93"/>
      <c r="C815" s="118"/>
      <c r="D815" s="106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</row>
    <row r="816" ht="22.5" customHeight="1">
      <c r="A816" s="93"/>
      <c r="B816" s="93"/>
      <c r="C816" s="118"/>
      <c r="D816" s="106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</row>
    <row r="817" ht="22.5" customHeight="1">
      <c r="A817" s="93"/>
      <c r="B817" s="93"/>
      <c r="C817" s="118"/>
      <c r="D817" s="106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</row>
    <row r="818" ht="22.5" customHeight="1">
      <c r="A818" s="93"/>
      <c r="B818" s="93"/>
      <c r="C818" s="118"/>
      <c r="D818" s="106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</row>
    <row r="819" ht="22.5" customHeight="1">
      <c r="A819" s="93"/>
      <c r="B819" s="93"/>
      <c r="C819" s="118"/>
      <c r="D819" s="106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</row>
    <row r="820" ht="22.5" customHeight="1">
      <c r="A820" s="93"/>
      <c r="B820" s="93"/>
      <c r="C820" s="118"/>
      <c r="D820" s="106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</row>
    <row r="821" ht="22.5" customHeight="1">
      <c r="A821" s="93"/>
      <c r="B821" s="93"/>
      <c r="C821" s="118"/>
      <c r="D821" s="106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</row>
    <row r="822" ht="22.5" customHeight="1">
      <c r="A822" s="93"/>
      <c r="B822" s="93"/>
      <c r="C822" s="118"/>
      <c r="D822" s="106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</row>
    <row r="823" ht="22.5" customHeight="1">
      <c r="A823" s="93"/>
      <c r="B823" s="93"/>
      <c r="C823" s="118"/>
      <c r="D823" s="106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</row>
    <row r="824" ht="22.5" customHeight="1">
      <c r="A824" s="93"/>
      <c r="B824" s="93"/>
      <c r="C824" s="118"/>
      <c r="D824" s="106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</row>
    <row r="825" ht="22.5" customHeight="1">
      <c r="A825" s="93"/>
      <c r="B825" s="93"/>
      <c r="C825" s="118"/>
      <c r="D825" s="106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</row>
    <row r="826" ht="22.5" customHeight="1">
      <c r="A826" s="93"/>
      <c r="B826" s="93"/>
      <c r="C826" s="118"/>
      <c r="D826" s="106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</row>
    <row r="827" ht="22.5" customHeight="1">
      <c r="A827" s="93"/>
      <c r="B827" s="93"/>
      <c r="C827" s="118"/>
      <c r="D827" s="106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</row>
    <row r="828" ht="22.5" customHeight="1">
      <c r="A828" s="93"/>
      <c r="B828" s="93"/>
      <c r="C828" s="118"/>
      <c r="D828" s="106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</row>
    <row r="829" ht="22.5" customHeight="1">
      <c r="A829" s="93"/>
      <c r="B829" s="93"/>
      <c r="C829" s="118"/>
      <c r="D829" s="106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</row>
    <row r="830" ht="22.5" customHeight="1">
      <c r="A830" s="93"/>
      <c r="B830" s="93"/>
      <c r="C830" s="118"/>
      <c r="D830" s="106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</row>
    <row r="831" ht="22.5" customHeight="1">
      <c r="A831" s="93"/>
      <c r="B831" s="93"/>
      <c r="C831" s="118"/>
      <c r="D831" s="106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</row>
    <row r="832" ht="22.5" customHeight="1">
      <c r="A832" s="93"/>
      <c r="B832" s="93"/>
      <c r="C832" s="118"/>
      <c r="D832" s="106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</row>
    <row r="833" ht="22.5" customHeight="1">
      <c r="A833" s="93"/>
      <c r="B833" s="93"/>
      <c r="C833" s="118"/>
      <c r="D833" s="106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</row>
    <row r="834" ht="22.5" customHeight="1">
      <c r="A834" s="93"/>
      <c r="B834" s="93"/>
      <c r="C834" s="118"/>
      <c r="D834" s="106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</row>
    <row r="835" ht="22.5" customHeight="1">
      <c r="A835" s="93"/>
      <c r="B835" s="93"/>
      <c r="C835" s="118"/>
      <c r="D835" s="106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</row>
    <row r="836" ht="22.5" customHeight="1">
      <c r="A836" s="93"/>
      <c r="B836" s="93"/>
      <c r="C836" s="118"/>
      <c r="D836" s="106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</row>
    <row r="837" ht="22.5" customHeight="1">
      <c r="A837" s="93"/>
      <c r="B837" s="93"/>
      <c r="C837" s="118"/>
      <c r="D837" s="106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</row>
    <row r="838" ht="22.5" customHeight="1">
      <c r="A838" s="93"/>
      <c r="B838" s="93"/>
      <c r="C838" s="118"/>
      <c r="D838" s="106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</row>
    <row r="839" ht="22.5" customHeight="1">
      <c r="A839" s="93"/>
      <c r="B839" s="93"/>
      <c r="C839" s="118"/>
      <c r="D839" s="106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</row>
    <row r="840" ht="22.5" customHeight="1">
      <c r="A840" s="93"/>
      <c r="B840" s="93"/>
      <c r="C840" s="118"/>
      <c r="D840" s="106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</row>
    <row r="841" ht="22.5" customHeight="1">
      <c r="A841" s="93"/>
      <c r="B841" s="93"/>
      <c r="C841" s="118"/>
      <c r="D841" s="106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</row>
    <row r="842" ht="22.5" customHeight="1">
      <c r="A842" s="93"/>
      <c r="B842" s="93"/>
      <c r="C842" s="118"/>
      <c r="D842" s="106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</row>
    <row r="843" ht="22.5" customHeight="1">
      <c r="A843" s="93"/>
      <c r="B843" s="93"/>
      <c r="C843" s="118"/>
      <c r="D843" s="106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</row>
    <row r="844" ht="22.5" customHeight="1">
      <c r="A844" s="93"/>
      <c r="B844" s="93"/>
      <c r="C844" s="118"/>
      <c r="D844" s="106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</row>
    <row r="845" ht="22.5" customHeight="1">
      <c r="A845" s="93"/>
      <c r="B845" s="93"/>
      <c r="C845" s="118"/>
      <c r="D845" s="106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</row>
    <row r="846" ht="22.5" customHeight="1">
      <c r="A846" s="93"/>
      <c r="B846" s="93"/>
      <c r="C846" s="118"/>
      <c r="D846" s="106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</row>
    <row r="847" ht="22.5" customHeight="1">
      <c r="A847" s="93"/>
      <c r="B847" s="93"/>
      <c r="C847" s="118"/>
      <c r="D847" s="106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</row>
    <row r="848" ht="22.5" customHeight="1">
      <c r="A848" s="93"/>
      <c r="B848" s="93"/>
      <c r="C848" s="118"/>
      <c r="D848" s="106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</row>
    <row r="849" ht="22.5" customHeight="1">
      <c r="A849" s="93"/>
      <c r="B849" s="93"/>
      <c r="C849" s="118"/>
      <c r="D849" s="106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</row>
    <row r="850" ht="22.5" customHeight="1">
      <c r="A850" s="93"/>
      <c r="B850" s="93"/>
      <c r="C850" s="118"/>
      <c r="D850" s="106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</row>
    <row r="851" ht="22.5" customHeight="1">
      <c r="A851" s="93"/>
      <c r="B851" s="93"/>
      <c r="C851" s="118"/>
      <c r="D851" s="106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</row>
    <row r="852" ht="22.5" customHeight="1">
      <c r="A852" s="93"/>
      <c r="B852" s="93"/>
      <c r="C852" s="118"/>
      <c r="D852" s="106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</row>
    <row r="853" ht="22.5" customHeight="1">
      <c r="A853" s="93"/>
      <c r="B853" s="93"/>
      <c r="C853" s="118"/>
      <c r="D853" s="106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</row>
    <row r="854" ht="22.5" customHeight="1">
      <c r="A854" s="93"/>
      <c r="B854" s="93"/>
      <c r="C854" s="118"/>
      <c r="D854" s="106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</row>
    <row r="855" ht="22.5" customHeight="1">
      <c r="A855" s="93"/>
      <c r="B855" s="93"/>
      <c r="C855" s="118"/>
      <c r="D855" s="106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</row>
    <row r="856" ht="22.5" customHeight="1">
      <c r="A856" s="93"/>
      <c r="B856" s="93"/>
      <c r="C856" s="118"/>
      <c r="D856" s="106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</row>
    <row r="857" ht="22.5" customHeight="1">
      <c r="A857" s="93"/>
      <c r="B857" s="93"/>
      <c r="C857" s="118"/>
      <c r="D857" s="106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</row>
    <row r="858" ht="22.5" customHeight="1">
      <c r="A858" s="93"/>
      <c r="B858" s="93"/>
      <c r="C858" s="118"/>
      <c r="D858" s="106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</row>
    <row r="859" ht="22.5" customHeight="1">
      <c r="A859" s="93"/>
      <c r="B859" s="93"/>
      <c r="C859" s="118"/>
      <c r="D859" s="106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</row>
    <row r="860" ht="22.5" customHeight="1">
      <c r="A860" s="93"/>
      <c r="B860" s="93"/>
      <c r="C860" s="118"/>
      <c r="D860" s="106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</row>
    <row r="861" ht="22.5" customHeight="1">
      <c r="A861" s="93"/>
      <c r="B861" s="93"/>
      <c r="C861" s="118"/>
      <c r="D861" s="106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</row>
    <row r="862" ht="22.5" customHeight="1">
      <c r="A862" s="93"/>
      <c r="B862" s="93"/>
      <c r="C862" s="118"/>
      <c r="D862" s="106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</row>
    <row r="863" ht="22.5" customHeight="1">
      <c r="A863" s="93"/>
      <c r="B863" s="93"/>
      <c r="C863" s="118"/>
      <c r="D863" s="106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</row>
    <row r="864" ht="22.5" customHeight="1">
      <c r="A864" s="93"/>
      <c r="B864" s="93"/>
      <c r="C864" s="118"/>
      <c r="D864" s="106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</row>
    <row r="865" ht="22.5" customHeight="1">
      <c r="A865" s="93"/>
      <c r="B865" s="93"/>
      <c r="C865" s="118"/>
      <c r="D865" s="106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</row>
    <row r="866" ht="22.5" customHeight="1">
      <c r="A866" s="93"/>
      <c r="B866" s="93"/>
      <c r="C866" s="118"/>
      <c r="D866" s="106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</row>
    <row r="867" ht="22.5" customHeight="1">
      <c r="A867" s="93"/>
      <c r="B867" s="93"/>
      <c r="C867" s="118"/>
      <c r="D867" s="106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</row>
    <row r="868" ht="22.5" customHeight="1">
      <c r="A868" s="93"/>
      <c r="B868" s="93"/>
      <c r="C868" s="118"/>
      <c r="D868" s="106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</row>
    <row r="869" ht="22.5" customHeight="1">
      <c r="A869" s="93"/>
      <c r="B869" s="93"/>
      <c r="C869" s="118"/>
      <c r="D869" s="106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</row>
    <row r="870" ht="22.5" customHeight="1">
      <c r="A870" s="93"/>
      <c r="B870" s="93"/>
      <c r="C870" s="118"/>
      <c r="D870" s="106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</row>
    <row r="871" ht="22.5" customHeight="1">
      <c r="A871" s="93"/>
      <c r="B871" s="93"/>
      <c r="C871" s="118"/>
      <c r="D871" s="106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</row>
    <row r="872" ht="22.5" customHeight="1">
      <c r="A872" s="93"/>
      <c r="B872" s="93"/>
      <c r="C872" s="118"/>
      <c r="D872" s="106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</row>
    <row r="873" ht="22.5" customHeight="1">
      <c r="A873" s="93"/>
      <c r="B873" s="93"/>
      <c r="C873" s="118"/>
      <c r="D873" s="106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</row>
    <row r="874" ht="22.5" customHeight="1">
      <c r="A874" s="93"/>
      <c r="B874" s="93"/>
      <c r="C874" s="118"/>
      <c r="D874" s="106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</row>
    <row r="875" ht="22.5" customHeight="1">
      <c r="A875" s="93"/>
      <c r="B875" s="93"/>
      <c r="C875" s="118"/>
      <c r="D875" s="106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</row>
    <row r="876" ht="22.5" customHeight="1">
      <c r="A876" s="93"/>
      <c r="B876" s="93"/>
      <c r="C876" s="118"/>
      <c r="D876" s="106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</row>
    <row r="877" ht="22.5" customHeight="1">
      <c r="A877" s="93"/>
      <c r="B877" s="93"/>
      <c r="C877" s="118"/>
      <c r="D877" s="106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</row>
    <row r="878" ht="22.5" customHeight="1">
      <c r="A878" s="93"/>
      <c r="B878" s="93"/>
      <c r="C878" s="118"/>
      <c r="D878" s="106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</row>
    <row r="879" ht="22.5" customHeight="1">
      <c r="A879" s="93"/>
      <c r="B879" s="93"/>
      <c r="C879" s="118"/>
      <c r="D879" s="106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</row>
    <row r="880" ht="22.5" customHeight="1">
      <c r="A880" s="93"/>
      <c r="B880" s="93"/>
      <c r="C880" s="118"/>
      <c r="D880" s="106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</row>
    <row r="881" ht="22.5" customHeight="1">
      <c r="A881" s="93"/>
      <c r="B881" s="93"/>
      <c r="C881" s="118"/>
      <c r="D881" s="106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</row>
    <row r="882" ht="22.5" customHeight="1">
      <c r="A882" s="93"/>
      <c r="B882" s="93"/>
      <c r="C882" s="118"/>
      <c r="D882" s="106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</row>
    <row r="883" ht="22.5" customHeight="1">
      <c r="A883" s="93"/>
      <c r="B883" s="93"/>
      <c r="C883" s="118"/>
      <c r="D883" s="106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</row>
    <row r="884" ht="22.5" customHeight="1">
      <c r="A884" s="93"/>
      <c r="B884" s="93"/>
      <c r="C884" s="118"/>
      <c r="D884" s="106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</row>
    <row r="885" ht="22.5" customHeight="1">
      <c r="A885" s="93"/>
      <c r="B885" s="93"/>
      <c r="C885" s="118"/>
      <c r="D885" s="106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</row>
    <row r="886" ht="22.5" customHeight="1">
      <c r="A886" s="93"/>
      <c r="B886" s="93"/>
      <c r="C886" s="118"/>
      <c r="D886" s="106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</row>
  </sheetData>
  <autoFilter ref="$A$1:$M$886">
    <sortState ref="A1:M886">
      <sortCondition ref="E1:E886"/>
      <sortCondition ref="A1:A886"/>
      <sortCondition ref="B1:B886"/>
    </sortState>
  </autoFilter>
  <printOptions gridLines="1"/>
  <pageMargins bottom="0.75" footer="0.0" header="0.0" left="0.25" right="0.25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2" max="2" width="9.71"/>
    <col customWidth="1" min="3" max="3" width="21.57"/>
    <col customWidth="1" min="4" max="4" width="15.14"/>
    <col customWidth="1" min="5" max="5" width="14.57"/>
    <col customWidth="1" min="6" max="6" width="12.29"/>
    <col customWidth="1" min="7" max="7" width="17.71"/>
    <col customWidth="1" min="8" max="8" width="37.29"/>
    <col customWidth="1" min="9" max="9" width="31.86"/>
    <col customWidth="1" min="10" max="10" width="12.29"/>
    <col customWidth="1" min="11" max="22" width="30.43"/>
  </cols>
  <sheetData>
    <row r="1">
      <c r="A1" s="1" t="s">
        <v>0</v>
      </c>
      <c r="B1" s="1" t="s">
        <v>1</v>
      </c>
      <c r="C1" s="1" t="s">
        <v>2</v>
      </c>
      <c r="D1" s="110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ht="36.75" customHeight="1">
      <c r="A2" s="27" t="s">
        <v>24</v>
      </c>
      <c r="B2" s="27">
        <v>1024.0</v>
      </c>
      <c r="C2" s="28" t="s">
        <v>432</v>
      </c>
      <c r="D2" s="27">
        <v>4.0</v>
      </c>
      <c r="E2" s="27"/>
      <c r="F2" s="27" t="s">
        <v>433</v>
      </c>
      <c r="G2" s="27">
        <v>6.0</v>
      </c>
      <c r="H2" s="122"/>
      <c r="I2" s="122"/>
      <c r="J2" s="12" t="b">
        <v>0</v>
      </c>
      <c r="K2" s="13" t="s">
        <v>311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36.75" customHeight="1">
      <c r="A3" s="27" t="s">
        <v>24</v>
      </c>
      <c r="B3" s="27">
        <v>1025.0</v>
      </c>
      <c r="C3" s="28" t="s">
        <v>434</v>
      </c>
      <c r="D3" s="27">
        <v>3.0</v>
      </c>
      <c r="E3" s="27"/>
      <c r="F3" s="27" t="s">
        <v>433</v>
      </c>
      <c r="G3" s="27">
        <v>4.0</v>
      </c>
      <c r="H3" s="122"/>
      <c r="I3" s="122"/>
      <c r="J3" s="12" t="b">
        <v>0</v>
      </c>
      <c r="K3" s="13" t="s">
        <v>311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36.75" customHeight="1">
      <c r="A4" s="27" t="s">
        <v>24</v>
      </c>
      <c r="B4" s="27">
        <v>1026.0</v>
      </c>
      <c r="C4" s="28" t="s">
        <v>435</v>
      </c>
      <c r="D4" s="27">
        <v>2.0</v>
      </c>
      <c r="E4" s="27"/>
      <c r="F4" s="27" t="s">
        <v>433</v>
      </c>
      <c r="G4" s="27">
        <v>2.0</v>
      </c>
      <c r="H4" s="28" t="s">
        <v>160</v>
      </c>
      <c r="I4" s="122"/>
      <c r="J4" s="12" t="b">
        <v>0</v>
      </c>
      <c r="K4" s="13" t="s">
        <v>311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36.75" customHeight="1">
      <c r="A5" s="113" t="s">
        <v>156</v>
      </c>
      <c r="B5" s="113">
        <v>2024.0</v>
      </c>
      <c r="C5" s="126" t="s">
        <v>432</v>
      </c>
      <c r="D5" s="113">
        <v>4.0</v>
      </c>
      <c r="E5" s="113"/>
      <c r="F5" s="113" t="s">
        <v>433</v>
      </c>
      <c r="G5" s="113">
        <v>6.0</v>
      </c>
      <c r="H5" s="128"/>
      <c r="I5" s="128"/>
      <c r="J5" s="12" t="b">
        <v>0</v>
      </c>
      <c r="K5" s="13" t="s">
        <v>311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36.75" customHeight="1">
      <c r="A6" s="113" t="s">
        <v>156</v>
      </c>
      <c r="B6" s="113">
        <v>2025.0</v>
      </c>
      <c r="C6" s="126" t="s">
        <v>436</v>
      </c>
      <c r="D6" s="113">
        <v>3.0</v>
      </c>
      <c r="E6" s="113"/>
      <c r="F6" s="113" t="s">
        <v>433</v>
      </c>
      <c r="G6" s="113">
        <v>4.0</v>
      </c>
      <c r="H6" s="128"/>
      <c r="I6" s="128"/>
      <c r="J6" s="12" t="b">
        <v>0</v>
      </c>
      <c r="K6" s="13" t="s">
        <v>311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36.75" customHeight="1">
      <c r="A7" s="113" t="s">
        <v>156</v>
      </c>
      <c r="B7" s="113">
        <v>2026.0</v>
      </c>
      <c r="C7" s="126" t="s">
        <v>435</v>
      </c>
      <c r="D7" s="113">
        <v>2.0</v>
      </c>
      <c r="E7" s="113"/>
      <c r="F7" s="113" t="s">
        <v>433</v>
      </c>
      <c r="G7" s="113">
        <v>2.0</v>
      </c>
      <c r="H7" s="128"/>
      <c r="I7" s="128"/>
      <c r="J7" s="12" t="b">
        <v>0</v>
      </c>
      <c r="K7" s="13" t="s">
        <v>311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36.75" customHeight="1">
      <c r="A8" s="130" t="s">
        <v>170</v>
      </c>
      <c r="B8" s="130">
        <v>2324.0</v>
      </c>
      <c r="C8" s="129" t="s">
        <v>434</v>
      </c>
      <c r="D8" s="130">
        <v>2.0</v>
      </c>
      <c r="E8" s="130"/>
      <c r="F8" s="130" t="s">
        <v>433</v>
      </c>
      <c r="G8" s="130" t="s">
        <v>171</v>
      </c>
      <c r="H8" s="129" t="s">
        <v>172</v>
      </c>
      <c r="I8" s="132"/>
      <c r="J8" s="12" t="b">
        <v>0</v>
      </c>
      <c r="K8" s="13" t="s">
        <v>311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36.75" customHeight="1">
      <c r="A9" s="93"/>
      <c r="B9" s="93"/>
      <c r="C9" s="93"/>
      <c r="D9" s="93"/>
      <c r="E9" s="93"/>
      <c r="F9" s="93"/>
      <c r="G9" s="93"/>
      <c r="H9" s="50"/>
      <c r="I9" s="9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 ht="36.75" customHeight="1">
      <c r="A10" s="93"/>
      <c r="B10" s="93"/>
      <c r="C10" s="93"/>
      <c r="D10" s="93"/>
      <c r="E10" s="93"/>
      <c r="F10" s="93"/>
      <c r="G10" s="93"/>
      <c r="H10" s="50"/>
      <c r="I10" s="9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ht="36.75" customHeight="1">
      <c r="A11" s="93"/>
      <c r="B11" s="93"/>
      <c r="C11" s="93"/>
      <c r="D11" s="93"/>
      <c r="E11" s="93"/>
      <c r="F11" s="93"/>
      <c r="G11" s="93"/>
      <c r="H11" s="50"/>
      <c r="I11" s="93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 ht="36.75" customHeight="1">
      <c r="A12" s="93"/>
      <c r="B12" s="93"/>
      <c r="C12" s="93"/>
      <c r="D12" s="93"/>
      <c r="E12" s="93"/>
      <c r="F12" s="93"/>
      <c r="G12" s="93"/>
      <c r="H12" s="50"/>
      <c r="I12" s="9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ht="36.75" customHeight="1">
      <c r="A13" s="93"/>
      <c r="B13" s="93"/>
      <c r="C13" s="93"/>
      <c r="D13" s="93"/>
      <c r="E13" s="93"/>
      <c r="F13" s="93"/>
      <c r="G13" s="93"/>
      <c r="H13" s="50"/>
      <c r="I13" s="93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ht="36.75" customHeight="1">
      <c r="A14" s="93"/>
      <c r="B14" s="93"/>
      <c r="C14" s="93"/>
      <c r="D14" s="93"/>
      <c r="E14" s="93"/>
      <c r="F14" s="93"/>
      <c r="G14" s="93"/>
      <c r="H14" s="50"/>
      <c r="I14" s="9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 ht="36.75" customHeight="1">
      <c r="A15" s="93"/>
      <c r="B15" s="93"/>
      <c r="C15" s="93"/>
      <c r="D15" s="93"/>
      <c r="E15" s="93"/>
      <c r="F15" s="93"/>
      <c r="G15" s="93"/>
      <c r="H15" s="50"/>
      <c r="I15" s="93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</row>
    <row r="16" ht="36.75" customHeight="1">
      <c r="A16" s="93"/>
      <c r="B16" s="93"/>
      <c r="C16" s="93"/>
      <c r="D16" s="93"/>
      <c r="E16" s="93"/>
      <c r="F16" s="93"/>
      <c r="G16" s="93"/>
      <c r="H16" s="50"/>
      <c r="I16" s="9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</row>
    <row r="17" ht="36.75" customHeight="1">
      <c r="A17" s="93"/>
      <c r="B17" s="93"/>
      <c r="C17" s="93"/>
      <c r="D17" s="93"/>
      <c r="E17" s="93"/>
      <c r="F17" s="93"/>
      <c r="G17" s="93"/>
      <c r="H17" s="50"/>
      <c r="I17" s="9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 ht="36.75" customHeight="1">
      <c r="A18" s="93"/>
      <c r="B18" s="93"/>
      <c r="C18" s="93"/>
      <c r="D18" s="93"/>
      <c r="E18" s="93"/>
      <c r="F18" s="93"/>
      <c r="G18" s="93"/>
      <c r="H18" s="50"/>
      <c r="I18" s="9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 ht="36.75" customHeight="1">
      <c r="A19" s="93"/>
      <c r="B19" s="93"/>
      <c r="C19" s="93"/>
      <c r="D19" s="93"/>
      <c r="E19" s="93"/>
      <c r="F19" s="93"/>
      <c r="G19" s="93"/>
      <c r="H19" s="50"/>
      <c r="I19" s="9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</row>
    <row r="20" ht="36.75" customHeight="1">
      <c r="A20" s="93"/>
      <c r="B20" s="93"/>
      <c r="C20" s="93"/>
      <c r="D20" s="93"/>
      <c r="E20" s="93"/>
      <c r="F20" s="93"/>
      <c r="G20" s="93"/>
      <c r="H20" s="50"/>
      <c r="I20" s="9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ht="36.75" customHeight="1">
      <c r="A21" s="93"/>
      <c r="B21" s="93"/>
      <c r="C21" s="93"/>
      <c r="D21" s="93"/>
      <c r="E21" s="93"/>
      <c r="F21" s="93"/>
      <c r="G21" s="93"/>
      <c r="H21" s="50"/>
      <c r="I21" s="9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 ht="36.75" customHeight="1">
      <c r="A22" s="93"/>
      <c r="B22" s="93"/>
      <c r="C22" s="93"/>
      <c r="D22" s="93"/>
      <c r="E22" s="93"/>
      <c r="F22" s="93"/>
      <c r="G22" s="93"/>
      <c r="H22" s="50"/>
      <c r="I22" s="9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</row>
    <row r="23" ht="36.75" customHeight="1">
      <c r="A23" s="93"/>
      <c r="B23" s="93"/>
      <c r="C23" s="93"/>
      <c r="D23" s="93"/>
      <c r="E23" s="93"/>
      <c r="F23" s="93"/>
      <c r="G23" s="93"/>
      <c r="H23" s="50"/>
      <c r="I23" s="9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 ht="36.75" customHeight="1">
      <c r="A24" s="93"/>
      <c r="B24" s="93"/>
      <c r="C24" s="93"/>
      <c r="D24" s="93"/>
      <c r="E24" s="93"/>
      <c r="F24" s="93"/>
      <c r="G24" s="93"/>
      <c r="H24" s="50"/>
      <c r="I24" s="9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5" ht="36.75" customHeight="1">
      <c r="A25" s="93"/>
      <c r="B25" s="93"/>
      <c r="C25" s="93"/>
      <c r="D25" s="93"/>
      <c r="E25" s="93"/>
      <c r="F25" s="93"/>
      <c r="G25" s="93"/>
      <c r="H25" s="50"/>
      <c r="I25" s="9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ht="36.75" customHeight="1">
      <c r="A26" s="93"/>
      <c r="B26" s="93"/>
      <c r="C26" s="93"/>
      <c r="D26" s="93"/>
      <c r="E26" s="93"/>
      <c r="F26" s="93"/>
      <c r="G26" s="93"/>
      <c r="H26" s="50"/>
      <c r="I26" s="9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 ht="36.75" customHeight="1">
      <c r="A27" s="93"/>
      <c r="B27" s="93"/>
      <c r="C27" s="93"/>
      <c r="D27" s="93"/>
      <c r="E27" s="93"/>
      <c r="F27" s="93"/>
      <c r="G27" s="93"/>
      <c r="H27" s="50"/>
      <c r="I27" s="9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ht="36.75" customHeight="1">
      <c r="A28" s="93"/>
      <c r="B28" s="93"/>
      <c r="C28" s="93"/>
      <c r="D28" s="93"/>
      <c r="E28" s="93"/>
      <c r="F28" s="93"/>
      <c r="G28" s="93"/>
      <c r="H28" s="50"/>
      <c r="I28" s="9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ht="36.75" customHeight="1">
      <c r="A29" s="93"/>
      <c r="B29" s="93"/>
      <c r="C29" s="93"/>
      <c r="D29" s="93"/>
      <c r="E29" s="93"/>
      <c r="F29" s="93"/>
      <c r="G29" s="93"/>
      <c r="H29" s="50"/>
      <c r="I29" s="9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ht="36.75" customHeight="1">
      <c r="A30" s="93"/>
      <c r="B30" s="93"/>
      <c r="C30" s="93"/>
      <c r="D30" s="93"/>
      <c r="E30" s="93"/>
      <c r="F30" s="93"/>
      <c r="G30" s="93"/>
      <c r="H30" s="50"/>
      <c r="I30" s="9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 ht="36.75" customHeight="1">
      <c r="A31" s="93"/>
      <c r="B31" s="93"/>
      <c r="C31" s="93"/>
      <c r="D31" s="93"/>
      <c r="E31" s="93"/>
      <c r="F31" s="93"/>
      <c r="G31" s="93"/>
      <c r="H31" s="50"/>
      <c r="I31" s="9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ht="36.75" customHeight="1">
      <c r="A32" s="93"/>
      <c r="B32" s="93"/>
      <c r="C32" s="93"/>
      <c r="D32" s="93"/>
      <c r="E32" s="93"/>
      <c r="F32" s="93"/>
      <c r="G32" s="93"/>
      <c r="H32" s="50"/>
      <c r="I32" s="9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ht="36.75" customHeight="1">
      <c r="A33" s="93"/>
      <c r="B33" s="93"/>
      <c r="C33" s="93"/>
      <c r="D33" s="93"/>
      <c r="E33" s="93"/>
      <c r="F33" s="93"/>
      <c r="G33" s="93"/>
      <c r="H33" s="50"/>
      <c r="I33" s="9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ht="36.75" customHeight="1">
      <c r="A34" s="93"/>
      <c r="B34" s="93"/>
      <c r="C34" s="93"/>
      <c r="D34" s="93"/>
      <c r="E34" s="93"/>
      <c r="F34" s="93"/>
      <c r="G34" s="93"/>
      <c r="H34" s="50"/>
      <c r="I34" s="9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ht="36.75" customHeight="1">
      <c r="A35" s="93"/>
      <c r="B35" s="93"/>
      <c r="C35" s="93"/>
      <c r="D35" s="93"/>
      <c r="E35" s="93"/>
      <c r="F35" s="93"/>
      <c r="G35" s="93"/>
      <c r="H35" s="50"/>
      <c r="I35" s="9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ht="36.75" customHeight="1">
      <c r="A36" s="93"/>
      <c r="B36" s="93"/>
      <c r="C36" s="93"/>
      <c r="D36" s="93"/>
      <c r="E36" s="93"/>
      <c r="F36" s="93"/>
      <c r="G36" s="93"/>
      <c r="H36" s="50"/>
      <c r="I36" s="9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ht="36.75" customHeight="1">
      <c r="A37" s="93"/>
      <c r="B37" s="93"/>
      <c r="C37" s="93"/>
      <c r="D37" s="93"/>
      <c r="E37" s="93"/>
      <c r="F37" s="93"/>
      <c r="G37" s="93"/>
      <c r="H37" s="50"/>
      <c r="I37" s="9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 ht="36.75" customHeight="1">
      <c r="A38" s="93"/>
      <c r="B38" s="93"/>
      <c r="C38" s="93"/>
      <c r="D38" s="93"/>
      <c r="E38" s="93"/>
      <c r="F38" s="93"/>
      <c r="G38" s="93"/>
      <c r="H38" s="50"/>
      <c r="I38" s="9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 ht="36.75" customHeight="1">
      <c r="A39" s="93"/>
      <c r="B39" s="93"/>
      <c r="C39" s="93"/>
      <c r="D39" s="93"/>
      <c r="E39" s="93"/>
      <c r="F39" s="93"/>
      <c r="G39" s="93"/>
      <c r="H39" s="50"/>
      <c r="I39" s="9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</row>
    <row r="40" ht="36.75" customHeight="1">
      <c r="A40" s="93"/>
      <c r="B40" s="93"/>
      <c r="C40" s="93"/>
      <c r="D40" s="93"/>
      <c r="E40" s="93"/>
      <c r="F40" s="93"/>
      <c r="G40" s="93"/>
      <c r="H40" s="50"/>
      <c r="I40" s="9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</row>
    <row r="41" ht="36.75" customHeight="1">
      <c r="A41" s="93"/>
      <c r="B41" s="93"/>
      <c r="C41" s="93"/>
      <c r="D41" s="93"/>
      <c r="E41" s="93"/>
      <c r="F41" s="93"/>
      <c r="G41" s="93"/>
      <c r="H41" s="50"/>
      <c r="I41" s="9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</row>
    <row r="42" ht="36.75" customHeight="1">
      <c r="A42" s="93"/>
      <c r="B42" s="93"/>
      <c r="C42" s="93"/>
      <c r="D42" s="93"/>
      <c r="E42" s="93"/>
      <c r="F42" s="93"/>
      <c r="G42" s="93"/>
      <c r="H42" s="50"/>
      <c r="I42" s="9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</row>
    <row r="43" ht="36.75" customHeight="1">
      <c r="A43" s="93"/>
      <c r="B43" s="93"/>
      <c r="C43" s="93"/>
      <c r="D43" s="93"/>
      <c r="E43" s="93"/>
      <c r="F43" s="93"/>
      <c r="G43" s="93"/>
      <c r="H43" s="50"/>
      <c r="I43" s="9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 ht="36.75" customHeight="1">
      <c r="A44" s="93"/>
      <c r="B44" s="93"/>
      <c r="C44" s="93"/>
      <c r="D44" s="93"/>
      <c r="E44" s="93"/>
      <c r="F44" s="93"/>
      <c r="G44" s="93"/>
      <c r="H44" s="50"/>
      <c r="I44" s="9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</row>
    <row r="45" ht="36.75" customHeight="1">
      <c r="A45" s="93"/>
      <c r="B45" s="93"/>
      <c r="C45" s="93"/>
      <c r="D45" s="93"/>
      <c r="E45" s="93"/>
      <c r="F45" s="93"/>
      <c r="G45" s="93"/>
      <c r="H45" s="50"/>
      <c r="I45" s="9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 ht="36.75" customHeight="1">
      <c r="A46" s="93"/>
      <c r="B46" s="93"/>
      <c r="C46" s="93"/>
      <c r="D46" s="93"/>
      <c r="E46" s="93"/>
      <c r="F46" s="93"/>
      <c r="G46" s="93"/>
      <c r="H46" s="50"/>
      <c r="I46" s="9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</row>
    <row r="47" ht="36.75" customHeight="1">
      <c r="A47" s="93"/>
      <c r="B47" s="93"/>
      <c r="C47" s="93"/>
      <c r="D47" s="93"/>
      <c r="E47" s="93"/>
      <c r="F47" s="93"/>
      <c r="G47" s="93"/>
      <c r="H47" s="50"/>
      <c r="I47" s="9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ht="36.75" customHeight="1">
      <c r="A48" s="93"/>
      <c r="B48" s="93"/>
      <c r="C48" s="93"/>
      <c r="D48" s="93"/>
      <c r="E48" s="93"/>
      <c r="F48" s="93"/>
      <c r="G48" s="93"/>
      <c r="H48" s="50"/>
      <c r="I48" s="93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 ht="36.75" customHeight="1">
      <c r="A49" s="93"/>
      <c r="B49" s="93"/>
      <c r="C49" s="93"/>
      <c r="D49" s="93"/>
      <c r="E49" s="93"/>
      <c r="F49" s="93"/>
      <c r="G49" s="93"/>
      <c r="H49" s="50"/>
      <c r="I49" s="93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 ht="36.75" customHeight="1">
      <c r="A50" s="93"/>
      <c r="B50" s="93"/>
      <c r="C50" s="93"/>
      <c r="D50" s="93"/>
      <c r="E50" s="93"/>
      <c r="F50" s="93"/>
      <c r="G50" s="93"/>
      <c r="H50" s="50"/>
      <c r="I50" s="93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 ht="36.75" customHeight="1">
      <c r="A51" s="93"/>
      <c r="B51" s="93"/>
      <c r="C51" s="93"/>
      <c r="D51" s="93"/>
      <c r="E51" s="93"/>
      <c r="F51" s="93"/>
      <c r="G51" s="93"/>
      <c r="H51" s="50"/>
      <c r="I51" s="9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 ht="36.75" customHeight="1">
      <c r="A52" s="93"/>
      <c r="B52" s="93"/>
      <c r="C52" s="93"/>
      <c r="D52" s="93"/>
      <c r="E52" s="93"/>
      <c r="F52" s="93"/>
      <c r="G52" s="93"/>
      <c r="H52" s="50"/>
      <c r="I52" s="9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 ht="36.75" customHeight="1">
      <c r="A53" s="93"/>
      <c r="B53" s="93"/>
      <c r="C53" s="93"/>
      <c r="D53" s="93"/>
      <c r="E53" s="93"/>
      <c r="F53" s="93"/>
      <c r="G53" s="93"/>
      <c r="H53" s="50"/>
      <c r="I53" s="9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36.75" customHeight="1">
      <c r="A54" s="93"/>
      <c r="B54" s="93"/>
      <c r="C54" s="93"/>
      <c r="D54" s="93"/>
      <c r="E54" s="93"/>
      <c r="F54" s="93"/>
      <c r="G54" s="93"/>
      <c r="H54" s="50"/>
      <c r="I54" s="93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36.75" customHeight="1">
      <c r="A55" s="93"/>
      <c r="B55" s="93"/>
      <c r="C55" s="93"/>
      <c r="D55" s="93"/>
      <c r="E55" s="93"/>
      <c r="F55" s="93"/>
      <c r="G55" s="93"/>
      <c r="H55" s="50"/>
      <c r="I55" s="93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36.75" customHeight="1">
      <c r="A56" s="93"/>
      <c r="B56" s="93"/>
      <c r="C56" s="93"/>
      <c r="D56" s="93"/>
      <c r="E56" s="93"/>
      <c r="F56" s="93"/>
      <c r="G56" s="93"/>
      <c r="H56" s="50"/>
      <c r="I56" s="93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36.75" customHeight="1">
      <c r="A57" s="93"/>
      <c r="B57" s="93"/>
      <c r="C57" s="93"/>
      <c r="D57" s="93"/>
      <c r="E57" s="93"/>
      <c r="F57" s="93"/>
      <c r="G57" s="93"/>
      <c r="H57" s="50"/>
      <c r="I57" s="93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36.75" customHeight="1">
      <c r="A58" s="93"/>
      <c r="B58" s="93"/>
      <c r="C58" s="93"/>
      <c r="D58" s="93"/>
      <c r="E58" s="93"/>
      <c r="F58" s="93"/>
      <c r="G58" s="93"/>
      <c r="H58" s="50"/>
      <c r="I58" s="9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36.75" customHeight="1">
      <c r="A59" s="93"/>
      <c r="B59" s="93"/>
      <c r="C59" s="93"/>
      <c r="D59" s="93"/>
      <c r="E59" s="93"/>
      <c r="F59" s="93"/>
      <c r="G59" s="93"/>
      <c r="H59" s="50"/>
      <c r="I59" s="9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36.75" customHeight="1">
      <c r="A60" s="93"/>
      <c r="B60" s="93"/>
      <c r="C60" s="93"/>
      <c r="D60" s="93"/>
      <c r="E60" s="93"/>
      <c r="F60" s="93"/>
      <c r="G60" s="93"/>
      <c r="H60" s="50"/>
      <c r="I60" s="93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36.75" customHeight="1">
      <c r="A61" s="93"/>
      <c r="B61" s="93"/>
      <c r="C61" s="93"/>
      <c r="D61" s="93"/>
      <c r="E61" s="93"/>
      <c r="F61" s="93"/>
      <c r="G61" s="93"/>
      <c r="H61" s="50"/>
      <c r="I61" s="93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36.75" customHeight="1">
      <c r="A62" s="93"/>
      <c r="B62" s="93"/>
      <c r="C62" s="93"/>
      <c r="D62" s="93"/>
      <c r="E62" s="93"/>
      <c r="F62" s="93"/>
      <c r="G62" s="93"/>
      <c r="H62" s="50"/>
      <c r="I62" s="93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36.75" customHeight="1">
      <c r="A63" s="93"/>
      <c r="B63" s="93"/>
      <c r="C63" s="93"/>
      <c r="D63" s="93"/>
      <c r="E63" s="93"/>
      <c r="F63" s="93"/>
      <c r="G63" s="93"/>
      <c r="H63" s="50"/>
      <c r="I63" s="93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36.75" customHeight="1">
      <c r="A64" s="93"/>
      <c r="B64" s="93"/>
      <c r="C64" s="93"/>
      <c r="D64" s="93"/>
      <c r="E64" s="93"/>
      <c r="F64" s="93"/>
      <c r="G64" s="93"/>
      <c r="H64" s="50"/>
      <c r="I64" s="9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36.75" customHeight="1">
      <c r="A65" s="93"/>
      <c r="B65" s="93"/>
      <c r="C65" s="93"/>
      <c r="D65" s="93"/>
      <c r="E65" s="93"/>
      <c r="F65" s="93"/>
      <c r="G65" s="93"/>
      <c r="H65" s="50"/>
      <c r="I65" s="9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36.75" customHeight="1">
      <c r="A66" s="93"/>
      <c r="B66" s="93"/>
      <c r="C66" s="93"/>
      <c r="D66" s="93"/>
      <c r="E66" s="93"/>
      <c r="F66" s="93"/>
      <c r="G66" s="93"/>
      <c r="H66" s="50"/>
      <c r="I66" s="93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36.75" customHeight="1">
      <c r="A67" s="93"/>
      <c r="B67" s="93"/>
      <c r="C67" s="93"/>
      <c r="D67" s="93"/>
      <c r="E67" s="93"/>
      <c r="F67" s="93"/>
      <c r="G67" s="93"/>
      <c r="H67" s="50"/>
      <c r="I67" s="93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36.75" customHeight="1">
      <c r="A68" s="93"/>
      <c r="B68" s="93"/>
      <c r="C68" s="93"/>
      <c r="D68" s="93"/>
      <c r="E68" s="93"/>
      <c r="F68" s="93"/>
      <c r="G68" s="93"/>
      <c r="H68" s="50"/>
      <c r="I68" s="93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36.75" customHeight="1">
      <c r="A69" s="93"/>
      <c r="B69" s="93"/>
      <c r="C69" s="93"/>
      <c r="D69" s="93"/>
      <c r="E69" s="93"/>
      <c r="F69" s="93"/>
      <c r="G69" s="93"/>
      <c r="H69" s="50"/>
      <c r="I69" s="93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36.75" customHeight="1">
      <c r="A70" s="93"/>
      <c r="B70" s="93"/>
      <c r="C70" s="93"/>
      <c r="D70" s="93"/>
      <c r="E70" s="93"/>
      <c r="F70" s="93"/>
      <c r="G70" s="93"/>
      <c r="H70" s="50"/>
      <c r="I70" s="9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36.75" customHeight="1">
      <c r="A71" s="93"/>
      <c r="B71" s="93"/>
      <c r="C71" s="93"/>
      <c r="D71" s="93"/>
      <c r="E71" s="93"/>
      <c r="F71" s="93"/>
      <c r="G71" s="93"/>
      <c r="H71" s="50"/>
      <c r="I71" s="9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36.75" customHeight="1">
      <c r="A72" s="93"/>
      <c r="B72" s="93"/>
      <c r="C72" s="93"/>
      <c r="D72" s="93"/>
      <c r="E72" s="93"/>
      <c r="F72" s="93"/>
      <c r="G72" s="93"/>
      <c r="H72" s="50"/>
      <c r="I72" s="93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36.75" customHeight="1">
      <c r="A73" s="93"/>
      <c r="B73" s="93"/>
      <c r="C73" s="93"/>
      <c r="D73" s="93"/>
      <c r="E73" s="93"/>
      <c r="F73" s="93"/>
      <c r="G73" s="93"/>
      <c r="H73" s="50"/>
      <c r="I73" s="93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36.75" customHeight="1">
      <c r="A74" s="93"/>
      <c r="B74" s="93"/>
      <c r="C74" s="93"/>
      <c r="D74" s="93"/>
      <c r="E74" s="93"/>
      <c r="F74" s="93"/>
      <c r="G74" s="93"/>
      <c r="H74" s="50"/>
      <c r="I74" s="93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36.75" customHeight="1">
      <c r="A75" s="93"/>
      <c r="B75" s="93"/>
      <c r="C75" s="93"/>
      <c r="D75" s="93"/>
      <c r="E75" s="93"/>
      <c r="F75" s="93"/>
      <c r="G75" s="93"/>
      <c r="H75" s="50"/>
      <c r="I75" s="93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36.75" customHeight="1">
      <c r="A76" s="93"/>
      <c r="B76" s="93"/>
      <c r="C76" s="93"/>
      <c r="D76" s="93"/>
      <c r="E76" s="93"/>
      <c r="F76" s="93"/>
      <c r="G76" s="93"/>
      <c r="H76" s="50"/>
      <c r="I76" s="9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36.75" customHeight="1">
      <c r="A77" s="93"/>
      <c r="B77" s="93"/>
      <c r="C77" s="93"/>
      <c r="D77" s="93"/>
      <c r="E77" s="93"/>
      <c r="F77" s="93"/>
      <c r="G77" s="93"/>
      <c r="H77" s="50"/>
      <c r="I77" s="9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36.75" customHeight="1">
      <c r="A78" s="93"/>
      <c r="B78" s="93"/>
      <c r="C78" s="93"/>
      <c r="D78" s="93"/>
      <c r="E78" s="93"/>
      <c r="F78" s="93"/>
      <c r="G78" s="93"/>
      <c r="H78" s="50"/>
      <c r="I78" s="93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36.75" customHeight="1">
      <c r="A79" s="93"/>
      <c r="B79" s="93"/>
      <c r="C79" s="93"/>
      <c r="D79" s="93"/>
      <c r="E79" s="93"/>
      <c r="F79" s="93"/>
      <c r="G79" s="93"/>
      <c r="H79" s="50"/>
      <c r="I79" s="93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36.75" customHeight="1">
      <c r="A80" s="93"/>
      <c r="B80" s="93"/>
      <c r="C80" s="93"/>
      <c r="D80" s="93"/>
      <c r="E80" s="93"/>
      <c r="F80" s="93"/>
      <c r="G80" s="93"/>
      <c r="H80" s="50"/>
      <c r="I80" s="93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36.75" customHeight="1">
      <c r="A81" s="93"/>
      <c r="B81" s="93"/>
      <c r="C81" s="93"/>
      <c r="D81" s="93"/>
      <c r="E81" s="93"/>
      <c r="F81" s="93"/>
      <c r="G81" s="93"/>
      <c r="H81" s="50"/>
      <c r="I81" s="93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36.75" customHeight="1">
      <c r="A82" s="93"/>
      <c r="B82" s="93"/>
      <c r="C82" s="93"/>
      <c r="D82" s="93"/>
      <c r="E82" s="93"/>
      <c r="F82" s="93"/>
      <c r="G82" s="93"/>
      <c r="H82" s="50"/>
      <c r="I82" s="9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36.75" customHeight="1">
      <c r="A83" s="93"/>
      <c r="B83" s="93"/>
      <c r="C83" s="93"/>
      <c r="D83" s="93"/>
      <c r="E83" s="93"/>
      <c r="F83" s="93"/>
      <c r="G83" s="93"/>
      <c r="H83" s="50"/>
      <c r="I83" s="9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36.75" customHeight="1">
      <c r="A84" s="93"/>
      <c r="B84" s="93"/>
      <c r="C84" s="93"/>
      <c r="D84" s="93"/>
      <c r="E84" s="93"/>
      <c r="F84" s="93"/>
      <c r="G84" s="93"/>
      <c r="H84" s="50"/>
      <c r="I84" s="93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36.75" customHeight="1">
      <c r="A85" s="93"/>
      <c r="B85" s="93"/>
      <c r="C85" s="93"/>
      <c r="D85" s="93"/>
      <c r="E85" s="93"/>
      <c r="F85" s="93"/>
      <c r="G85" s="93"/>
      <c r="H85" s="50"/>
      <c r="I85" s="93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36.75" customHeight="1">
      <c r="A86" s="93"/>
      <c r="B86" s="93"/>
      <c r="C86" s="93"/>
      <c r="D86" s="93"/>
      <c r="E86" s="93"/>
      <c r="F86" s="93"/>
      <c r="G86" s="93"/>
      <c r="H86" s="50"/>
      <c r="I86" s="93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36.75" customHeight="1">
      <c r="A87" s="93"/>
      <c r="B87" s="93"/>
      <c r="C87" s="93"/>
      <c r="D87" s="93"/>
      <c r="E87" s="93"/>
      <c r="F87" s="93"/>
      <c r="G87" s="93"/>
      <c r="H87" s="50"/>
      <c r="I87" s="93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36.75" customHeight="1">
      <c r="A88" s="93"/>
      <c r="B88" s="93"/>
      <c r="C88" s="93"/>
      <c r="D88" s="93"/>
      <c r="E88" s="93"/>
      <c r="F88" s="93"/>
      <c r="G88" s="93"/>
      <c r="H88" s="50"/>
      <c r="I88" s="93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36.75" customHeight="1">
      <c r="A89" s="93"/>
      <c r="B89" s="93"/>
      <c r="C89" s="93"/>
      <c r="D89" s="93"/>
      <c r="E89" s="93"/>
      <c r="F89" s="93"/>
      <c r="G89" s="93"/>
      <c r="H89" s="50"/>
      <c r="I89" s="93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36.75" customHeight="1">
      <c r="A90" s="93"/>
      <c r="B90" s="93"/>
      <c r="C90" s="93"/>
      <c r="D90" s="93"/>
      <c r="E90" s="93"/>
      <c r="F90" s="93"/>
      <c r="G90" s="93"/>
      <c r="H90" s="50"/>
      <c r="I90" s="93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36.75" customHeight="1">
      <c r="A91" s="93"/>
      <c r="B91" s="93"/>
      <c r="C91" s="93"/>
      <c r="D91" s="93"/>
      <c r="E91" s="93"/>
      <c r="F91" s="93"/>
      <c r="G91" s="93"/>
      <c r="H91" s="50"/>
      <c r="I91" s="93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36.75" customHeight="1">
      <c r="A92" s="93"/>
      <c r="B92" s="93"/>
      <c r="C92" s="93"/>
      <c r="D92" s="93"/>
      <c r="E92" s="93"/>
      <c r="F92" s="93"/>
      <c r="G92" s="93"/>
      <c r="H92" s="50"/>
      <c r="I92" s="93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36.75" customHeight="1">
      <c r="A93" s="93"/>
      <c r="B93" s="93"/>
      <c r="C93" s="93"/>
      <c r="D93" s="93"/>
      <c r="E93" s="93"/>
      <c r="F93" s="93"/>
      <c r="G93" s="93"/>
      <c r="H93" s="50"/>
      <c r="I93" s="93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36.75" customHeight="1">
      <c r="A94" s="93"/>
      <c r="B94" s="93"/>
      <c r="C94" s="93"/>
      <c r="D94" s="93"/>
      <c r="E94" s="93"/>
      <c r="F94" s="93"/>
      <c r="G94" s="93"/>
      <c r="H94" s="50"/>
      <c r="I94" s="93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36.75" customHeight="1">
      <c r="A95" s="93"/>
      <c r="B95" s="93"/>
      <c r="C95" s="93"/>
      <c r="D95" s="93"/>
      <c r="E95" s="93"/>
      <c r="F95" s="93"/>
      <c r="G95" s="93"/>
      <c r="H95" s="50"/>
      <c r="I95" s="93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36.75" customHeight="1">
      <c r="A96" s="93"/>
      <c r="B96" s="93"/>
      <c r="C96" s="93"/>
      <c r="D96" s="93"/>
      <c r="E96" s="93"/>
      <c r="F96" s="93"/>
      <c r="G96" s="93"/>
      <c r="H96" s="50"/>
      <c r="I96" s="93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36.75" customHeight="1">
      <c r="A97" s="93"/>
      <c r="B97" s="93"/>
      <c r="C97" s="93"/>
      <c r="D97" s="93"/>
      <c r="E97" s="93"/>
      <c r="F97" s="93"/>
      <c r="G97" s="93"/>
      <c r="H97" s="50"/>
      <c r="I97" s="93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36.75" customHeight="1">
      <c r="A98" s="93"/>
      <c r="B98" s="93"/>
      <c r="C98" s="93"/>
      <c r="D98" s="93"/>
      <c r="E98" s="93"/>
      <c r="F98" s="93"/>
      <c r="G98" s="93"/>
      <c r="H98" s="50"/>
      <c r="I98" s="93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36.75" customHeight="1">
      <c r="A99" s="93"/>
      <c r="B99" s="93"/>
      <c r="C99" s="93"/>
      <c r="D99" s="93"/>
      <c r="E99" s="93"/>
      <c r="F99" s="93"/>
      <c r="G99" s="93"/>
      <c r="H99" s="50"/>
      <c r="I99" s="93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36.75" customHeight="1">
      <c r="A100" s="93"/>
      <c r="B100" s="93"/>
      <c r="C100" s="93"/>
      <c r="D100" s="93"/>
      <c r="E100" s="93"/>
      <c r="F100" s="93"/>
      <c r="G100" s="93"/>
      <c r="H100" s="50"/>
      <c r="I100" s="93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36.75" customHeight="1">
      <c r="A101" s="93"/>
      <c r="B101" s="93"/>
      <c r="C101" s="93"/>
      <c r="D101" s="93"/>
      <c r="E101" s="93"/>
      <c r="F101" s="93"/>
      <c r="G101" s="93"/>
      <c r="H101" s="50"/>
      <c r="I101" s="93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36.75" customHeight="1">
      <c r="A102" s="93"/>
      <c r="B102" s="93"/>
      <c r="C102" s="93"/>
      <c r="D102" s="93"/>
      <c r="E102" s="93"/>
      <c r="F102" s="93"/>
      <c r="G102" s="93"/>
      <c r="H102" s="50"/>
      <c r="I102" s="9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36.75" customHeight="1">
      <c r="A103" s="93"/>
      <c r="B103" s="93"/>
      <c r="C103" s="93"/>
      <c r="D103" s="93"/>
      <c r="E103" s="93"/>
      <c r="F103" s="93"/>
      <c r="G103" s="93"/>
      <c r="H103" s="50"/>
      <c r="I103" s="93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36.75" customHeight="1">
      <c r="A104" s="93"/>
      <c r="B104" s="93"/>
      <c r="C104" s="93"/>
      <c r="D104" s="93"/>
      <c r="E104" s="93"/>
      <c r="F104" s="93"/>
      <c r="G104" s="93"/>
      <c r="H104" s="50"/>
      <c r="I104" s="93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36.75" customHeight="1">
      <c r="A105" s="93"/>
      <c r="B105" s="93"/>
      <c r="C105" s="93"/>
      <c r="D105" s="93"/>
      <c r="E105" s="93"/>
      <c r="F105" s="93"/>
      <c r="G105" s="93"/>
      <c r="H105" s="50"/>
      <c r="I105" s="93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36.75" customHeight="1">
      <c r="A106" s="93"/>
      <c r="B106" s="93"/>
      <c r="C106" s="93"/>
      <c r="D106" s="93"/>
      <c r="E106" s="93"/>
      <c r="F106" s="93"/>
      <c r="G106" s="93"/>
      <c r="H106" s="50"/>
      <c r="I106" s="93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36.75" customHeight="1">
      <c r="A107" s="93"/>
      <c r="B107" s="93"/>
      <c r="C107" s="93"/>
      <c r="D107" s="93"/>
      <c r="E107" s="93"/>
      <c r="F107" s="93"/>
      <c r="G107" s="93"/>
      <c r="H107" s="50"/>
      <c r="I107" s="93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36.75" customHeight="1">
      <c r="A108" s="93"/>
      <c r="B108" s="93"/>
      <c r="C108" s="93"/>
      <c r="D108" s="93"/>
      <c r="E108" s="93"/>
      <c r="F108" s="93"/>
      <c r="G108" s="93"/>
      <c r="H108" s="50"/>
      <c r="I108" s="93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36.75" customHeight="1">
      <c r="A109" s="93"/>
      <c r="B109" s="93"/>
      <c r="C109" s="93"/>
      <c r="D109" s="93"/>
      <c r="E109" s="93"/>
      <c r="F109" s="93"/>
      <c r="G109" s="93"/>
      <c r="H109" s="50"/>
      <c r="I109" s="93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36.75" customHeight="1">
      <c r="A110" s="93"/>
      <c r="B110" s="93"/>
      <c r="C110" s="93"/>
      <c r="D110" s="93"/>
      <c r="E110" s="93"/>
      <c r="F110" s="93"/>
      <c r="G110" s="93"/>
      <c r="H110" s="50"/>
      <c r="I110" s="93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36.75" customHeight="1">
      <c r="A111" s="93"/>
      <c r="B111" s="93"/>
      <c r="C111" s="93"/>
      <c r="D111" s="93"/>
      <c r="E111" s="93"/>
      <c r="F111" s="93"/>
      <c r="G111" s="93"/>
      <c r="H111" s="50"/>
      <c r="I111" s="93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36.75" customHeight="1">
      <c r="A112" s="93"/>
      <c r="B112" s="93"/>
      <c r="C112" s="93"/>
      <c r="D112" s="93"/>
      <c r="E112" s="93"/>
      <c r="F112" s="93"/>
      <c r="G112" s="93"/>
      <c r="H112" s="50"/>
      <c r="I112" s="93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36.75" customHeight="1">
      <c r="A113" s="93"/>
      <c r="B113" s="93"/>
      <c r="C113" s="93"/>
      <c r="D113" s="93"/>
      <c r="E113" s="93"/>
      <c r="F113" s="93"/>
      <c r="G113" s="93"/>
      <c r="H113" s="50"/>
      <c r="I113" s="93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36.75" customHeight="1">
      <c r="A114" s="93"/>
      <c r="B114" s="93"/>
      <c r="C114" s="93"/>
      <c r="D114" s="93"/>
      <c r="E114" s="93"/>
      <c r="F114" s="93"/>
      <c r="G114" s="93"/>
      <c r="H114" s="50"/>
      <c r="I114" s="93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36.75" customHeight="1">
      <c r="A115" s="93"/>
      <c r="B115" s="93"/>
      <c r="C115" s="93"/>
      <c r="D115" s="93"/>
      <c r="E115" s="93"/>
      <c r="F115" s="93"/>
      <c r="G115" s="93"/>
      <c r="H115" s="50"/>
      <c r="I115" s="93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36.75" customHeight="1">
      <c r="A116" s="93"/>
      <c r="B116" s="93"/>
      <c r="C116" s="93"/>
      <c r="D116" s="93"/>
      <c r="E116" s="93"/>
      <c r="F116" s="93"/>
      <c r="G116" s="93"/>
      <c r="H116" s="50"/>
      <c r="I116" s="93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36.75" customHeight="1">
      <c r="A117" s="93"/>
      <c r="B117" s="93"/>
      <c r="C117" s="93"/>
      <c r="D117" s="93"/>
      <c r="E117" s="93"/>
      <c r="F117" s="93"/>
      <c r="G117" s="93"/>
      <c r="H117" s="50"/>
      <c r="I117" s="93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36.75" customHeight="1">
      <c r="A118" s="93"/>
      <c r="B118" s="93"/>
      <c r="C118" s="93"/>
      <c r="D118" s="93"/>
      <c r="E118" s="93"/>
      <c r="F118" s="93"/>
      <c r="G118" s="93"/>
      <c r="H118" s="50"/>
      <c r="I118" s="93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36.75" customHeight="1">
      <c r="A119" s="93"/>
      <c r="B119" s="93"/>
      <c r="C119" s="93"/>
      <c r="D119" s="93"/>
      <c r="E119" s="93"/>
      <c r="F119" s="93"/>
      <c r="G119" s="93"/>
      <c r="H119" s="50"/>
      <c r="I119" s="93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36.75" customHeight="1">
      <c r="A120" s="93"/>
      <c r="B120" s="93"/>
      <c r="C120" s="93"/>
      <c r="D120" s="93"/>
      <c r="E120" s="93"/>
      <c r="F120" s="93"/>
      <c r="G120" s="93"/>
      <c r="H120" s="50"/>
      <c r="I120" s="9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36.75" customHeight="1">
      <c r="A121" s="93"/>
      <c r="B121" s="93"/>
      <c r="C121" s="93"/>
      <c r="D121" s="93"/>
      <c r="E121" s="93"/>
      <c r="F121" s="93"/>
      <c r="G121" s="93"/>
      <c r="H121" s="50"/>
      <c r="I121" s="93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36.75" customHeight="1">
      <c r="A122" s="93"/>
      <c r="B122" s="93"/>
      <c r="C122" s="93"/>
      <c r="D122" s="93"/>
      <c r="E122" s="93"/>
      <c r="F122" s="93"/>
      <c r="G122" s="93"/>
      <c r="H122" s="50"/>
      <c r="I122" s="93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36.75" customHeight="1">
      <c r="A123" s="93"/>
      <c r="B123" s="93"/>
      <c r="C123" s="93"/>
      <c r="D123" s="93"/>
      <c r="E123" s="93"/>
      <c r="F123" s="93"/>
      <c r="G123" s="93"/>
      <c r="H123" s="50"/>
      <c r="I123" s="93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36.75" customHeight="1">
      <c r="A124" s="93"/>
      <c r="B124" s="93"/>
      <c r="C124" s="93"/>
      <c r="D124" s="93"/>
      <c r="E124" s="93"/>
      <c r="F124" s="93"/>
      <c r="G124" s="93"/>
      <c r="H124" s="50"/>
      <c r="I124" s="93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36.75" customHeight="1">
      <c r="A125" s="93"/>
      <c r="B125" s="93"/>
      <c r="C125" s="93"/>
      <c r="D125" s="93"/>
      <c r="E125" s="93"/>
      <c r="F125" s="93"/>
      <c r="G125" s="93"/>
      <c r="H125" s="50"/>
      <c r="I125" s="93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36.75" customHeight="1">
      <c r="A126" s="93"/>
      <c r="B126" s="93"/>
      <c r="C126" s="93"/>
      <c r="D126" s="93"/>
      <c r="E126" s="93"/>
      <c r="F126" s="93"/>
      <c r="G126" s="93"/>
      <c r="H126" s="50"/>
      <c r="I126" s="93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36.75" customHeight="1">
      <c r="A127" s="93"/>
      <c r="B127" s="93"/>
      <c r="C127" s="93"/>
      <c r="D127" s="93"/>
      <c r="E127" s="93"/>
      <c r="F127" s="93"/>
      <c r="G127" s="93"/>
      <c r="H127" s="50"/>
      <c r="I127" s="93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36.75" customHeight="1">
      <c r="A128" s="93"/>
      <c r="B128" s="93"/>
      <c r="C128" s="93"/>
      <c r="D128" s="93"/>
      <c r="E128" s="93"/>
      <c r="F128" s="93"/>
      <c r="G128" s="93"/>
      <c r="H128" s="50"/>
      <c r="I128" s="93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36.75" customHeight="1">
      <c r="A129" s="93"/>
      <c r="B129" s="93"/>
      <c r="C129" s="93"/>
      <c r="D129" s="93"/>
      <c r="E129" s="93"/>
      <c r="F129" s="93"/>
      <c r="G129" s="93"/>
      <c r="H129" s="50"/>
      <c r="I129" s="9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36.75" customHeight="1">
      <c r="A130" s="93"/>
      <c r="B130" s="93"/>
      <c r="C130" s="93"/>
      <c r="D130" s="93"/>
      <c r="E130" s="93"/>
      <c r="F130" s="93"/>
      <c r="G130" s="93"/>
      <c r="H130" s="50"/>
      <c r="I130" s="93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36.75" customHeight="1">
      <c r="A131" s="93"/>
      <c r="B131" s="93"/>
      <c r="C131" s="93"/>
      <c r="D131" s="93"/>
      <c r="E131" s="93"/>
      <c r="F131" s="93"/>
      <c r="G131" s="93"/>
      <c r="H131" s="50"/>
      <c r="I131" s="93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36.75" customHeight="1">
      <c r="A132" s="93"/>
      <c r="B132" s="93"/>
      <c r="C132" s="93"/>
      <c r="D132" s="93"/>
      <c r="E132" s="93"/>
      <c r="F132" s="93"/>
      <c r="G132" s="93"/>
      <c r="H132" s="50"/>
      <c r="I132" s="93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36.75" customHeight="1">
      <c r="A133" s="93"/>
      <c r="B133" s="93"/>
      <c r="C133" s="93"/>
      <c r="D133" s="93"/>
      <c r="E133" s="93"/>
      <c r="F133" s="93"/>
      <c r="G133" s="93"/>
      <c r="H133" s="50"/>
      <c r="I133" s="93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36.75" customHeight="1">
      <c r="A134" s="93"/>
      <c r="B134" s="93"/>
      <c r="C134" s="93"/>
      <c r="D134" s="93"/>
      <c r="E134" s="93"/>
      <c r="F134" s="93"/>
      <c r="G134" s="93"/>
      <c r="H134" s="50"/>
      <c r="I134" s="93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36.75" customHeight="1">
      <c r="A135" s="93"/>
      <c r="B135" s="93"/>
      <c r="C135" s="93"/>
      <c r="D135" s="93"/>
      <c r="E135" s="93"/>
      <c r="F135" s="93"/>
      <c r="G135" s="93"/>
      <c r="H135" s="50"/>
      <c r="I135" s="9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36.75" customHeight="1">
      <c r="A136" s="93"/>
      <c r="B136" s="93"/>
      <c r="C136" s="93"/>
      <c r="D136" s="93"/>
      <c r="E136" s="93"/>
      <c r="F136" s="93"/>
      <c r="G136" s="93"/>
      <c r="H136" s="50"/>
      <c r="I136" s="93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36.75" customHeight="1">
      <c r="A137" s="93"/>
      <c r="B137" s="93"/>
      <c r="C137" s="93"/>
      <c r="D137" s="93"/>
      <c r="E137" s="93"/>
      <c r="F137" s="93"/>
      <c r="G137" s="93"/>
      <c r="H137" s="50"/>
      <c r="I137" s="9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36.75" customHeight="1">
      <c r="A138" s="93"/>
      <c r="B138" s="93"/>
      <c r="C138" s="93"/>
      <c r="D138" s="93"/>
      <c r="E138" s="93"/>
      <c r="F138" s="93"/>
      <c r="G138" s="93"/>
      <c r="H138" s="50"/>
      <c r="I138" s="93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36.75" customHeight="1">
      <c r="A139" s="93"/>
      <c r="B139" s="93"/>
      <c r="C139" s="93"/>
      <c r="D139" s="93"/>
      <c r="E139" s="93"/>
      <c r="F139" s="93"/>
      <c r="G139" s="93"/>
      <c r="H139" s="50"/>
      <c r="I139" s="93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36.75" customHeight="1">
      <c r="A140" s="93"/>
      <c r="B140" s="93"/>
      <c r="C140" s="93"/>
      <c r="D140" s="93"/>
      <c r="E140" s="93"/>
      <c r="F140" s="93"/>
      <c r="G140" s="93"/>
      <c r="H140" s="50"/>
      <c r="I140" s="93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36.75" customHeight="1">
      <c r="A141" s="93"/>
      <c r="B141" s="93"/>
      <c r="C141" s="93"/>
      <c r="D141" s="93"/>
      <c r="E141" s="93"/>
      <c r="F141" s="93"/>
      <c r="G141" s="93"/>
      <c r="H141" s="50"/>
      <c r="I141" s="93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36.75" customHeight="1">
      <c r="A142" s="93"/>
      <c r="B142" s="93"/>
      <c r="C142" s="93"/>
      <c r="D142" s="93"/>
      <c r="E142" s="93"/>
      <c r="F142" s="93"/>
      <c r="G142" s="93"/>
      <c r="H142" s="50"/>
      <c r="I142" s="93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36.75" customHeight="1">
      <c r="A143" s="93"/>
      <c r="B143" s="93"/>
      <c r="C143" s="93"/>
      <c r="D143" s="93"/>
      <c r="E143" s="93"/>
      <c r="F143" s="93"/>
      <c r="G143" s="93"/>
      <c r="H143" s="50"/>
      <c r="I143" s="93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36.75" customHeight="1">
      <c r="A144" s="93"/>
      <c r="B144" s="93"/>
      <c r="C144" s="93"/>
      <c r="D144" s="93"/>
      <c r="E144" s="93"/>
      <c r="F144" s="93"/>
      <c r="G144" s="93"/>
      <c r="H144" s="50"/>
      <c r="I144" s="93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36.75" customHeight="1">
      <c r="A145" s="93"/>
      <c r="B145" s="93"/>
      <c r="C145" s="93"/>
      <c r="D145" s="93"/>
      <c r="E145" s="93"/>
      <c r="F145" s="93"/>
      <c r="G145" s="93"/>
      <c r="H145" s="50"/>
      <c r="I145" s="93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36.75" customHeight="1">
      <c r="A146" s="93"/>
      <c r="B146" s="93"/>
      <c r="C146" s="93"/>
      <c r="D146" s="93"/>
      <c r="E146" s="93"/>
      <c r="F146" s="93"/>
      <c r="G146" s="93"/>
      <c r="H146" s="50"/>
      <c r="I146" s="93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36.75" customHeight="1">
      <c r="A147" s="93"/>
      <c r="B147" s="93"/>
      <c r="C147" s="93"/>
      <c r="D147" s="93"/>
      <c r="E147" s="93"/>
      <c r="F147" s="93"/>
      <c r="G147" s="93"/>
      <c r="H147" s="50"/>
      <c r="I147" s="93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36.75" customHeight="1">
      <c r="A148" s="93"/>
      <c r="B148" s="93"/>
      <c r="C148" s="93"/>
      <c r="D148" s="93"/>
      <c r="E148" s="93"/>
      <c r="F148" s="93"/>
      <c r="G148" s="93"/>
      <c r="H148" s="50"/>
      <c r="I148" s="93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36.75" customHeight="1">
      <c r="A149" s="93"/>
      <c r="B149" s="93"/>
      <c r="C149" s="93"/>
      <c r="D149" s="93"/>
      <c r="E149" s="93"/>
      <c r="F149" s="93"/>
      <c r="G149" s="93"/>
      <c r="H149" s="50"/>
      <c r="I149" s="93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36.75" customHeight="1">
      <c r="A150" s="93"/>
      <c r="B150" s="93"/>
      <c r="C150" s="93"/>
      <c r="D150" s="93"/>
      <c r="E150" s="93"/>
      <c r="F150" s="93"/>
      <c r="G150" s="93"/>
      <c r="H150" s="50"/>
      <c r="I150" s="93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36.75" customHeight="1">
      <c r="A151" s="93"/>
      <c r="B151" s="93"/>
      <c r="C151" s="93"/>
      <c r="D151" s="93"/>
      <c r="E151" s="93"/>
      <c r="F151" s="93"/>
      <c r="G151" s="93"/>
      <c r="H151" s="50"/>
      <c r="I151" s="93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36.75" customHeight="1">
      <c r="A152" s="93"/>
      <c r="B152" s="93"/>
      <c r="C152" s="93"/>
      <c r="D152" s="93"/>
      <c r="E152" s="93"/>
      <c r="F152" s="93"/>
      <c r="G152" s="93"/>
      <c r="H152" s="50"/>
      <c r="I152" s="93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36.75" customHeight="1">
      <c r="A153" s="93"/>
      <c r="B153" s="93"/>
      <c r="C153" s="93"/>
      <c r="D153" s="93"/>
      <c r="E153" s="93"/>
      <c r="F153" s="93"/>
      <c r="G153" s="93"/>
      <c r="H153" s="50"/>
      <c r="I153" s="93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36.75" customHeight="1">
      <c r="A154" s="93"/>
      <c r="B154" s="93"/>
      <c r="C154" s="93"/>
      <c r="D154" s="93"/>
      <c r="E154" s="93"/>
      <c r="F154" s="93"/>
      <c r="G154" s="93"/>
      <c r="H154" s="50"/>
      <c r="I154" s="93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36.75" customHeight="1">
      <c r="A155" s="93"/>
      <c r="B155" s="93"/>
      <c r="C155" s="93"/>
      <c r="D155" s="93"/>
      <c r="E155" s="93"/>
      <c r="F155" s="93"/>
      <c r="G155" s="93"/>
      <c r="H155" s="50"/>
      <c r="I155" s="93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36.75" customHeight="1">
      <c r="A156" s="93"/>
      <c r="B156" s="93"/>
      <c r="C156" s="93"/>
      <c r="D156" s="93"/>
      <c r="E156" s="93"/>
      <c r="F156" s="93"/>
      <c r="G156" s="93"/>
      <c r="H156" s="50"/>
      <c r="I156" s="93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36.75" customHeight="1">
      <c r="A157" s="93"/>
      <c r="B157" s="93"/>
      <c r="C157" s="93"/>
      <c r="D157" s="93"/>
      <c r="E157" s="93"/>
      <c r="F157" s="93"/>
      <c r="G157" s="93"/>
      <c r="H157" s="50"/>
      <c r="I157" s="93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36.75" customHeight="1">
      <c r="A158" s="93"/>
      <c r="B158" s="93"/>
      <c r="C158" s="93"/>
      <c r="D158" s="93"/>
      <c r="E158" s="93"/>
      <c r="F158" s="93"/>
      <c r="G158" s="93"/>
      <c r="H158" s="50"/>
      <c r="I158" s="93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36.75" customHeight="1">
      <c r="A159" s="93"/>
      <c r="B159" s="93"/>
      <c r="C159" s="93"/>
      <c r="D159" s="93"/>
      <c r="E159" s="93"/>
      <c r="F159" s="93"/>
      <c r="G159" s="93"/>
      <c r="H159" s="50"/>
      <c r="I159" s="93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36.75" customHeight="1">
      <c r="A160" s="93"/>
      <c r="B160" s="93"/>
      <c r="C160" s="93"/>
      <c r="D160" s="93"/>
      <c r="E160" s="93"/>
      <c r="F160" s="93"/>
      <c r="G160" s="93"/>
      <c r="H160" s="50"/>
      <c r="I160" s="93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36.75" customHeight="1">
      <c r="A161" s="93"/>
      <c r="B161" s="93"/>
      <c r="C161" s="93"/>
      <c r="D161" s="93"/>
      <c r="E161" s="93"/>
      <c r="F161" s="93"/>
      <c r="G161" s="93"/>
      <c r="H161" s="50"/>
      <c r="I161" s="93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36.75" customHeight="1">
      <c r="A162" s="93"/>
      <c r="B162" s="93"/>
      <c r="C162" s="93"/>
      <c r="D162" s="93"/>
      <c r="E162" s="93"/>
      <c r="F162" s="93"/>
      <c r="G162" s="93"/>
      <c r="H162" s="50"/>
      <c r="I162" s="93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36.75" customHeight="1">
      <c r="A163" s="93"/>
      <c r="B163" s="93"/>
      <c r="C163" s="93"/>
      <c r="D163" s="93"/>
      <c r="E163" s="93"/>
      <c r="F163" s="93"/>
      <c r="G163" s="93"/>
      <c r="H163" s="50"/>
      <c r="I163" s="93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36.75" customHeight="1">
      <c r="A164" s="93"/>
      <c r="B164" s="93"/>
      <c r="C164" s="93"/>
      <c r="D164" s="93"/>
      <c r="E164" s="93"/>
      <c r="F164" s="93"/>
      <c r="G164" s="93"/>
      <c r="H164" s="50"/>
      <c r="I164" s="93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36.75" customHeight="1">
      <c r="A165" s="93"/>
      <c r="B165" s="93"/>
      <c r="C165" s="93"/>
      <c r="D165" s="93"/>
      <c r="E165" s="93"/>
      <c r="F165" s="93"/>
      <c r="G165" s="93"/>
      <c r="H165" s="50"/>
      <c r="I165" s="93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36.75" customHeight="1">
      <c r="A166" s="93"/>
      <c r="B166" s="93"/>
      <c r="C166" s="93"/>
      <c r="D166" s="93"/>
      <c r="E166" s="93"/>
      <c r="F166" s="93"/>
      <c r="G166" s="93"/>
      <c r="H166" s="50"/>
      <c r="I166" s="93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36.75" customHeight="1">
      <c r="A167" s="93"/>
      <c r="B167" s="93"/>
      <c r="C167" s="93"/>
      <c r="D167" s="93"/>
      <c r="E167" s="93"/>
      <c r="F167" s="93"/>
      <c r="G167" s="93"/>
      <c r="H167" s="50"/>
      <c r="I167" s="93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36.75" customHeight="1">
      <c r="A168" s="93"/>
      <c r="B168" s="93"/>
      <c r="C168" s="93"/>
      <c r="D168" s="93"/>
      <c r="E168" s="93"/>
      <c r="F168" s="93"/>
      <c r="G168" s="93"/>
      <c r="H168" s="50"/>
      <c r="I168" s="93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36.75" customHeight="1">
      <c r="A169" s="93"/>
      <c r="B169" s="93"/>
      <c r="C169" s="93"/>
      <c r="D169" s="93"/>
      <c r="E169" s="93"/>
      <c r="F169" s="93"/>
      <c r="G169" s="93"/>
      <c r="H169" s="50"/>
      <c r="I169" s="93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36.75" customHeight="1">
      <c r="A170" s="93"/>
      <c r="B170" s="93"/>
      <c r="C170" s="93"/>
      <c r="D170" s="93"/>
      <c r="E170" s="93"/>
      <c r="F170" s="93"/>
      <c r="G170" s="93"/>
      <c r="H170" s="50"/>
      <c r="I170" s="93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36.75" customHeight="1">
      <c r="A171" s="93"/>
      <c r="B171" s="93"/>
      <c r="C171" s="93"/>
      <c r="D171" s="93"/>
      <c r="E171" s="93"/>
      <c r="F171" s="93"/>
      <c r="G171" s="93"/>
      <c r="H171" s="50"/>
      <c r="I171" s="93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36.75" customHeight="1">
      <c r="A172" s="93"/>
      <c r="B172" s="93"/>
      <c r="C172" s="93"/>
      <c r="D172" s="93"/>
      <c r="E172" s="93"/>
      <c r="F172" s="93"/>
      <c r="G172" s="93"/>
      <c r="H172" s="50"/>
      <c r="I172" s="93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36.75" customHeight="1">
      <c r="A173" s="93"/>
      <c r="B173" s="93"/>
      <c r="C173" s="93"/>
      <c r="D173" s="93"/>
      <c r="E173" s="93"/>
      <c r="F173" s="93"/>
      <c r="G173" s="93"/>
      <c r="H173" s="50"/>
      <c r="I173" s="93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36.75" customHeight="1">
      <c r="A174" s="93"/>
      <c r="B174" s="93"/>
      <c r="C174" s="93"/>
      <c r="D174" s="93"/>
      <c r="E174" s="93"/>
      <c r="F174" s="93"/>
      <c r="G174" s="93"/>
      <c r="H174" s="50"/>
      <c r="I174" s="93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36.75" customHeight="1">
      <c r="A175" s="93"/>
      <c r="B175" s="93"/>
      <c r="C175" s="93"/>
      <c r="D175" s="93"/>
      <c r="E175" s="93"/>
      <c r="F175" s="93"/>
      <c r="G175" s="93"/>
      <c r="H175" s="50"/>
      <c r="I175" s="93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36.75" customHeight="1">
      <c r="A176" s="93"/>
      <c r="B176" s="93"/>
      <c r="C176" s="93"/>
      <c r="D176" s="93"/>
      <c r="E176" s="93"/>
      <c r="F176" s="93"/>
      <c r="G176" s="93"/>
      <c r="H176" s="50"/>
      <c r="I176" s="93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36.75" customHeight="1">
      <c r="A177" s="93"/>
      <c r="B177" s="93"/>
      <c r="C177" s="93"/>
      <c r="D177" s="93"/>
      <c r="E177" s="93"/>
      <c r="F177" s="93"/>
      <c r="G177" s="93"/>
      <c r="H177" s="50"/>
      <c r="I177" s="93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36.75" customHeight="1">
      <c r="A178" s="93"/>
      <c r="B178" s="93"/>
      <c r="C178" s="93"/>
      <c r="D178" s="93"/>
      <c r="E178" s="93"/>
      <c r="F178" s="93"/>
      <c r="G178" s="93"/>
      <c r="H178" s="50"/>
      <c r="I178" s="93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36.75" customHeight="1">
      <c r="A179" s="93"/>
      <c r="B179" s="93"/>
      <c r="C179" s="93"/>
      <c r="D179" s="93"/>
      <c r="E179" s="93"/>
      <c r="F179" s="93"/>
      <c r="G179" s="93"/>
      <c r="H179" s="50"/>
      <c r="I179" s="93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36.75" customHeight="1">
      <c r="A180" s="93"/>
      <c r="B180" s="93"/>
      <c r="C180" s="93"/>
      <c r="D180" s="93"/>
      <c r="E180" s="93"/>
      <c r="F180" s="93"/>
      <c r="G180" s="93"/>
      <c r="H180" s="50"/>
      <c r="I180" s="93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36.75" customHeight="1">
      <c r="A181" s="93"/>
      <c r="B181" s="93"/>
      <c r="C181" s="93"/>
      <c r="D181" s="93"/>
      <c r="E181" s="93"/>
      <c r="F181" s="93"/>
      <c r="G181" s="93"/>
      <c r="H181" s="50"/>
      <c r="I181" s="93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36.75" customHeight="1">
      <c r="A182" s="93"/>
      <c r="B182" s="93"/>
      <c r="C182" s="93"/>
      <c r="D182" s="93"/>
      <c r="E182" s="93"/>
      <c r="F182" s="93"/>
      <c r="G182" s="93"/>
      <c r="H182" s="50"/>
      <c r="I182" s="93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36.75" customHeight="1">
      <c r="A183" s="93"/>
      <c r="B183" s="93"/>
      <c r="C183" s="93"/>
      <c r="D183" s="93"/>
      <c r="E183" s="93"/>
      <c r="F183" s="93"/>
      <c r="G183" s="93"/>
      <c r="H183" s="50"/>
      <c r="I183" s="93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36.75" customHeight="1">
      <c r="A184" s="93"/>
      <c r="B184" s="93"/>
      <c r="C184" s="93"/>
      <c r="D184" s="93"/>
      <c r="E184" s="93"/>
      <c r="F184" s="93"/>
      <c r="G184" s="93"/>
      <c r="H184" s="50"/>
      <c r="I184" s="93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36.75" customHeight="1">
      <c r="A185" s="93"/>
      <c r="B185" s="93"/>
      <c r="C185" s="93"/>
      <c r="D185" s="93"/>
      <c r="E185" s="93"/>
      <c r="F185" s="93"/>
      <c r="G185" s="93"/>
      <c r="H185" s="50"/>
      <c r="I185" s="93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36.75" customHeight="1">
      <c r="A186" s="93"/>
      <c r="B186" s="93"/>
      <c r="C186" s="93"/>
      <c r="D186" s="93"/>
      <c r="E186" s="93"/>
      <c r="F186" s="93"/>
      <c r="G186" s="93"/>
      <c r="H186" s="50"/>
      <c r="I186" s="93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36.75" customHeight="1">
      <c r="A187" s="93"/>
      <c r="B187" s="93"/>
      <c r="C187" s="93"/>
      <c r="D187" s="93"/>
      <c r="E187" s="93"/>
      <c r="F187" s="93"/>
      <c r="G187" s="93"/>
      <c r="H187" s="50"/>
      <c r="I187" s="93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36.75" customHeight="1">
      <c r="A188" s="93"/>
      <c r="B188" s="93"/>
      <c r="C188" s="93"/>
      <c r="D188" s="93"/>
      <c r="E188" s="93"/>
      <c r="F188" s="93"/>
      <c r="G188" s="93"/>
      <c r="H188" s="50"/>
      <c r="I188" s="93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36.75" customHeight="1">
      <c r="A189" s="93"/>
      <c r="B189" s="93"/>
      <c r="C189" s="93"/>
      <c r="D189" s="93"/>
      <c r="E189" s="93"/>
      <c r="F189" s="93"/>
      <c r="G189" s="93"/>
      <c r="H189" s="50"/>
      <c r="I189" s="93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36.75" customHeight="1">
      <c r="A190" s="93"/>
      <c r="B190" s="93"/>
      <c r="C190" s="93"/>
      <c r="D190" s="93"/>
      <c r="E190" s="93"/>
      <c r="F190" s="93"/>
      <c r="G190" s="93"/>
      <c r="H190" s="50"/>
      <c r="I190" s="93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36.75" customHeight="1">
      <c r="A191" s="93"/>
      <c r="B191" s="93"/>
      <c r="C191" s="93"/>
      <c r="D191" s="93"/>
      <c r="E191" s="93"/>
      <c r="F191" s="93"/>
      <c r="G191" s="93"/>
      <c r="H191" s="50"/>
      <c r="I191" s="93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36.75" customHeight="1">
      <c r="A192" s="93"/>
      <c r="B192" s="93"/>
      <c r="C192" s="93"/>
      <c r="D192" s="93"/>
      <c r="E192" s="93"/>
      <c r="F192" s="93"/>
      <c r="G192" s="93"/>
      <c r="H192" s="50"/>
      <c r="I192" s="93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36.75" customHeight="1">
      <c r="A193" s="93"/>
      <c r="B193" s="93"/>
      <c r="C193" s="93"/>
      <c r="D193" s="93"/>
      <c r="E193" s="93"/>
      <c r="F193" s="93"/>
      <c r="G193" s="93"/>
      <c r="H193" s="50"/>
      <c r="I193" s="93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36.75" customHeight="1">
      <c r="A194" s="93"/>
      <c r="B194" s="93"/>
      <c r="C194" s="93"/>
      <c r="D194" s="93"/>
      <c r="E194" s="93"/>
      <c r="F194" s="93"/>
      <c r="G194" s="93"/>
      <c r="H194" s="50"/>
      <c r="I194" s="93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36.75" customHeight="1">
      <c r="A195" s="93"/>
      <c r="B195" s="93"/>
      <c r="C195" s="93"/>
      <c r="D195" s="93"/>
      <c r="E195" s="93"/>
      <c r="F195" s="93"/>
      <c r="G195" s="93"/>
      <c r="H195" s="50"/>
      <c r="I195" s="93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36.75" customHeight="1">
      <c r="A196" s="93"/>
      <c r="B196" s="93"/>
      <c r="C196" s="93"/>
      <c r="D196" s="93"/>
      <c r="E196" s="93"/>
      <c r="F196" s="93"/>
      <c r="G196" s="93"/>
      <c r="H196" s="50"/>
      <c r="I196" s="93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36.75" customHeight="1">
      <c r="A197" s="93"/>
      <c r="B197" s="93"/>
      <c r="C197" s="93"/>
      <c r="D197" s="93"/>
      <c r="E197" s="93"/>
      <c r="F197" s="93"/>
      <c r="G197" s="93"/>
      <c r="H197" s="50"/>
      <c r="I197" s="93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36.75" customHeight="1">
      <c r="A198" s="93"/>
      <c r="B198" s="93"/>
      <c r="C198" s="93"/>
      <c r="D198" s="93"/>
      <c r="E198" s="93"/>
      <c r="F198" s="93"/>
      <c r="G198" s="93"/>
      <c r="H198" s="50"/>
      <c r="I198" s="93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36.75" customHeight="1">
      <c r="A199" s="93"/>
      <c r="B199" s="93"/>
      <c r="C199" s="93"/>
      <c r="D199" s="93"/>
      <c r="E199" s="93"/>
      <c r="F199" s="93"/>
      <c r="G199" s="93"/>
      <c r="H199" s="50"/>
      <c r="I199" s="93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36.75" customHeight="1">
      <c r="A200" s="93"/>
      <c r="B200" s="93"/>
      <c r="C200" s="93"/>
      <c r="D200" s="93"/>
      <c r="E200" s="93"/>
      <c r="F200" s="93"/>
      <c r="G200" s="93"/>
      <c r="H200" s="50"/>
      <c r="I200" s="93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36.75" customHeight="1">
      <c r="A201" s="93"/>
      <c r="B201" s="93"/>
      <c r="C201" s="93"/>
      <c r="D201" s="93"/>
      <c r="E201" s="93"/>
      <c r="F201" s="93"/>
      <c r="G201" s="93"/>
      <c r="H201" s="50"/>
      <c r="I201" s="93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36.75" customHeight="1">
      <c r="A202" s="93"/>
      <c r="B202" s="93"/>
      <c r="C202" s="93"/>
      <c r="D202" s="93"/>
      <c r="E202" s="93"/>
      <c r="F202" s="93"/>
      <c r="G202" s="93"/>
      <c r="H202" s="50"/>
      <c r="I202" s="93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36.75" customHeight="1">
      <c r="A203" s="93"/>
      <c r="B203" s="93"/>
      <c r="C203" s="93"/>
      <c r="D203" s="93"/>
      <c r="E203" s="93"/>
      <c r="F203" s="93"/>
      <c r="G203" s="93"/>
      <c r="H203" s="50"/>
      <c r="I203" s="93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36.75" customHeight="1">
      <c r="A204" s="93"/>
      <c r="B204" s="93"/>
      <c r="C204" s="93"/>
      <c r="D204" s="93"/>
      <c r="E204" s="93"/>
      <c r="F204" s="93"/>
      <c r="G204" s="93"/>
      <c r="H204" s="50"/>
      <c r="I204" s="93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36.75" customHeight="1">
      <c r="A205" s="93"/>
      <c r="B205" s="93"/>
      <c r="C205" s="93"/>
      <c r="D205" s="93"/>
      <c r="E205" s="93"/>
      <c r="F205" s="93"/>
      <c r="G205" s="93"/>
      <c r="H205" s="50"/>
      <c r="I205" s="93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36.75" customHeight="1">
      <c r="A206" s="93"/>
      <c r="B206" s="93"/>
      <c r="C206" s="93"/>
      <c r="D206" s="93"/>
      <c r="E206" s="93"/>
      <c r="F206" s="93"/>
      <c r="G206" s="93"/>
      <c r="H206" s="50"/>
      <c r="I206" s="93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36.75" customHeight="1">
      <c r="A207" s="93"/>
      <c r="B207" s="93"/>
      <c r="C207" s="93"/>
      <c r="D207" s="93"/>
      <c r="E207" s="93"/>
      <c r="F207" s="93"/>
      <c r="G207" s="93"/>
      <c r="H207" s="50"/>
      <c r="I207" s="93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36.75" customHeight="1">
      <c r="A208" s="93"/>
      <c r="B208" s="93"/>
      <c r="C208" s="93"/>
      <c r="D208" s="93"/>
      <c r="E208" s="93"/>
      <c r="F208" s="93"/>
      <c r="G208" s="93"/>
      <c r="H208" s="50"/>
      <c r="I208" s="93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36.75" customHeight="1">
      <c r="A209" s="93"/>
      <c r="B209" s="93"/>
      <c r="C209" s="93"/>
      <c r="D209" s="93"/>
      <c r="E209" s="93"/>
      <c r="F209" s="93"/>
      <c r="G209" s="93"/>
      <c r="H209" s="50"/>
      <c r="I209" s="93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36.75" customHeight="1">
      <c r="A210" s="93"/>
      <c r="B210" s="93"/>
      <c r="C210" s="93"/>
      <c r="D210" s="93"/>
      <c r="E210" s="93"/>
      <c r="F210" s="93"/>
      <c r="G210" s="93"/>
      <c r="H210" s="50"/>
      <c r="I210" s="93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36.75" customHeight="1">
      <c r="A211" s="93"/>
      <c r="B211" s="93"/>
      <c r="C211" s="93"/>
      <c r="D211" s="93"/>
      <c r="E211" s="93"/>
      <c r="F211" s="93"/>
      <c r="G211" s="93"/>
      <c r="H211" s="50"/>
      <c r="I211" s="93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36.75" customHeight="1">
      <c r="A212" s="93"/>
      <c r="B212" s="93"/>
      <c r="C212" s="93"/>
      <c r="D212" s="93"/>
      <c r="E212" s="93"/>
      <c r="F212" s="93"/>
      <c r="G212" s="93"/>
      <c r="H212" s="50"/>
      <c r="I212" s="93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36.75" customHeight="1">
      <c r="A213" s="93"/>
      <c r="B213" s="93"/>
      <c r="C213" s="93"/>
      <c r="D213" s="93"/>
      <c r="E213" s="93"/>
      <c r="F213" s="93"/>
      <c r="G213" s="93"/>
      <c r="H213" s="50"/>
      <c r="I213" s="93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36.75" customHeight="1">
      <c r="A214" s="93"/>
      <c r="B214" s="93"/>
      <c r="C214" s="93"/>
      <c r="D214" s="93"/>
      <c r="E214" s="93"/>
      <c r="F214" s="93"/>
      <c r="G214" s="93"/>
      <c r="H214" s="50"/>
      <c r="I214" s="93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36.75" customHeight="1">
      <c r="A215" s="93"/>
      <c r="B215" s="93"/>
      <c r="C215" s="93"/>
      <c r="D215" s="93"/>
      <c r="E215" s="93"/>
      <c r="F215" s="93"/>
      <c r="G215" s="93"/>
      <c r="H215" s="50"/>
      <c r="I215" s="93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36.75" customHeight="1">
      <c r="A216" s="93"/>
      <c r="B216" s="93"/>
      <c r="C216" s="93"/>
      <c r="D216" s="93"/>
      <c r="E216" s="93"/>
      <c r="F216" s="93"/>
      <c r="G216" s="93"/>
      <c r="H216" s="50"/>
      <c r="I216" s="93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36.75" customHeight="1">
      <c r="A217" s="93"/>
      <c r="B217" s="93"/>
      <c r="C217" s="93"/>
      <c r="D217" s="93"/>
      <c r="E217" s="93"/>
      <c r="F217" s="93"/>
      <c r="G217" s="93"/>
      <c r="H217" s="50"/>
      <c r="I217" s="93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36.75" customHeight="1">
      <c r="A218" s="93"/>
      <c r="B218" s="93"/>
      <c r="C218" s="93"/>
      <c r="D218" s="93"/>
      <c r="E218" s="93"/>
      <c r="F218" s="93"/>
      <c r="G218" s="93"/>
      <c r="H218" s="50"/>
      <c r="I218" s="93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36.75" customHeight="1">
      <c r="A219" s="93"/>
      <c r="B219" s="93"/>
      <c r="C219" s="93"/>
      <c r="D219" s="93"/>
      <c r="E219" s="93"/>
      <c r="F219" s="93"/>
      <c r="G219" s="93"/>
      <c r="H219" s="50"/>
      <c r="I219" s="93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36.75" customHeight="1">
      <c r="A220" s="93"/>
      <c r="B220" s="93"/>
      <c r="C220" s="93"/>
      <c r="D220" s="93"/>
      <c r="E220" s="93"/>
      <c r="F220" s="93"/>
      <c r="G220" s="93"/>
      <c r="H220" s="50"/>
      <c r="I220" s="93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36.75" customHeight="1">
      <c r="A221" s="93"/>
      <c r="B221" s="93"/>
      <c r="C221" s="93"/>
      <c r="D221" s="93"/>
      <c r="E221" s="93"/>
      <c r="F221" s="93"/>
      <c r="G221" s="93"/>
      <c r="H221" s="50"/>
      <c r="I221" s="93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36.75" customHeight="1">
      <c r="A222" s="93"/>
      <c r="B222" s="93"/>
      <c r="C222" s="93"/>
      <c r="D222" s="93"/>
      <c r="E222" s="93"/>
      <c r="F222" s="93"/>
      <c r="G222" s="93"/>
      <c r="H222" s="50"/>
      <c r="I222" s="93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36.75" customHeight="1">
      <c r="A223" s="93"/>
      <c r="B223" s="93"/>
      <c r="C223" s="93"/>
      <c r="D223" s="93"/>
      <c r="E223" s="93"/>
      <c r="F223" s="93"/>
      <c r="G223" s="93"/>
      <c r="H223" s="50"/>
      <c r="I223" s="93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36.75" customHeight="1">
      <c r="A224" s="93"/>
      <c r="B224" s="93"/>
      <c r="C224" s="93"/>
      <c r="D224" s="93"/>
      <c r="E224" s="93"/>
      <c r="F224" s="93"/>
      <c r="G224" s="93"/>
      <c r="H224" s="50"/>
      <c r="I224" s="93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36.75" customHeight="1">
      <c r="A225" s="93"/>
      <c r="B225" s="93"/>
      <c r="C225" s="93"/>
      <c r="D225" s="93"/>
      <c r="E225" s="93"/>
      <c r="F225" s="93"/>
      <c r="G225" s="93"/>
      <c r="H225" s="50"/>
      <c r="I225" s="93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36.75" customHeight="1">
      <c r="A226" s="93"/>
      <c r="B226" s="93"/>
      <c r="C226" s="93"/>
      <c r="D226" s="93"/>
      <c r="E226" s="93"/>
      <c r="F226" s="93"/>
      <c r="G226" s="93"/>
      <c r="H226" s="50"/>
      <c r="I226" s="93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36.75" customHeight="1">
      <c r="A227" s="93"/>
      <c r="B227" s="93"/>
      <c r="C227" s="93"/>
      <c r="D227" s="93"/>
      <c r="E227" s="93"/>
      <c r="F227" s="93"/>
      <c r="G227" s="93"/>
      <c r="H227" s="50"/>
      <c r="I227" s="93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36.75" customHeight="1">
      <c r="A228" s="93"/>
      <c r="B228" s="93"/>
      <c r="C228" s="93"/>
      <c r="D228" s="93"/>
      <c r="E228" s="93"/>
      <c r="F228" s="93"/>
      <c r="G228" s="93"/>
      <c r="H228" s="50"/>
      <c r="I228" s="93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36.75" customHeight="1">
      <c r="A229" s="93"/>
      <c r="B229" s="93"/>
      <c r="C229" s="93"/>
      <c r="D229" s="93"/>
      <c r="E229" s="93"/>
      <c r="F229" s="93"/>
      <c r="G229" s="93"/>
      <c r="H229" s="50"/>
      <c r="I229" s="93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36.75" customHeight="1">
      <c r="A230" s="93"/>
      <c r="B230" s="93"/>
      <c r="C230" s="93"/>
      <c r="D230" s="93"/>
      <c r="E230" s="93"/>
      <c r="F230" s="93"/>
      <c r="G230" s="93"/>
      <c r="H230" s="50"/>
      <c r="I230" s="93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36.75" customHeight="1">
      <c r="A231" s="93"/>
      <c r="B231" s="93"/>
      <c r="C231" s="93"/>
      <c r="D231" s="93"/>
      <c r="E231" s="93"/>
      <c r="F231" s="93"/>
      <c r="G231" s="93"/>
      <c r="H231" s="50"/>
      <c r="I231" s="93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36.75" customHeight="1">
      <c r="A232" s="93"/>
      <c r="B232" s="93"/>
      <c r="C232" s="93"/>
      <c r="D232" s="93"/>
      <c r="E232" s="93"/>
      <c r="F232" s="93"/>
      <c r="G232" s="93"/>
      <c r="H232" s="50"/>
      <c r="I232" s="93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36.75" customHeight="1">
      <c r="A233" s="93"/>
      <c r="B233" s="93"/>
      <c r="C233" s="93"/>
      <c r="D233" s="93"/>
      <c r="E233" s="93"/>
      <c r="F233" s="93"/>
      <c r="G233" s="93"/>
      <c r="H233" s="50"/>
      <c r="I233" s="93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36.75" customHeight="1">
      <c r="A234" s="93"/>
      <c r="B234" s="93"/>
      <c r="C234" s="93"/>
      <c r="D234" s="93"/>
      <c r="E234" s="93"/>
      <c r="F234" s="93"/>
      <c r="G234" s="93"/>
      <c r="H234" s="50"/>
      <c r="I234" s="93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36.75" customHeight="1">
      <c r="A235" s="93"/>
      <c r="B235" s="93"/>
      <c r="C235" s="93"/>
      <c r="D235" s="93"/>
      <c r="E235" s="93"/>
      <c r="F235" s="93"/>
      <c r="G235" s="93"/>
      <c r="H235" s="50"/>
      <c r="I235" s="93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36.75" customHeight="1">
      <c r="A236" s="93"/>
      <c r="B236" s="93"/>
      <c r="C236" s="93"/>
      <c r="D236" s="93"/>
      <c r="E236" s="93"/>
      <c r="F236" s="93"/>
      <c r="G236" s="93"/>
      <c r="H236" s="50"/>
      <c r="I236" s="93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36.75" customHeight="1">
      <c r="A237" s="93"/>
      <c r="B237" s="93"/>
      <c r="C237" s="93"/>
      <c r="D237" s="93"/>
      <c r="E237" s="93"/>
      <c r="F237" s="93"/>
      <c r="G237" s="93"/>
      <c r="H237" s="50"/>
      <c r="I237" s="93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36.75" customHeight="1">
      <c r="A238" s="93"/>
      <c r="B238" s="93"/>
      <c r="C238" s="93"/>
      <c r="D238" s="93"/>
      <c r="E238" s="93"/>
      <c r="F238" s="93"/>
      <c r="G238" s="93"/>
      <c r="H238" s="50"/>
      <c r="I238" s="93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36.75" customHeight="1">
      <c r="A239" s="93"/>
      <c r="B239" s="93"/>
      <c r="C239" s="93"/>
      <c r="D239" s="93"/>
      <c r="E239" s="93"/>
      <c r="F239" s="93"/>
      <c r="G239" s="93"/>
      <c r="H239" s="50"/>
      <c r="I239" s="93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36.75" customHeight="1">
      <c r="A240" s="93"/>
      <c r="B240" s="93"/>
      <c r="C240" s="93"/>
      <c r="D240" s="93"/>
      <c r="E240" s="93"/>
      <c r="F240" s="93"/>
      <c r="G240" s="93"/>
      <c r="H240" s="50"/>
      <c r="I240" s="93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36.75" customHeight="1">
      <c r="A241" s="93"/>
      <c r="B241" s="93"/>
      <c r="C241" s="93"/>
      <c r="D241" s="93"/>
      <c r="E241" s="93"/>
      <c r="F241" s="93"/>
      <c r="G241" s="93"/>
      <c r="H241" s="50"/>
      <c r="I241" s="93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36.75" customHeight="1">
      <c r="A242" s="93"/>
      <c r="B242" s="93"/>
      <c r="C242" s="93"/>
      <c r="D242" s="93"/>
      <c r="E242" s="93"/>
      <c r="F242" s="93"/>
      <c r="G242" s="93"/>
      <c r="H242" s="50"/>
      <c r="I242" s="93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36.75" customHeight="1">
      <c r="A243" s="93"/>
      <c r="B243" s="93"/>
      <c r="C243" s="93"/>
      <c r="D243" s="93"/>
      <c r="E243" s="93"/>
      <c r="F243" s="93"/>
      <c r="G243" s="93"/>
      <c r="H243" s="50"/>
      <c r="I243" s="93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36.75" customHeight="1">
      <c r="A244" s="93"/>
      <c r="B244" s="93"/>
      <c r="C244" s="93"/>
      <c r="D244" s="93"/>
      <c r="E244" s="93"/>
      <c r="F244" s="93"/>
      <c r="G244" s="93"/>
      <c r="H244" s="50"/>
      <c r="I244" s="93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36.75" customHeight="1">
      <c r="A245" s="93"/>
      <c r="B245" s="93"/>
      <c r="C245" s="93"/>
      <c r="D245" s="93"/>
      <c r="E245" s="93"/>
      <c r="F245" s="93"/>
      <c r="G245" s="93"/>
      <c r="H245" s="50"/>
      <c r="I245" s="93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36.75" customHeight="1">
      <c r="A246" s="93"/>
      <c r="B246" s="93"/>
      <c r="C246" s="93"/>
      <c r="D246" s="93"/>
      <c r="E246" s="93"/>
      <c r="F246" s="93"/>
      <c r="G246" s="93"/>
      <c r="H246" s="50"/>
      <c r="I246" s="93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36.75" customHeight="1">
      <c r="A247" s="93"/>
      <c r="B247" s="93"/>
      <c r="C247" s="93"/>
      <c r="D247" s="93"/>
      <c r="E247" s="93"/>
      <c r="F247" s="93"/>
      <c r="G247" s="93"/>
      <c r="H247" s="50"/>
      <c r="I247" s="93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36.75" customHeight="1">
      <c r="A248" s="93"/>
      <c r="B248" s="93"/>
      <c r="C248" s="93"/>
      <c r="D248" s="93"/>
      <c r="E248" s="93"/>
      <c r="F248" s="93"/>
      <c r="G248" s="93"/>
      <c r="H248" s="50"/>
      <c r="I248" s="93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36.75" customHeight="1">
      <c r="A249" s="93"/>
      <c r="B249" s="93"/>
      <c r="C249" s="93"/>
      <c r="D249" s="93"/>
      <c r="E249" s="93"/>
      <c r="F249" s="93"/>
      <c r="G249" s="93"/>
      <c r="H249" s="50"/>
      <c r="I249" s="93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36.75" customHeight="1">
      <c r="A250" s="93"/>
      <c r="B250" s="93"/>
      <c r="C250" s="93"/>
      <c r="D250" s="93"/>
      <c r="E250" s="93"/>
      <c r="F250" s="93"/>
      <c r="G250" s="93"/>
      <c r="H250" s="50"/>
      <c r="I250" s="93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36.75" customHeight="1">
      <c r="A251" s="93"/>
      <c r="B251" s="93"/>
      <c r="C251" s="93"/>
      <c r="D251" s="93"/>
      <c r="E251" s="93"/>
      <c r="F251" s="93"/>
      <c r="G251" s="93"/>
      <c r="H251" s="50"/>
      <c r="I251" s="93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36.75" customHeight="1">
      <c r="A252" s="93"/>
      <c r="B252" s="93"/>
      <c r="C252" s="93"/>
      <c r="D252" s="93"/>
      <c r="E252" s="93"/>
      <c r="F252" s="93"/>
      <c r="G252" s="93"/>
      <c r="H252" s="50"/>
      <c r="I252" s="93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36.75" customHeight="1">
      <c r="A253" s="93"/>
      <c r="B253" s="93"/>
      <c r="C253" s="93"/>
      <c r="D253" s="93"/>
      <c r="E253" s="93"/>
      <c r="F253" s="93"/>
      <c r="G253" s="93"/>
      <c r="H253" s="50"/>
      <c r="I253" s="93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36.75" customHeight="1">
      <c r="A254" s="93"/>
      <c r="B254" s="93"/>
      <c r="C254" s="93"/>
      <c r="D254" s="93"/>
      <c r="E254" s="93"/>
      <c r="F254" s="93"/>
      <c r="G254" s="93"/>
      <c r="H254" s="50"/>
      <c r="I254" s="93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36.75" customHeight="1">
      <c r="A255" s="93"/>
      <c r="B255" s="93"/>
      <c r="C255" s="93"/>
      <c r="D255" s="93"/>
      <c r="E255" s="93"/>
      <c r="F255" s="93"/>
      <c r="G255" s="93"/>
      <c r="H255" s="50"/>
      <c r="I255" s="93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36.75" customHeight="1">
      <c r="A256" s="93"/>
      <c r="B256" s="93"/>
      <c r="C256" s="93"/>
      <c r="D256" s="93"/>
      <c r="E256" s="93"/>
      <c r="F256" s="93"/>
      <c r="G256" s="93"/>
      <c r="H256" s="50"/>
      <c r="I256" s="93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36.75" customHeight="1">
      <c r="A257" s="93"/>
      <c r="B257" s="93"/>
      <c r="C257" s="93"/>
      <c r="D257" s="93"/>
      <c r="E257" s="93"/>
      <c r="F257" s="93"/>
      <c r="G257" s="93"/>
      <c r="H257" s="50"/>
      <c r="I257" s="93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36.75" customHeight="1">
      <c r="A258" s="93"/>
      <c r="B258" s="93"/>
      <c r="C258" s="93"/>
      <c r="D258" s="93"/>
      <c r="E258" s="93"/>
      <c r="F258" s="93"/>
      <c r="G258" s="93"/>
      <c r="H258" s="50"/>
      <c r="I258" s="93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36.75" customHeight="1">
      <c r="A259" s="93"/>
      <c r="B259" s="93"/>
      <c r="C259" s="93"/>
      <c r="D259" s="93"/>
      <c r="E259" s="93"/>
      <c r="F259" s="93"/>
      <c r="G259" s="93"/>
      <c r="H259" s="50"/>
      <c r="I259" s="93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36.75" customHeight="1">
      <c r="A260" s="93"/>
      <c r="B260" s="93"/>
      <c r="C260" s="93"/>
      <c r="D260" s="93"/>
      <c r="E260" s="93"/>
      <c r="F260" s="93"/>
      <c r="G260" s="93"/>
      <c r="H260" s="50"/>
      <c r="I260" s="93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36.75" customHeight="1">
      <c r="A261" s="93"/>
      <c r="B261" s="93"/>
      <c r="C261" s="93"/>
      <c r="D261" s="93"/>
      <c r="E261" s="93"/>
      <c r="F261" s="93"/>
      <c r="G261" s="93"/>
      <c r="H261" s="50"/>
      <c r="I261" s="93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36.75" customHeight="1">
      <c r="A262" s="93"/>
      <c r="B262" s="93"/>
      <c r="C262" s="93"/>
      <c r="D262" s="93"/>
      <c r="E262" s="93"/>
      <c r="F262" s="93"/>
      <c r="G262" s="93"/>
      <c r="H262" s="50"/>
      <c r="I262" s="93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36.75" customHeight="1">
      <c r="A263" s="93"/>
      <c r="B263" s="93"/>
      <c r="C263" s="93"/>
      <c r="D263" s="93"/>
      <c r="E263" s="93"/>
      <c r="F263" s="93"/>
      <c r="G263" s="93"/>
      <c r="H263" s="50"/>
      <c r="I263" s="93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36.75" customHeight="1">
      <c r="A264" s="93"/>
      <c r="B264" s="93"/>
      <c r="C264" s="93"/>
      <c r="D264" s="93"/>
      <c r="E264" s="93"/>
      <c r="F264" s="93"/>
      <c r="G264" s="93"/>
      <c r="H264" s="50"/>
      <c r="I264" s="93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36.75" customHeight="1">
      <c r="A265" s="93"/>
      <c r="B265" s="93"/>
      <c r="C265" s="93"/>
      <c r="D265" s="93"/>
      <c r="E265" s="93"/>
      <c r="F265" s="93"/>
      <c r="G265" s="93"/>
      <c r="H265" s="50"/>
      <c r="I265" s="93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36.75" customHeight="1">
      <c r="A266" s="93"/>
      <c r="B266" s="93"/>
      <c r="C266" s="93"/>
      <c r="D266" s="93"/>
      <c r="E266" s="93"/>
      <c r="F266" s="93"/>
      <c r="G266" s="93"/>
      <c r="H266" s="50"/>
      <c r="I266" s="93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36.75" customHeight="1">
      <c r="A267" s="93"/>
      <c r="B267" s="93"/>
      <c r="C267" s="93"/>
      <c r="D267" s="93"/>
      <c r="E267" s="93"/>
      <c r="F267" s="93"/>
      <c r="G267" s="93"/>
      <c r="H267" s="50"/>
      <c r="I267" s="93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36.75" customHeight="1">
      <c r="A268" s="93"/>
      <c r="B268" s="93"/>
      <c r="C268" s="93"/>
      <c r="D268" s="93"/>
      <c r="E268" s="93"/>
      <c r="F268" s="93"/>
      <c r="G268" s="93"/>
      <c r="H268" s="50"/>
      <c r="I268" s="93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36.75" customHeight="1">
      <c r="A269" s="93"/>
      <c r="B269" s="93"/>
      <c r="C269" s="93"/>
      <c r="D269" s="93"/>
      <c r="E269" s="93"/>
      <c r="F269" s="93"/>
      <c r="G269" s="93"/>
      <c r="H269" s="50"/>
      <c r="I269" s="93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36.75" customHeight="1">
      <c r="A270" s="93"/>
      <c r="B270" s="93"/>
      <c r="C270" s="93"/>
      <c r="D270" s="93"/>
      <c r="E270" s="93"/>
      <c r="F270" s="93"/>
      <c r="G270" s="93"/>
      <c r="H270" s="50"/>
      <c r="I270" s="93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36.75" customHeight="1">
      <c r="A271" s="93"/>
      <c r="B271" s="93"/>
      <c r="C271" s="93"/>
      <c r="D271" s="93"/>
      <c r="E271" s="93"/>
      <c r="F271" s="93"/>
      <c r="G271" s="93"/>
      <c r="H271" s="50"/>
      <c r="I271" s="93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36.75" customHeight="1">
      <c r="A272" s="93"/>
      <c r="B272" s="93"/>
      <c r="C272" s="93"/>
      <c r="D272" s="93"/>
      <c r="E272" s="93"/>
      <c r="F272" s="93"/>
      <c r="G272" s="93"/>
      <c r="H272" s="50"/>
      <c r="I272" s="93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36.75" customHeight="1">
      <c r="A273" s="93"/>
      <c r="B273" s="93"/>
      <c r="C273" s="93"/>
      <c r="D273" s="93"/>
      <c r="E273" s="93"/>
      <c r="F273" s="93"/>
      <c r="G273" s="93"/>
      <c r="H273" s="50"/>
      <c r="I273" s="93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36.75" customHeight="1">
      <c r="A274" s="93"/>
      <c r="B274" s="93"/>
      <c r="C274" s="93"/>
      <c r="D274" s="93"/>
      <c r="E274" s="93"/>
      <c r="F274" s="93"/>
      <c r="G274" s="93"/>
      <c r="H274" s="50"/>
      <c r="I274" s="93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36.75" customHeight="1">
      <c r="A275" s="93"/>
      <c r="B275" s="93"/>
      <c r="C275" s="93"/>
      <c r="D275" s="93"/>
      <c r="E275" s="93"/>
      <c r="F275" s="93"/>
      <c r="G275" s="93"/>
      <c r="H275" s="50"/>
      <c r="I275" s="93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36.75" customHeight="1">
      <c r="A276" s="93"/>
      <c r="B276" s="93"/>
      <c r="C276" s="93"/>
      <c r="D276" s="93"/>
      <c r="E276" s="93"/>
      <c r="F276" s="93"/>
      <c r="G276" s="93"/>
      <c r="H276" s="50"/>
      <c r="I276" s="93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36.75" customHeight="1">
      <c r="A277" s="93"/>
      <c r="B277" s="93"/>
      <c r="C277" s="93"/>
      <c r="D277" s="93"/>
      <c r="E277" s="93"/>
      <c r="F277" s="93"/>
      <c r="G277" s="93"/>
      <c r="H277" s="50"/>
      <c r="I277" s="93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36.75" customHeight="1">
      <c r="A278" s="93"/>
      <c r="B278" s="93"/>
      <c r="C278" s="93"/>
      <c r="D278" s="93"/>
      <c r="E278" s="93"/>
      <c r="F278" s="93"/>
      <c r="G278" s="93"/>
      <c r="H278" s="50"/>
      <c r="I278" s="93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36.75" customHeight="1">
      <c r="A279" s="93"/>
      <c r="B279" s="93"/>
      <c r="C279" s="93"/>
      <c r="D279" s="93"/>
      <c r="E279" s="93"/>
      <c r="F279" s="93"/>
      <c r="G279" s="93"/>
      <c r="H279" s="50"/>
      <c r="I279" s="93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36.75" customHeight="1">
      <c r="A280" s="93"/>
      <c r="B280" s="93"/>
      <c r="C280" s="93"/>
      <c r="D280" s="93"/>
      <c r="E280" s="93"/>
      <c r="F280" s="93"/>
      <c r="G280" s="93"/>
      <c r="H280" s="50"/>
      <c r="I280" s="93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36.75" customHeight="1">
      <c r="A281" s="93"/>
      <c r="B281" s="93"/>
      <c r="C281" s="93"/>
      <c r="D281" s="93"/>
      <c r="E281" s="93"/>
      <c r="F281" s="93"/>
      <c r="G281" s="93"/>
      <c r="H281" s="50"/>
      <c r="I281" s="93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36.75" customHeight="1">
      <c r="A282" s="93"/>
      <c r="B282" s="93"/>
      <c r="C282" s="93"/>
      <c r="D282" s="93"/>
      <c r="E282" s="93"/>
      <c r="F282" s="93"/>
      <c r="G282" s="93"/>
      <c r="H282" s="50"/>
      <c r="I282" s="93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36.75" customHeight="1">
      <c r="A283" s="93"/>
      <c r="B283" s="93"/>
      <c r="C283" s="93"/>
      <c r="D283" s="93"/>
      <c r="E283" s="93"/>
      <c r="F283" s="93"/>
      <c r="G283" s="93"/>
      <c r="H283" s="50"/>
      <c r="I283" s="93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36.75" customHeight="1">
      <c r="A284" s="93"/>
      <c r="B284" s="93"/>
      <c r="C284" s="93"/>
      <c r="D284" s="93"/>
      <c r="E284" s="93"/>
      <c r="F284" s="93"/>
      <c r="G284" s="93"/>
      <c r="H284" s="50"/>
      <c r="I284" s="93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36.75" customHeight="1">
      <c r="A285" s="93"/>
      <c r="B285" s="93"/>
      <c r="C285" s="93"/>
      <c r="D285" s="93"/>
      <c r="E285" s="93"/>
      <c r="F285" s="93"/>
      <c r="G285" s="93"/>
      <c r="H285" s="50"/>
      <c r="I285" s="93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36.75" customHeight="1">
      <c r="A286" s="93"/>
      <c r="B286" s="93"/>
      <c r="C286" s="93"/>
      <c r="D286" s="93"/>
      <c r="E286" s="93"/>
      <c r="F286" s="93"/>
      <c r="G286" s="93"/>
      <c r="H286" s="50"/>
      <c r="I286" s="93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36.75" customHeight="1">
      <c r="A287" s="93"/>
      <c r="B287" s="93"/>
      <c r="C287" s="93"/>
      <c r="D287" s="93"/>
      <c r="E287" s="93"/>
      <c r="F287" s="93"/>
      <c r="G287" s="93"/>
      <c r="H287" s="50"/>
      <c r="I287" s="93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36.75" customHeight="1">
      <c r="A288" s="93"/>
      <c r="B288" s="93"/>
      <c r="C288" s="93"/>
      <c r="D288" s="93"/>
      <c r="E288" s="93"/>
      <c r="F288" s="93"/>
      <c r="G288" s="93"/>
      <c r="H288" s="50"/>
      <c r="I288" s="93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36.75" customHeight="1">
      <c r="A289" s="93"/>
      <c r="B289" s="93"/>
      <c r="C289" s="93"/>
      <c r="D289" s="93"/>
      <c r="E289" s="93"/>
      <c r="F289" s="93"/>
      <c r="G289" s="93"/>
      <c r="H289" s="50"/>
      <c r="I289" s="93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36.75" customHeight="1">
      <c r="A290" s="93"/>
      <c r="B290" s="93"/>
      <c r="C290" s="93"/>
      <c r="D290" s="93"/>
      <c r="E290" s="93"/>
      <c r="F290" s="93"/>
      <c r="G290" s="93"/>
      <c r="H290" s="50"/>
      <c r="I290" s="93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36.75" customHeight="1">
      <c r="A291" s="93"/>
      <c r="B291" s="93"/>
      <c r="C291" s="93"/>
      <c r="D291" s="93"/>
      <c r="E291" s="93"/>
      <c r="F291" s="93"/>
      <c r="G291" s="93"/>
      <c r="H291" s="50"/>
      <c r="I291" s="93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36.75" customHeight="1">
      <c r="A292" s="93"/>
      <c r="B292" s="93"/>
      <c r="C292" s="93"/>
      <c r="D292" s="93"/>
      <c r="E292" s="93"/>
      <c r="F292" s="93"/>
      <c r="G292" s="93"/>
      <c r="H292" s="50"/>
      <c r="I292" s="93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36.75" customHeight="1">
      <c r="A293" s="93"/>
      <c r="B293" s="93"/>
      <c r="C293" s="93"/>
      <c r="D293" s="93"/>
      <c r="E293" s="93"/>
      <c r="F293" s="93"/>
      <c r="G293" s="93"/>
      <c r="H293" s="50"/>
      <c r="I293" s="93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36.75" customHeight="1">
      <c r="A294" s="93"/>
      <c r="B294" s="93"/>
      <c r="C294" s="93"/>
      <c r="D294" s="93"/>
      <c r="E294" s="93"/>
      <c r="F294" s="93"/>
      <c r="G294" s="93"/>
      <c r="H294" s="50"/>
      <c r="I294" s="93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36.75" customHeight="1">
      <c r="A295" s="93"/>
      <c r="B295" s="93"/>
      <c r="C295" s="93"/>
      <c r="D295" s="93"/>
      <c r="E295" s="93"/>
      <c r="F295" s="93"/>
      <c r="G295" s="93"/>
      <c r="H295" s="50"/>
      <c r="I295" s="93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36.75" customHeight="1">
      <c r="A296" s="93"/>
      <c r="B296" s="93"/>
      <c r="C296" s="93"/>
      <c r="D296" s="93"/>
      <c r="E296" s="93"/>
      <c r="F296" s="93"/>
      <c r="G296" s="93"/>
      <c r="H296" s="50"/>
      <c r="I296" s="93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36.75" customHeight="1">
      <c r="A297" s="93"/>
      <c r="B297" s="93"/>
      <c r="C297" s="93"/>
      <c r="D297" s="93"/>
      <c r="E297" s="93"/>
      <c r="F297" s="93"/>
      <c r="G297" s="93"/>
      <c r="H297" s="50"/>
      <c r="I297" s="93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36.75" customHeight="1">
      <c r="A298" s="93"/>
      <c r="B298" s="93"/>
      <c r="C298" s="93"/>
      <c r="D298" s="93"/>
      <c r="E298" s="93"/>
      <c r="F298" s="93"/>
      <c r="G298" s="93"/>
      <c r="H298" s="50"/>
      <c r="I298" s="93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36.75" customHeight="1">
      <c r="A299" s="93"/>
      <c r="B299" s="93"/>
      <c r="C299" s="93"/>
      <c r="D299" s="93"/>
      <c r="E299" s="93"/>
      <c r="F299" s="93"/>
      <c r="G299" s="93"/>
      <c r="H299" s="50"/>
      <c r="I299" s="93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36.75" customHeight="1">
      <c r="A300" s="93"/>
      <c r="B300" s="93"/>
      <c r="C300" s="93"/>
      <c r="D300" s="93"/>
      <c r="E300" s="93"/>
      <c r="F300" s="93"/>
      <c r="G300" s="93"/>
      <c r="H300" s="50"/>
      <c r="I300" s="93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36.75" customHeight="1">
      <c r="A301" s="93"/>
      <c r="B301" s="93"/>
      <c r="C301" s="93"/>
      <c r="D301" s="93"/>
      <c r="E301" s="93"/>
      <c r="F301" s="93"/>
      <c r="G301" s="93"/>
      <c r="H301" s="50"/>
      <c r="I301" s="93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36.75" customHeight="1">
      <c r="A302" s="93"/>
      <c r="B302" s="93"/>
      <c r="C302" s="93"/>
      <c r="D302" s="93"/>
      <c r="E302" s="93"/>
      <c r="F302" s="93"/>
      <c r="G302" s="93"/>
      <c r="H302" s="50"/>
      <c r="I302" s="93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36.75" customHeight="1">
      <c r="A303" s="93"/>
      <c r="B303" s="93"/>
      <c r="C303" s="93"/>
      <c r="D303" s="93"/>
      <c r="E303" s="93"/>
      <c r="F303" s="93"/>
      <c r="G303" s="93"/>
      <c r="H303" s="50"/>
      <c r="I303" s="93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36.75" customHeight="1">
      <c r="A304" s="93"/>
      <c r="B304" s="93"/>
      <c r="C304" s="93"/>
      <c r="D304" s="93"/>
      <c r="E304" s="93"/>
      <c r="F304" s="93"/>
      <c r="G304" s="93"/>
      <c r="H304" s="50"/>
      <c r="I304" s="93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36.75" customHeight="1">
      <c r="A305" s="93"/>
      <c r="B305" s="93"/>
      <c r="C305" s="93"/>
      <c r="D305" s="93"/>
      <c r="E305" s="93"/>
      <c r="F305" s="93"/>
      <c r="G305" s="93"/>
      <c r="H305" s="50"/>
      <c r="I305" s="93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36.75" customHeight="1">
      <c r="A306" s="93"/>
      <c r="B306" s="93"/>
      <c r="C306" s="93"/>
      <c r="D306" s="93"/>
      <c r="E306" s="93"/>
      <c r="F306" s="93"/>
      <c r="G306" s="93"/>
      <c r="H306" s="50"/>
      <c r="I306" s="93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36.75" customHeight="1">
      <c r="A307" s="93"/>
      <c r="B307" s="93"/>
      <c r="C307" s="93"/>
      <c r="D307" s="93"/>
      <c r="E307" s="93"/>
      <c r="F307" s="93"/>
      <c r="G307" s="93"/>
      <c r="H307" s="50"/>
      <c r="I307" s="93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36.75" customHeight="1">
      <c r="A308" s="93"/>
      <c r="B308" s="93"/>
      <c r="C308" s="93"/>
      <c r="D308" s="93"/>
      <c r="E308" s="93"/>
      <c r="F308" s="93"/>
      <c r="G308" s="93"/>
      <c r="H308" s="50"/>
      <c r="I308" s="93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36.75" customHeight="1">
      <c r="A309" s="93"/>
      <c r="B309" s="93"/>
      <c r="C309" s="93"/>
      <c r="D309" s="93"/>
      <c r="E309" s="93"/>
      <c r="F309" s="93"/>
      <c r="G309" s="93"/>
      <c r="H309" s="50"/>
      <c r="I309" s="93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36.75" customHeight="1">
      <c r="A310" s="93"/>
      <c r="B310" s="93"/>
      <c r="C310" s="93"/>
      <c r="D310" s="93"/>
      <c r="E310" s="93"/>
      <c r="F310" s="93"/>
      <c r="G310" s="93"/>
      <c r="H310" s="50"/>
      <c r="I310" s="93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36.75" customHeight="1">
      <c r="A311" s="93"/>
      <c r="B311" s="93"/>
      <c r="C311" s="93"/>
      <c r="D311" s="93"/>
      <c r="E311" s="93"/>
      <c r="F311" s="93"/>
      <c r="G311" s="93"/>
      <c r="H311" s="50"/>
      <c r="I311" s="93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36.75" customHeight="1">
      <c r="A312" s="93"/>
      <c r="B312" s="93"/>
      <c r="C312" s="93"/>
      <c r="D312" s="93"/>
      <c r="E312" s="93"/>
      <c r="F312" s="93"/>
      <c r="G312" s="93"/>
      <c r="H312" s="50"/>
      <c r="I312" s="93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36.75" customHeight="1">
      <c r="A313" s="93"/>
      <c r="B313" s="93"/>
      <c r="C313" s="93"/>
      <c r="D313" s="93"/>
      <c r="E313" s="93"/>
      <c r="F313" s="93"/>
      <c r="G313" s="93"/>
      <c r="H313" s="50"/>
      <c r="I313" s="93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36.75" customHeight="1">
      <c r="A314" s="93"/>
      <c r="B314" s="93"/>
      <c r="C314" s="93"/>
      <c r="D314" s="93"/>
      <c r="E314" s="93"/>
      <c r="F314" s="93"/>
      <c r="G314" s="93"/>
      <c r="H314" s="50"/>
      <c r="I314" s="93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36.75" customHeight="1">
      <c r="A315" s="93"/>
      <c r="B315" s="93"/>
      <c r="C315" s="93"/>
      <c r="D315" s="93"/>
      <c r="E315" s="93"/>
      <c r="F315" s="93"/>
      <c r="G315" s="93"/>
      <c r="H315" s="50"/>
      <c r="I315" s="93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36.75" customHeight="1">
      <c r="A316" s="93"/>
      <c r="B316" s="93"/>
      <c r="C316" s="93"/>
      <c r="D316" s="93"/>
      <c r="E316" s="93"/>
      <c r="F316" s="93"/>
      <c r="G316" s="93"/>
      <c r="H316" s="50"/>
      <c r="I316" s="93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36.75" customHeight="1">
      <c r="A317" s="93"/>
      <c r="B317" s="93"/>
      <c r="C317" s="93"/>
      <c r="D317" s="93"/>
      <c r="E317" s="93"/>
      <c r="F317" s="93"/>
      <c r="G317" s="93"/>
      <c r="H317" s="50"/>
      <c r="I317" s="93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36.75" customHeight="1">
      <c r="A318" s="93"/>
      <c r="B318" s="93"/>
      <c r="C318" s="93"/>
      <c r="D318" s="93"/>
      <c r="E318" s="93"/>
      <c r="F318" s="93"/>
      <c r="G318" s="93"/>
      <c r="H318" s="50"/>
      <c r="I318" s="93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36.75" customHeight="1">
      <c r="A319" s="93"/>
      <c r="B319" s="93"/>
      <c r="C319" s="93"/>
      <c r="D319" s="93"/>
      <c r="E319" s="93"/>
      <c r="F319" s="93"/>
      <c r="G319" s="93"/>
      <c r="H319" s="50"/>
      <c r="I319" s="93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36.75" customHeight="1">
      <c r="A320" s="93"/>
      <c r="B320" s="93"/>
      <c r="C320" s="93"/>
      <c r="D320" s="93"/>
      <c r="E320" s="93"/>
      <c r="F320" s="93"/>
      <c r="G320" s="93"/>
      <c r="H320" s="50"/>
      <c r="I320" s="93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36.75" customHeight="1">
      <c r="A321" s="93"/>
      <c r="B321" s="93"/>
      <c r="C321" s="93"/>
      <c r="D321" s="93"/>
      <c r="E321" s="93"/>
      <c r="F321" s="93"/>
      <c r="G321" s="93"/>
      <c r="H321" s="50"/>
      <c r="I321" s="93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36.75" customHeight="1">
      <c r="A322" s="93"/>
      <c r="B322" s="93"/>
      <c r="C322" s="93"/>
      <c r="D322" s="93"/>
      <c r="E322" s="93"/>
      <c r="F322" s="93"/>
      <c r="G322" s="93"/>
      <c r="H322" s="50"/>
      <c r="I322" s="93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36.75" customHeight="1">
      <c r="A323" s="93"/>
      <c r="B323" s="93"/>
      <c r="C323" s="93"/>
      <c r="D323" s="93"/>
      <c r="E323" s="93"/>
      <c r="F323" s="93"/>
      <c r="G323" s="93"/>
      <c r="H323" s="50"/>
      <c r="I323" s="93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36.75" customHeight="1">
      <c r="A324" s="93"/>
      <c r="B324" s="93"/>
      <c r="C324" s="93"/>
      <c r="D324" s="93"/>
      <c r="E324" s="93"/>
      <c r="F324" s="93"/>
      <c r="G324" s="93"/>
      <c r="H324" s="50"/>
      <c r="I324" s="93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36.75" customHeight="1">
      <c r="A325" s="93"/>
      <c r="B325" s="93"/>
      <c r="C325" s="93"/>
      <c r="D325" s="93"/>
      <c r="E325" s="93"/>
      <c r="F325" s="93"/>
      <c r="G325" s="93"/>
      <c r="H325" s="50"/>
      <c r="I325" s="93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36.75" customHeight="1">
      <c r="A326" s="93"/>
      <c r="B326" s="93"/>
      <c r="C326" s="93"/>
      <c r="D326" s="93"/>
      <c r="E326" s="93"/>
      <c r="F326" s="93"/>
      <c r="G326" s="93"/>
      <c r="H326" s="50"/>
      <c r="I326" s="93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36.75" customHeight="1">
      <c r="A327" s="93"/>
      <c r="B327" s="93"/>
      <c r="C327" s="93"/>
      <c r="D327" s="93"/>
      <c r="E327" s="93"/>
      <c r="F327" s="93"/>
      <c r="G327" s="93"/>
      <c r="H327" s="50"/>
      <c r="I327" s="93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36.75" customHeight="1">
      <c r="A328" s="93"/>
      <c r="B328" s="93"/>
      <c r="C328" s="93"/>
      <c r="D328" s="93"/>
      <c r="E328" s="93"/>
      <c r="F328" s="93"/>
      <c r="G328" s="93"/>
      <c r="H328" s="50"/>
      <c r="I328" s="93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36.75" customHeight="1">
      <c r="A329" s="93"/>
      <c r="B329" s="93"/>
      <c r="C329" s="93"/>
      <c r="D329" s="93"/>
      <c r="E329" s="93"/>
      <c r="F329" s="93"/>
      <c r="G329" s="93"/>
      <c r="H329" s="50"/>
      <c r="I329" s="93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36.75" customHeight="1">
      <c r="A330" s="93"/>
      <c r="B330" s="93"/>
      <c r="C330" s="93"/>
      <c r="D330" s="93"/>
      <c r="E330" s="93"/>
      <c r="F330" s="93"/>
      <c r="G330" s="93"/>
      <c r="H330" s="50"/>
      <c r="I330" s="93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36.75" customHeight="1">
      <c r="A331" s="93"/>
      <c r="B331" s="93"/>
      <c r="C331" s="93"/>
      <c r="D331" s="93"/>
      <c r="E331" s="93"/>
      <c r="F331" s="93"/>
      <c r="G331" s="93"/>
      <c r="H331" s="50"/>
      <c r="I331" s="93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36.75" customHeight="1">
      <c r="A332" s="93"/>
      <c r="B332" s="93"/>
      <c r="C332" s="93"/>
      <c r="D332" s="93"/>
      <c r="E332" s="93"/>
      <c r="F332" s="93"/>
      <c r="G332" s="93"/>
      <c r="H332" s="50"/>
      <c r="I332" s="93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36.75" customHeight="1">
      <c r="A333" s="93"/>
      <c r="B333" s="93"/>
      <c r="C333" s="93"/>
      <c r="D333" s="93"/>
      <c r="E333" s="93"/>
      <c r="F333" s="93"/>
      <c r="G333" s="93"/>
      <c r="H333" s="50"/>
      <c r="I333" s="93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36.75" customHeight="1">
      <c r="A334" s="93"/>
      <c r="B334" s="93"/>
      <c r="C334" s="93"/>
      <c r="D334" s="93"/>
      <c r="E334" s="93"/>
      <c r="F334" s="93"/>
      <c r="G334" s="93"/>
      <c r="H334" s="50"/>
      <c r="I334" s="93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36.75" customHeight="1">
      <c r="A335" s="93"/>
      <c r="B335" s="93"/>
      <c r="C335" s="93"/>
      <c r="D335" s="93"/>
      <c r="E335" s="93"/>
      <c r="F335" s="93"/>
      <c r="G335" s="93"/>
      <c r="H335" s="50"/>
      <c r="I335" s="93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36.75" customHeight="1">
      <c r="A336" s="93"/>
      <c r="B336" s="93"/>
      <c r="C336" s="93"/>
      <c r="D336" s="93"/>
      <c r="E336" s="93"/>
      <c r="F336" s="93"/>
      <c r="G336" s="93"/>
      <c r="H336" s="50"/>
      <c r="I336" s="93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36.75" customHeight="1">
      <c r="A337" s="93"/>
      <c r="B337" s="93"/>
      <c r="C337" s="93"/>
      <c r="D337" s="93"/>
      <c r="E337" s="93"/>
      <c r="F337" s="93"/>
      <c r="G337" s="93"/>
      <c r="H337" s="50"/>
      <c r="I337" s="93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36.75" customHeight="1">
      <c r="A338" s="93"/>
      <c r="B338" s="93"/>
      <c r="C338" s="93"/>
      <c r="D338" s="93"/>
      <c r="E338" s="93"/>
      <c r="F338" s="93"/>
      <c r="G338" s="93"/>
      <c r="H338" s="50"/>
      <c r="I338" s="93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36.75" customHeight="1">
      <c r="A339" s="93"/>
      <c r="B339" s="93"/>
      <c r="C339" s="93"/>
      <c r="D339" s="93"/>
      <c r="E339" s="93"/>
      <c r="F339" s="93"/>
      <c r="G339" s="93"/>
      <c r="H339" s="50"/>
      <c r="I339" s="93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36.75" customHeight="1">
      <c r="A340" s="93"/>
      <c r="B340" s="93"/>
      <c r="C340" s="93"/>
      <c r="D340" s="93"/>
      <c r="E340" s="93"/>
      <c r="F340" s="93"/>
      <c r="G340" s="93"/>
      <c r="H340" s="50"/>
      <c r="I340" s="93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36.75" customHeight="1">
      <c r="A341" s="93"/>
      <c r="B341" s="93"/>
      <c r="C341" s="93"/>
      <c r="D341" s="93"/>
      <c r="E341" s="93"/>
      <c r="F341" s="93"/>
      <c r="G341" s="93"/>
      <c r="H341" s="50"/>
      <c r="I341" s="93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36.75" customHeight="1">
      <c r="A342" s="93"/>
      <c r="B342" s="93"/>
      <c r="C342" s="93"/>
      <c r="D342" s="93"/>
      <c r="E342" s="93"/>
      <c r="F342" s="93"/>
      <c r="G342" s="93"/>
      <c r="H342" s="50"/>
      <c r="I342" s="93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36.75" customHeight="1">
      <c r="A343" s="93"/>
      <c r="B343" s="93"/>
      <c r="C343" s="93"/>
      <c r="D343" s="93"/>
      <c r="E343" s="93"/>
      <c r="F343" s="93"/>
      <c r="G343" s="93"/>
      <c r="H343" s="50"/>
      <c r="I343" s="93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36.75" customHeight="1">
      <c r="A344" s="93"/>
      <c r="B344" s="93"/>
      <c r="C344" s="93"/>
      <c r="D344" s="93"/>
      <c r="E344" s="93"/>
      <c r="F344" s="93"/>
      <c r="G344" s="93"/>
      <c r="H344" s="50"/>
      <c r="I344" s="93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36.75" customHeight="1">
      <c r="A345" s="93"/>
      <c r="B345" s="93"/>
      <c r="C345" s="93"/>
      <c r="D345" s="93"/>
      <c r="E345" s="93"/>
      <c r="F345" s="93"/>
      <c r="G345" s="93"/>
      <c r="H345" s="50"/>
      <c r="I345" s="93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36.75" customHeight="1">
      <c r="A346" s="93"/>
      <c r="B346" s="93"/>
      <c r="C346" s="93"/>
      <c r="D346" s="93"/>
      <c r="E346" s="93"/>
      <c r="F346" s="93"/>
      <c r="G346" s="93"/>
      <c r="H346" s="50"/>
      <c r="I346" s="93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36.75" customHeight="1">
      <c r="A347" s="93"/>
      <c r="B347" s="93"/>
      <c r="C347" s="93"/>
      <c r="D347" s="93"/>
      <c r="E347" s="93"/>
      <c r="F347" s="93"/>
      <c r="G347" s="93"/>
      <c r="H347" s="50"/>
      <c r="I347" s="93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36.75" customHeight="1">
      <c r="A348" s="93"/>
      <c r="B348" s="93"/>
      <c r="C348" s="93"/>
      <c r="D348" s="93"/>
      <c r="E348" s="93"/>
      <c r="F348" s="93"/>
      <c r="G348" s="93"/>
      <c r="H348" s="50"/>
      <c r="I348" s="93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36.75" customHeight="1">
      <c r="A349" s="93"/>
      <c r="B349" s="93"/>
      <c r="C349" s="93"/>
      <c r="D349" s="93"/>
      <c r="E349" s="93"/>
      <c r="F349" s="93"/>
      <c r="G349" s="93"/>
      <c r="H349" s="50"/>
      <c r="I349" s="93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36.75" customHeight="1">
      <c r="A350" s="93"/>
      <c r="B350" s="93"/>
      <c r="C350" s="93"/>
      <c r="D350" s="93"/>
      <c r="E350" s="93"/>
      <c r="F350" s="93"/>
      <c r="G350" s="93"/>
      <c r="H350" s="50"/>
      <c r="I350" s="93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36.75" customHeight="1">
      <c r="A351" s="93"/>
      <c r="B351" s="93"/>
      <c r="C351" s="93"/>
      <c r="D351" s="93"/>
      <c r="E351" s="93"/>
      <c r="F351" s="93"/>
      <c r="G351" s="93"/>
      <c r="H351" s="50"/>
      <c r="I351" s="93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36.75" customHeight="1">
      <c r="A352" s="93"/>
      <c r="B352" s="93"/>
      <c r="C352" s="93"/>
      <c r="D352" s="93"/>
      <c r="E352" s="93"/>
      <c r="F352" s="93"/>
      <c r="G352" s="93"/>
      <c r="H352" s="50"/>
      <c r="I352" s="93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36.75" customHeight="1">
      <c r="A353" s="93"/>
      <c r="B353" s="93"/>
      <c r="C353" s="93"/>
      <c r="D353" s="93"/>
      <c r="E353" s="93"/>
      <c r="F353" s="93"/>
      <c r="G353" s="93"/>
      <c r="H353" s="50"/>
      <c r="I353" s="93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36.75" customHeight="1">
      <c r="A354" s="93"/>
      <c r="B354" s="93"/>
      <c r="C354" s="93"/>
      <c r="D354" s="93"/>
      <c r="E354" s="93"/>
      <c r="F354" s="93"/>
      <c r="G354" s="93"/>
      <c r="H354" s="50"/>
      <c r="I354" s="93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36.75" customHeight="1">
      <c r="A355" s="93"/>
      <c r="B355" s="93"/>
      <c r="C355" s="93"/>
      <c r="D355" s="93"/>
      <c r="E355" s="93"/>
      <c r="F355" s="93"/>
      <c r="G355" s="93"/>
      <c r="H355" s="50"/>
      <c r="I355" s="93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36.75" customHeight="1">
      <c r="A356" s="93"/>
      <c r="B356" s="93"/>
      <c r="C356" s="93"/>
      <c r="D356" s="93"/>
      <c r="E356" s="93"/>
      <c r="F356" s="93"/>
      <c r="G356" s="93"/>
      <c r="H356" s="50"/>
      <c r="I356" s="93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36.75" customHeight="1">
      <c r="A357" s="93"/>
      <c r="B357" s="93"/>
      <c r="C357" s="93"/>
      <c r="D357" s="93"/>
      <c r="E357" s="93"/>
      <c r="F357" s="93"/>
      <c r="G357" s="93"/>
      <c r="H357" s="50"/>
      <c r="I357" s="93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36.75" customHeight="1">
      <c r="A358" s="93"/>
      <c r="B358" s="93"/>
      <c r="C358" s="93"/>
      <c r="D358" s="93"/>
      <c r="E358" s="93"/>
      <c r="F358" s="93"/>
      <c r="G358" s="93"/>
      <c r="H358" s="50"/>
      <c r="I358" s="93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36.75" customHeight="1">
      <c r="A359" s="93"/>
      <c r="B359" s="93"/>
      <c r="C359" s="93"/>
      <c r="D359" s="93"/>
      <c r="E359" s="93"/>
      <c r="F359" s="93"/>
      <c r="G359" s="93"/>
      <c r="H359" s="50"/>
      <c r="I359" s="93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36.75" customHeight="1">
      <c r="A360" s="93"/>
      <c r="B360" s="93"/>
      <c r="C360" s="93"/>
      <c r="D360" s="93"/>
      <c r="E360" s="93"/>
      <c r="F360" s="93"/>
      <c r="G360" s="93"/>
      <c r="H360" s="50"/>
      <c r="I360" s="93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36.75" customHeight="1">
      <c r="A361" s="93"/>
      <c r="B361" s="93"/>
      <c r="C361" s="93"/>
      <c r="D361" s="93"/>
      <c r="E361" s="93"/>
      <c r="F361" s="93"/>
      <c r="G361" s="93"/>
      <c r="H361" s="50"/>
      <c r="I361" s="93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36.75" customHeight="1">
      <c r="A362" s="93"/>
      <c r="B362" s="93"/>
      <c r="C362" s="93"/>
      <c r="D362" s="93"/>
      <c r="E362" s="93"/>
      <c r="F362" s="93"/>
      <c r="G362" s="93"/>
      <c r="H362" s="50"/>
      <c r="I362" s="93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36.75" customHeight="1">
      <c r="A363" s="93"/>
      <c r="B363" s="93"/>
      <c r="C363" s="93"/>
      <c r="D363" s="93"/>
      <c r="E363" s="93"/>
      <c r="F363" s="93"/>
      <c r="G363" s="93"/>
      <c r="H363" s="50"/>
      <c r="I363" s="93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36.75" customHeight="1">
      <c r="A364" s="93"/>
      <c r="B364" s="93"/>
      <c r="C364" s="93"/>
      <c r="D364" s="93"/>
      <c r="E364" s="93"/>
      <c r="F364" s="93"/>
      <c r="G364" s="93"/>
      <c r="H364" s="50"/>
      <c r="I364" s="93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36.75" customHeight="1">
      <c r="A365" s="93"/>
      <c r="B365" s="93"/>
      <c r="C365" s="93"/>
      <c r="D365" s="93"/>
      <c r="E365" s="93"/>
      <c r="F365" s="93"/>
      <c r="G365" s="93"/>
      <c r="H365" s="50"/>
      <c r="I365" s="93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36.75" customHeight="1">
      <c r="A366" s="93"/>
      <c r="B366" s="93"/>
      <c r="C366" s="93"/>
      <c r="D366" s="93"/>
      <c r="E366" s="93"/>
      <c r="F366" s="93"/>
      <c r="G366" s="93"/>
      <c r="H366" s="50"/>
      <c r="I366" s="93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36.75" customHeight="1">
      <c r="A367" s="93"/>
      <c r="B367" s="93"/>
      <c r="C367" s="93"/>
      <c r="D367" s="93"/>
      <c r="E367" s="93"/>
      <c r="F367" s="93"/>
      <c r="G367" s="93"/>
      <c r="H367" s="50"/>
      <c r="I367" s="93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36.75" customHeight="1">
      <c r="A368" s="93"/>
      <c r="B368" s="93"/>
      <c r="C368" s="93"/>
      <c r="D368" s="93"/>
      <c r="E368" s="93"/>
      <c r="F368" s="93"/>
      <c r="G368" s="93"/>
      <c r="H368" s="50"/>
      <c r="I368" s="93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36.75" customHeight="1">
      <c r="A369" s="93"/>
      <c r="B369" s="93"/>
      <c r="C369" s="93"/>
      <c r="D369" s="93"/>
      <c r="E369" s="93"/>
      <c r="F369" s="93"/>
      <c r="G369" s="93"/>
      <c r="H369" s="50"/>
      <c r="I369" s="93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36.75" customHeight="1">
      <c r="A370" s="93"/>
      <c r="B370" s="93"/>
      <c r="C370" s="93"/>
      <c r="D370" s="93"/>
      <c r="E370" s="93"/>
      <c r="F370" s="93"/>
      <c r="G370" s="93"/>
      <c r="H370" s="50"/>
      <c r="I370" s="93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36.75" customHeight="1">
      <c r="A371" s="93"/>
      <c r="B371" s="93"/>
      <c r="C371" s="93"/>
      <c r="D371" s="93"/>
      <c r="E371" s="93"/>
      <c r="F371" s="93"/>
      <c r="G371" s="93"/>
      <c r="H371" s="50"/>
      <c r="I371" s="93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36.75" customHeight="1">
      <c r="A372" s="93"/>
      <c r="B372" s="93"/>
      <c r="C372" s="93"/>
      <c r="D372" s="93"/>
      <c r="E372" s="93"/>
      <c r="F372" s="93"/>
      <c r="G372" s="93"/>
      <c r="H372" s="50"/>
      <c r="I372" s="93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36.75" customHeight="1">
      <c r="A373" s="93"/>
      <c r="B373" s="93"/>
      <c r="C373" s="93"/>
      <c r="D373" s="93"/>
      <c r="E373" s="93"/>
      <c r="F373" s="93"/>
      <c r="G373" s="93"/>
      <c r="H373" s="50"/>
      <c r="I373" s="93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36.75" customHeight="1">
      <c r="A374" s="93"/>
      <c r="B374" s="93"/>
      <c r="C374" s="93"/>
      <c r="D374" s="93"/>
      <c r="E374" s="93"/>
      <c r="F374" s="93"/>
      <c r="G374" s="93"/>
      <c r="H374" s="50"/>
      <c r="I374" s="93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36.75" customHeight="1">
      <c r="A375" s="93"/>
      <c r="B375" s="93"/>
      <c r="C375" s="93"/>
      <c r="D375" s="93"/>
      <c r="E375" s="93"/>
      <c r="F375" s="93"/>
      <c r="G375" s="93"/>
      <c r="H375" s="50"/>
      <c r="I375" s="93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36.75" customHeight="1">
      <c r="A376" s="93"/>
      <c r="B376" s="93"/>
      <c r="C376" s="93"/>
      <c r="D376" s="93"/>
      <c r="E376" s="93"/>
      <c r="F376" s="93"/>
      <c r="G376" s="93"/>
      <c r="H376" s="50"/>
      <c r="I376" s="93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36.75" customHeight="1">
      <c r="A377" s="93"/>
      <c r="B377" s="93"/>
      <c r="C377" s="93"/>
      <c r="D377" s="93"/>
      <c r="E377" s="93"/>
      <c r="F377" s="93"/>
      <c r="G377" s="93"/>
      <c r="H377" s="50"/>
      <c r="I377" s="93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36.75" customHeight="1">
      <c r="A378" s="93"/>
      <c r="B378" s="93"/>
      <c r="C378" s="93"/>
      <c r="D378" s="93"/>
      <c r="E378" s="93"/>
      <c r="F378" s="93"/>
      <c r="G378" s="93"/>
      <c r="H378" s="50"/>
      <c r="I378" s="93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36.75" customHeight="1">
      <c r="A379" s="93"/>
      <c r="B379" s="93"/>
      <c r="C379" s="93"/>
      <c r="D379" s="93"/>
      <c r="E379" s="93"/>
      <c r="F379" s="93"/>
      <c r="G379" s="93"/>
      <c r="H379" s="50"/>
      <c r="I379" s="93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36.75" customHeight="1">
      <c r="A380" s="93"/>
      <c r="B380" s="93"/>
      <c r="C380" s="93"/>
      <c r="D380" s="93"/>
      <c r="E380" s="93"/>
      <c r="F380" s="93"/>
      <c r="G380" s="93"/>
      <c r="H380" s="50"/>
      <c r="I380" s="93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36.75" customHeight="1">
      <c r="A381" s="93"/>
      <c r="B381" s="93"/>
      <c r="C381" s="93"/>
      <c r="D381" s="93"/>
      <c r="E381" s="93"/>
      <c r="F381" s="93"/>
      <c r="G381" s="93"/>
      <c r="H381" s="50"/>
      <c r="I381" s="93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36.75" customHeight="1">
      <c r="A382" s="93"/>
      <c r="B382" s="93"/>
      <c r="C382" s="93"/>
      <c r="D382" s="93"/>
      <c r="E382" s="93"/>
      <c r="F382" s="93"/>
      <c r="G382" s="93"/>
      <c r="H382" s="50"/>
      <c r="I382" s="93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36.75" customHeight="1">
      <c r="A383" s="93"/>
      <c r="B383" s="93"/>
      <c r="C383" s="93"/>
      <c r="D383" s="93"/>
      <c r="E383" s="93"/>
      <c r="F383" s="93"/>
      <c r="G383" s="93"/>
      <c r="H383" s="50"/>
      <c r="I383" s="93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36.75" customHeight="1">
      <c r="A384" s="93"/>
      <c r="B384" s="93"/>
      <c r="C384" s="93"/>
      <c r="D384" s="93"/>
      <c r="E384" s="93"/>
      <c r="F384" s="93"/>
      <c r="G384" s="93"/>
      <c r="H384" s="50"/>
      <c r="I384" s="93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36.75" customHeight="1">
      <c r="A385" s="93"/>
      <c r="B385" s="93"/>
      <c r="C385" s="93"/>
      <c r="D385" s="93"/>
      <c r="E385" s="93"/>
      <c r="F385" s="93"/>
      <c r="G385" s="93"/>
      <c r="H385" s="50"/>
      <c r="I385" s="93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36.75" customHeight="1">
      <c r="A386" s="93"/>
      <c r="B386" s="93"/>
      <c r="C386" s="93"/>
      <c r="D386" s="93"/>
      <c r="E386" s="93"/>
      <c r="F386" s="93"/>
      <c r="G386" s="93"/>
      <c r="H386" s="50"/>
      <c r="I386" s="93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36.75" customHeight="1">
      <c r="A387" s="93"/>
      <c r="B387" s="93"/>
      <c r="C387" s="93"/>
      <c r="D387" s="93"/>
      <c r="E387" s="93"/>
      <c r="F387" s="93"/>
      <c r="G387" s="93"/>
      <c r="H387" s="50"/>
      <c r="I387" s="93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36.75" customHeight="1">
      <c r="A388" s="93"/>
      <c r="B388" s="93"/>
      <c r="C388" s="93"/>
      <c r="D388" s="93"/>
      <c r="E388" s="93"/>
      <c r="F388" s="93"/>
      <c r="G388" s="93"/>
      <c r="H388" s="50"/>
      <c r="I388" s="93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36.75" customHeight="1">
      <c r="A389" s="93"/>
      <c r="B389" s="93"/>
      <c r="C389" s="93"/>
      <c r="D389" s="93"/>
      <c r="E389" s="93"/>
      <c r="F389" s="93"/>
      <c r="G389" s="93"/>
      <c r="H389" s="50"/>
      <c r="I389" s="93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36.75" customHeight="1">
      <c r="A390" s="93"/>
      <c r="B390" s="93"/>
      <c r="C390" s="93"/>
      <c r="D390" s="93"/>
      <c r="E390" s="93"/>
      <c r="F390" s="93"/>
      <c r="G390" s="93"/>
      <c r="H390" s="50"/>
      <c r="I390" s="93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36.75" customHeight="1">
      <c r="A391" s="93"/>
      <c r="B391" s="93"/>
      <c r="C391" s="93"/>
      <c r="D391" s="93"/>
      <c r="E391" s="93"/>
      <c r="F391" s="93"/>
      <c r="G391" s="93"/>
      <c r="H391" s="50"/>
      <c r="I391" s="93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36.75" customHeight="1">
      <c r="A392" s="93"/>
      <c r="B392" s="93"/>
      <c r="C392" s="93"/>
      <c r="D392" s="93"/>
      <c r="E392" s="93"/>
      <c r="F392" s="93"/>
      <c r="G392" s="93"/>
      <c r="H392" s="50"/>
      <c r="I392" s="93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36.75" customHeight="1">
      <c r="A393" s="93"/>
      <c r="B393" s="93"/>
      <c r="C393" s="93"/>
      <c r="D393" s="93"/>
      <c r="E393" s="93"/>
      <c r="F393" s="93"/>
      <c r="G393" s="93"/>
      <c r="H393" s="50"/>
      <c r="I393" s="93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36.75" customHeight="1">
      <c r="A394" s="93"/>
      <c r="B394" s="93"/>
      <c r="C394" s="93"/>
      <c r="D394" s="93"/>
      <c r="E394" s="93"/>
      <c r="F394" s="93"/>
      <c r="G394" s="93"/>
      <c r="H394" s="50"/>
      <c r="I394" s="93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36.75" customHeight="1">
      <c r="A395" s="93"/>
      <c r="B395" s="93"/>
      <c r="C395" s="93"/>
      <c r="D395" s="93"/>
      <c r="E395" s="93"/>
      <c r="F395" s="93"/>
      <c r="G395" s="93"/>
      <c r="H395" s="50"/>
      <c r="I395" s="93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36.75" customHeight="1">
      <c r="A396" s="93"/>
      <c r="B396" s="93"/>
      <c r="C396" s="93"/>
      <c r="D396" s="93"/>
      <c r="E396" s="93"/>
      <c r="F396" s="93"/>
      <c r="G396" s="93"/>
      <c r="H396" s="50"/>
      <c r="I396" s="93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36.75" customHeight="1">
      <c r="A397" s="93"/>
      <c r="B397" s="93"/>
      <c r="C397" s="93"/>
      <c r="D397" s="93"/>
      <c r="E397" s="93"/>
      <c r="F397" s="93"/>
      <c r="G397" s="93"/>
      <c r="H397" s="50"/>
      <c r="I397" s="93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36.75" customHeight="1">
      <c r="A398" s="93"/>
      <c r="B398" s="93"/>
      <c r="C398" s="93"/>
      <c r="D398" s="93"/>
      <c r="E398" s="93"/>
      <c r="F398" s="93"/>
      <c r="G398" s="93"/>
      <c r="H398" s="50"/>
      <c r="I398" s="93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36.75" customHeight="1">
      <c r="A399" s="93"/>
      <c r="B399" s="93"/>
      <c r="C399" s="93"/>
      <c r="D399" s="93"/>
      <c r="E399" s="93"/>
      <c r="F399" s="93"/>
      <c r="G399" s="93"/>
      <c r="H399" s="50"/>
      <c r="I399" s="93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36.75" customHeight="1">
      <c r="A400" s="93"/>
      <c r="B400" s="93"/>
      <c r="C400" s="93"/>
      <c r="D400" s="93"/>
      <c r="E400" s="93"/>
      <c r="F400" s="93"/>
      <c r="G400" s="93"/>
      <c r="H400" s="50"/>
      <c r="I400" s="93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36.75" customHeight="1">
      <c r="A401" s="93"/>
      <c r="B401" s="93"/>
      <c r="C401" s="93"/>
      <c r="D401" s="93"/>
      <c r="E401" s="93"/>
      <c r="F401" s="93"/>
      <c r="G401" s="93"/>
      <c r="H401" s="50"/>
      <c r="I401" s="93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36.75" customHeight="1">
      <c r="A402" s="93"/>
      <c r="B402" s="93"/>
      <c r="C402" s="93"/>
      <c r="D402" s="93"/>
      <c r="E402" s="93"/>
      <c r="F402" s="93"/>
      <c r="G402" s="93"/>
      <c r="H402" s="50"/>
      <c r="I402" s="93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36.75" customHeight="1">
      <c r="A403" s="93"/>
      <c r="B403" s="93"/>
      <c r="C403" s="93"/>
      <c r="D403" s="93"/>
      <c r="E403" s="93"/>
      <c r="F403" s="93"/>
      <c r="G403" s="93"/>
      <c r="H403" s="50"/>
      <c r="I403" s="93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36.75" customHeight="1">
      <c r="A404" s="93"/>
      <c r="B404" s="93"/>
      <c r="C404" s="93"/>
      <c r="D404" s="93"/>
      <c r="E404" s="93"/>
      <c r="F404" s="93"/>
      <c r="G404" s="93"/>
      <c r="H404" s="50"/>
      <c r="I404" s="93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36.75" customHeight="1">
      <c r="A405" s="93"/>
      <c r="B405" s="93"/>
      <c r="C405" s="93"/>
      <c r="D405" s="93"/>
      <c r="E405" s="93"/>
      <c r="F405" s="93"/>
      <c r="G405" s="93"/>
      <c r="H405" s="50"/>
      <c r="I405" s="93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36.75" customHeight="1">
      <c r="A406" s="93"/>
      <c r="B406" s="93"/>
      <c r="C406" s="93"/>
      <c r="D406" s="93"/>
      <c r="E406" s="93"/>
      <c r="F406" s="93"/>
      <c r="G406" s="93"/>
      <c r="H406" s="50"/>
      <c r="I406" s="93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36.75" customHeight="1">
      <c r="A407" s="93"/>
      <c r="B407" s="93"/>
      <c r="C407" s="93"/>
      <c r="D407" s="93"/>
      <c r="E407" s="93"/>
      <c r="F407" s="93"/>
      <c r="G407" s="93"/>
      <c r="H407" s="50"/>
      <c r="I407" s="93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36.75" customHeight="1">
      <c r="A408" s="93"/>
      <c r="B408" s="93"/>
      <c r="C408" s="93"/>
      <c r="D408" s="93"/>
      <c r="E408" s="93"/>
      <c r="F408" s="93"/>
      <c r="G408" s="93"/>
      <c r="H408" s="50"/>
      <c r="I408" s="93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36.75" customHeight="1">
      <c r="A409" s="93"/>
      <c r="B409" s="93"/>
      <c r="C409" s="93"/>
      <c r="D409" s="93"/>
      <c r="E409" s="93"/>
      <c r="F409" s="93"/>
      <c r="G409" s="93"/>
      <c r="H409" s="50"/>
      <c r="I409" s="93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36.75" customHeight="1">
      <c r="A410" s="93"/>
      <c r="B410" s="93"/>
      <c r="C410" s="93"/>
      <c r="D410" s="93"/>
      <c r="E410" s="93"/>
      <c r="F410" s="93"/>
      <c r="G410" s="93"/>
      <c r="H410" s="50"/>
      <c r="I410" s="93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36.75" customHeight="1">
      <c r="A411" s="93"/>
      <c r="B411" s="93"/>
      <c r="C411" s="93"/>
      <c r="D411" s="93"/>
      <c r="E411" s="93"/>
      <c r="F411" s="93"/>
      <c r="G411" s="93"/>
      <c r="H411" s="50"/>
      <c r="I411" s="93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36.75" customHeight="1">
      <c r="A412" s="93"/>
      <c r="B412" s="93"/>
      <c r="C412" s="93"/>
      <c r="D412" s="93"/>
      <c r="E412" s="93"/>
      <c r="F412" s="93"/>
      <c r="G412" s="93"/>
      <c r="H412" s="50"/>
      <c r="I412" s="93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36.75" customHeight="1">
      <c r="A413" s="93"/>
      <c r="B413" s="93"/>
      <c r="C413" s="93"/>
      <c r="D413" s="93"/>
      <c r="E413" s="93"/>
      <c r="F413" s="93"/>
      <c r="G413" s="93"/>
      <c r="H413" s="50"/>
      <c r="I413" s="93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36.75" customHeight="1">
      <c r="A414" s="93"/>
      <c r="B414" s="93"/>
      <c r="C414" s="93"/>
      <c r="D414" s="93"/>
      <c r="E414" s="93"/>
      <c r="F414" s="93"/>
      <c r="G414" s="93"/>
      <c r="H414" s="50"/>
      <c r="I414" s="93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36.75" customHeight="1">
      <c r="A415" s="93"/>
      <c r="B415" s="93"/>
      <c r="C415" s="93"/>
      <c r="D415" s="93"/>
      <c r="E415" s="93"/>
      <c r="F415" s="93"/>
      <c r="G415" s="93"/>
      <c r="H415" s="50"/>
      <c r="I415" s="93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36.75" customHeight="1">
      <c r="A416" s="93"/>
      <c r="B416" s="93"/>
      <c r="C416" s="93"/>
      <c r="D416" s="93"/>
      <c r="E416" s="93"/>
      <c r="F416" s="93"/>
      <c r="G416" s="93"/>
      <c r="H416" s="50"/>
      <c r="I416" s="93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36.75" customHeight="1">
      <c r="A417" s="93"/>
      <c r="B417" s="93"/>
      <c r="C417" s="93"/>
      <c r="D417" s="93"/>
      <c r="E417" s="93"/>
      <c r="F417" s="93"/>
      <c r="G417" s="93"/>
      <c r="H417" s="50"/>
      <c r="I417" s="93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36.75" customHeight="1">
      <c r="A418" s="93"/>
      <c r="B418" s="93"/>
      <c r="C418" s="93"/>
      <c r="D418" s="93"/>
      <c r="E418" s="93"/>
      <c r="F418" s="93"/>
      <c r="G418" s="93"/>
      <c r="H418" s="50"/>
      <c r="I418" s="93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36.75" customHeight="1">
      <c r="A419" s="93"/>
      <c r="B419" s="93"/>
      <c r="C419" s="93"/>
      <c r="D419" s="93"/>
      <c r="E419" s="93"/>
      <c r="F419" s="93"/>
      <c r="G419" s="93"/>
      <c r="H419" s="50"/>
      <c r="I419" s="9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36.75" customHeight="1">
      <c r="A420" s="93"/>
      <c r="B420" s="93"/>
      <c r="C420" s="93"/>
      <c r="D420" s="93"/>
      <c r="E420" s="93"/>
      <c r="F420" s="93"/>
      <c r="G420" s="93"/>
      <c r="H420" s="50"/>
      <c r="I420" s="9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36.75" customHeight="1">
      <c r="A421" s="93"/>
      <c r="B421" s="93"/>
      <c r="C421" s="93"/>
      <c r="D421" s="93"/>
      <c r="E421" s="93"/>
      <c r="F421" s="93"/>
      <c r="G421" s="93"/>
      <c r="H421" s="50"/>
      <c r="I421" s="9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36.75" customHeight="1">
      <c r="A422" s="93"/>
      <c r="B422" s="93"/>
      <c r="C422" s="93"/>
      <c r="D422" s="93"/>
      <c r="E422" s="93"/>
      <c r="F422" s="93"/>
      <c r="G422" s="93"/>
      <c r="H422" s="50"/>
      <c r="I422" s="9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36.75" customHeight="1">
      <c r="A423" s="93"/>
      <c r="B423" s="93"/>
      <c r="C423" s="93"/>
      <c r="D423" s="93"/>
      <c r="E423" s="93"/>
      <c r="F423" s="93"/>
      <c r="G423" s="93"/>
      <c r="H423" s="50"/>
      <c r="I423" s="9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36.75" customHeight="1">
      <c r="A424" s="93"/>
      <c r="B424" s="93"/>
      <c r="C424" s="93"/>
      <c r="D424" s="93"/>
      <c r="E424" s="93"/>
      <c r="F424" s="93"/>
      <c r="G424" s="93"/>
      <c r="H424" s="50"/>
      <c r="I424" s="9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36.75" customHeight="1">
      <c r="A425" s="93"/>
      <c r="B425" s="93"/>
      <c r="C425" s="93"/>
      <c r="D425" s="93"/>
      <c r="E425" s="93"/>
      <c r="F425" s="93"/>
      <c r="G425" s="93"/>
      <c r="H425" s="50"/>
      <c r="I425" s="9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36.75" customHeight="1">
      <c r="A426" s="93"/>
      <c r="B426" s="93"/>
      <c r="C426" s="93"/>
      <c r="D426" s="93"/>
      <c r="E426" s="93"/>
      <c r="F426" s="93"/>
      <c r="G426" s="93"/>
      <c r="H426" s="50"/>
      <c r="I426" s="9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36.75" customHeight="1">
      <c r="A427" s="93"/>
      <c r="B427" s="93"/>
      <c r="C427" s="93"/>
      <c r="D427" s="93"/>
      <c r="E427" s="93"/>
      <c r="F427" s="93"/>
      <c r="G427" s="93"/>
      <c r="H427" s="50"/>
      <c r="I427" s="9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36.75" customHeight="1">
      <c r="A428" s="93"/>
      <c r="B428" s="93"/>
      <c r="C428" s="93"/>
      <c r="D428" s="93"/>
      <c r="E428" s="93"/>
      <c r="F428" s="93"/>
      <c r="G428" s="93"/>
      <c r="H428" s="50"/>
      <c r="I428" s="9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36.75" customHeight="1">
      <c r="A429" s="93"/>
      <c r="B429" s="93"/>
      <c r="C429" s="93"/>
      <c r="D429" s="93"/>
      <c r="E429" s="93"/>
      <c r="F429" s="93"/>
      <c r="G429" s="93"/>
      <c r="H429" s="50"/>
      <c r="I429" s="9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36.75" customHeight="1">
      <c r="A430" s="93"/>
      <c r="B430" s="93"/>
      <c r="C430" s="93"/>
      <c r="D430" s="93"/>
      <c r="E430" s="93"/>
      <c r="F430" s="93"/>
      <c r="G430" s="93"/>
      <c r="H430" s="50"/>
      <c r="I430" s="9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36.75" customHeight="1">
      <c r="A431" s="93"/>
      <c r="B431" s="93"/>
      <c r="C431" s="93"/>
      <c r="D431" s="93"/>
      <c r="E431" s="93"/>
      <c r="F431" s="93"/>
      <c r="G431" s="93"/>
      <c r="H431" s="50"/>
      <c r="I431" s="9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36.75" customHeight="1">
      <c r="A432" s="93"/>
      <c r="B432" s="93"/>
      <c r="C432" s="93"/>
      <c r="D432" s="93"/>
      <c r="E432" s="93"/>
      <c r="F432" s="93"/>
      <c r="G432" s="93"/>
      <c r="H432" s="50"/>
      <c r="I432" s="9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36.75" customHeight="1">
      <c r="A433" s="93"/>
      <c r="B433" s="93"/>
      <c r="C433" s="93"/>
      <c r="D433" s="93"/>
      <c r="E433" s="93"/>
      <c r="F433" s="93"/>
      <c r="G433" s="93"/>
      <c r="H433" s="50"/>
      <c r="I433" s="9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36.75" customHeight="1">
      <c r="A434" s="93"/>
      <c r="B434" s="93"/>
      <c r="C434" s="93"/>
      <c r="D434" s="93"/>
      <c r="E434" s="93"/>
      <c r="F434" s="93"/>
      <c r="G434" s="93"/>
      <c r="H434" s="50"/>
      <c r="I434" s="9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36.75" customHeight="1">
      <c r="A435" s="93"/>
      <c r="B435" s="93"/>
      <c r="C435" s="93"/>
      <c r="D435" s="93"/>
      <c r="E435" s="93"/>
      <c r="F435" s="93"/>
      <c r="G435" s="93"/>
      <c r="H435" s="50"/>
      <c r="I435" s="9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36.75" customHeight="1">
      <c r="A436" s="93"/>
      <c r="B436" s="93"/>
      <c r="C436" s="93"/>
      <c r="D436" s="93"/>
      <c r="E436" s="93"/>
      <c r="F436" s="93"/>
      <c r="G436" s="93"/>
      <c r="H436" s="50"/>
      <c r="I436" s="9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36.75" customHeight="1">
      <c r="A437" s="93"/>
      <c r="B437" s="93"/>
      <c r="C437" s="93"/>
      <c r="D437" s="93"/>
      <c r="E437" s="93"/>
      <c r="F437" s="93"/>
      <c r="G437" s="93"/>
      <c r="H437" s="50"/>
      <c r="I437" s="9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36.75" customHeight="1">
      <c r="A438" s="93"/>
      <c r="B438" s="93"/>
      <c r="C438" s="93"/>
      <c r="D438" s="93"/>
      <c r="E438" s="93"/>
      <c r="F438" s="93"/>
      <c r="G438" s="93"/>
      <c r="H438" s="50"/>
      <c r="I438" s="9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36.75" customHeight="1">
      <c r="A439" s="93"/>
      <c r="B439" s="93"/>
      <c r="C439" s="93"/>
      <c r="D439" s="93"/>
      <c r="E439" s="93"/>
      <c r="F439" s="93"/>
      <c r="G439" s="93"/>
      <c r="H439" s="50"/>
      <c r="I439" s="9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36.75" customHeight="1">
      <c r="A440" s="93"/>
      <c r="B440" s="93"/>
      <c r="C440" s="93"/>
      <c r="D440" s="93"/>
      <c r="E440" s="93"/>
      <c r="F440" s="93"/>
      <c r="G440" s="93"/>
      <c r="H440" s="50"/>
      <c r="I440" s="9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36.75" customHeight="1">
      <c r="A441" s="93"/>
      <c r="B441" s="93"/>
      <c r="C441" s="93"/>
      <c r="D441" s="93"/>
      <c r="E441" s="93"/>
      <c r="F441" s="93"/>
      <c r="G441" s="93"/>
      <c r="H441" s="50"/>
      <c r="I441" s="9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36.75" customHeight="1">
      <c r="A442" s="93"/>
      <c r="B442" s="93"/>
      <c r="C442" s="93"/>
      <c r="D442" s="93"/>
      <c r="E442" s="93"/>
      <c r="F442" s="93"/>
      <c r="G442" s="93"/>
      <c r="H442" s="50"/>
      <c r="I442" s="9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36.75" customHeight="1">
      <c r="A443" s="93"/>
      <c r="B443" s="93"/>
      <c r="C443" s="93"/>
      <c r="D443" s="93"/>
      <c r="E443" s="93"/>
      <c r="F443" s="93"/>
      <c r="G443" s="93"/>
      <c r="H443" s="50"/>
      <c r="I443" s="9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36.75" customHeight="1">
      <c r="A444" s="93"/>
      <c r="B444" s="93"/>
      <c r="C444" s="93"/>
      <c r="D444" s="93"/>
      <c r="E444" s="93"/>
      <c r="F444" s="93"/>
      <c r="G444" s="93"/>
      <c r="H444" s="50"/>
      <c r="I444" s="9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36.75" customHeight="1">
      <c r="A445" s="93"/>
      <c r="B445" s="93"/>
      <c r="C445" s="93"/>
      <c r="D445" s="93"/>
      <c r="E445" s="93"/>
      <c r="F445" s="93"/>
      <c r="G445" s="93"/>
      <c r="H445" s="50"/>
      <c r="I445" s="9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36.75" customHeight="1">
      <c r="A446" s="93"/>
      <c r="B446" s="93"/>
      <c r="C446" s="93"/>
      <c r="D446" s="93"/>
      <c r="E446" s="93"/>
      <c r="F446" s="93"/>
      <c r="G446" s="93"/>
      <c r="H446" s="50"/>
      <c r="I446" s="9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36.75" customHeight="1">
      <c r="A447" s="93"/>
      <c r="B447" s="93"/>
      <c r="C447" s="93"/>
      <c r="D447" s="93"/>
      <c r="E447" s="93"/>
      <c r="F447" s="93"/>
      <c r="G447" s="93"/>
      <c r="H447" s="50"/>
      <c r="I447" s="9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36.75" customHeight="1">
      <c r="A448" s="93"/>
      <c r="B448" s="93"/>
      <c r="C448" s="93"/>
      <c r="D448" s="93"/>
      <c r="E448" s="93"/>
      <c r="F448" s="93"/>
      <c r="G448" s="93"/>
      <c r="H448" s="50"/>
      <c r="I448" s="9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36.75" customHeight="1">
      <c r="A449" s="93"/>
      <c r="B449" s="93"/>
      <c r="C449" s="93"/>
      <c r="D449" s="93"/>
      <c r="E449" s="93"/>
      <c r="F449" s="93"/>
      <c r="G449" s="93"/>
      <c r="H449" s="50"/>
      <c r="I449" s="9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36.75" customHeight="1">
      <c r="A450" s="93"/>
      <c r="B450" s="93"/>
      <c r="C450" s="93"/>
      <c r="D450" s="93"/>
      <c r="E450" s="93"/>
      <c r="F450" s="93"/>
      <c r="G450" s="93"/>
      <c r="H450" s="50"/>
      <c r="I450" s="9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36.75" customHeight="1">
      <c r="A451" s="93"/>
      <c r="B451" s="93"/>
      <c r="C451" s="93"/>
      <c r="D451" s="93"/>
      <c r="E451" s="93"/>
      <c r="F451" s="93"/>
      <c r="G451" s="93"/>
      <c r="H451" s="50"/>
      <c r="I451" s="9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36.75" customHeight="1">
      <c r="A452" s="93"/>
      <c r="B452" s="93"/>
      <c r="C452" s="93"/>
      <c r="D452" s="93"/>
      <c r="E452" s="93"/>
      <c r="F452" s="93"/>
      <c r="G452" s="93"/>
      <c r="H452" s="50"/>
      <c r="I452" s="9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36.75" customHeight="1">
      <c r="A453" s="93"/>
      <c r="B453" s="93"/>
      <c r="C453" s="93"/>
      <c r="D453" s="93"/>
      <c r="E453" s="93"/>
      <c r="F453" s="93"/>
      <c r="G453" s="93"/>
      <c r="H453" s="50"/>
      <c r="I453" s="9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36.75" customHeight="1">
      <c r="A454" s="93"/>
      <c r="B454" s="93"/>
      <c r="C454" s="93"/>
      <c r="D454" s="93"/>
      <c r="E454" s="93"/>
      <c r="F454" s="93"/>
      <c r="G454" s="93"/>
      <c r="H454" s="50"/>
      <c r="I454" s="9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36.75" customHeight="1">
      <c r="A455" s="93"/>
      <c r="B455" s="93"/>
      <c r="C455" s="93"/>
      <c r="D455" s="93"/>
      <c r="E455" s="93"/>
      <c r="F455" s="93"/>
      <c r="G455" s="93"/>
      <c r="H455" s="50"/>
      <c r="I455" s="9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36.75" customHeight="1">
      <c r="A456" s="93"/>
      <c r="B456" s="93"/>
      <c r="C456" s="93"/>
      <c r="D456" s="93"/>
      <c r="E456" s="93"/>
      <c r="F456" s="93"/>
      <c r="G456" s="93"/>
      <c r="H456" s="50"/>
      <c r="I456" s="9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36.75" customHeight="1">
      <c r="A457" s="93"/>
      <c r="B457" s="93"/>
      <c r="C457" s="93"/>
      <c r="D457" s="93"/>
      <c r="E457" s="93"/>
      <c r="F457" s="93"/>
      <c r="G457" s="93"/>
      <c r="H457" s="50"/>
      <c r="I457" s="9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36.75" customHeight="1">
      <c r="A458" s="93"/>
      <c r="B458" s="93"/>
      <c r="C458" s="93"/>
      <c r="D458" s="93"/>
      <c r="E458" s="93"/>
      <c r="F458" s="93"/>
      <c r="G458" s="93"/>
      <c r="H458" s="50"/>
      <c r="I458" s="9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36.75" customHeight="1">
      <c r="A459" s="93"/>
      <c r="B459" s="93"/>
      <c r="C459" s="93"/>
      <c r="D459" s="93"/>
      <c r="E459" s="93"/>
      <c r="F459" s="93"/>
      <c r="G459" s="93"/>
      <c r="H459" s="50"/>
      <c r="I459" s="9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36.75" customHeight="1">
      <c r="A460" s="93"/>
      <c r="B460" s="93"/>
      <c r="C460" s="93"/>
      <c r="D460" s="93"/>
      <c r="E460" s="93"/>
      <c r="F460" s="93"/>
      <c r="G460" s="93"/>
      <c r="H460" s="50"/>
      <c r="I460" s="9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36.75" customHeight="1">
      <c r="A461" s="93"/>
      <c r="B461" s="93"/>
      <c r="C461" s="93"/>
      <c r="D461" s="93"/>
      <c r="E461" s="93"/>
      <c r="F461" s="93"/>
      <c r="G461" s="93"/>
      <c r="H461" s="50"/>
      <c r="I461" s="9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36.75" customHeight="1">
      <c r="A462" s="93"/>
      <c r="B462" s="93"/>
      <c r="C462" s="93"/>
      <c r="D462" s="93"/>
      <c r="E462" s="93"/>
      <c r="F462" s="93"/>
      <c r="G462" s="93"/>
      <c r="H462" s="50"/>
      <c r="I462" s="9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36.75" customHeight="1">
      <c r="A463" s="93"/>
      <c r="B463" s="93"/>
      <c r="C463" s="93"/>
      <c r="D463" s="93"/>
      <c r="E463" s="93"/>
      <c r="F463" s="93"/>
      <c r="G463" s="93"/>
      <c r="H463" s="50"/>
      <c r="I463" s="9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36.75" customHeight="1">
      <c r="A464" s="93"/>
      <c r="B464" s="93"/>
      <c r="C464" s="93"/>
      <c r="D464" s="93"/>
      <c r="E464" s="93"/>
      <c r="F464" s="93"/>
      <c r="G464" s="93"/>
      <c r="H464" s="50"/>
      <c r="I464" s="9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36.75" customHeight="1">
      <c r="A465" s="93"/>
      <c r="B465" s="93"/>
      <c r="C465" s="93"/>
      <c r="D465" s="93"/>
      <c r="E465" s="93"/>
      <c r="F465" s="93"/>
      <c r="G465" s="93"/>
      <c r="H465" s="50"/>
      <c r="I465" s="9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36.75" customHeight="1">
      <c r="A466" s="93"/>
      <c r="B466" s="93"/>
      <c r="C466" s="93"/>
      <c r="D466" s="93"/>
      <c r="E466" s="93"/>
      <c r="F466" s="93"/>
      <c r="G466" s="93"/>
      <c r="H466" s="50"/>
      <c r="I466" s="9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36.75" customHeight="1">
      <c r="A467" s="93"/>
      <c r="B467" s="93"/>
      <c r="C467" s="93"/>
      <c r="D467" s="93"/>
      <c r="E467" s="93"/>
      <c r="F467" s="93"/>
      <c r="G467" s="93"/>
      <c r="H467" s="50"/>
      <c r="I467" s="9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36.75" customHeight="1">
      <c r="A468" s="93"/>
      <c r="B468" s="93"/>
      <c r="C468" s="93"/>
      <c r="D468" s="93"/>
      <c r="E468" s="93"/>
      <c r="F468" s="93"/>
      <c r="G468" s="93"/>
      <c r="H468" s="50"/>
      <c r="I468" s="9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36.75" customHeight="1">
      <c r="A469" s="93"/>
      <c r="B469" s="93"/>
      <c r="C469" s="93"/>
      <c r="D469" s="93"/>
      <c r="E469" s="93"/>
      <c r="F469" s="93"/>
      <c r="G469" s="93"/>
      <c r="H469" s="50"/>
      <c r="I469" s="9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36.75" customHeight="1">
      <c r="A470" s="93"/>
      <c r="B470" s="93"/>
      <c r="C470" s="93"/>
      <c r="D470" s="93"/>
      <c r="E470" s="93"/>
      <c r="F470" s="93"/>
      <c r="G470" s="93"/>
      <c r="H470" s="50"/>
      <c r="I470" s="9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36.75" customHeight="1">
      <c r="A471" s="93"/>
      <c r="B471" s="93"/>
      <c r="C471" s="93"/>
      <c r="D471" s="93"/>
      <c r="E471" s="93"/>
      <c r="F471" s="93"/>
      <c r="G471" s="93"/>
      <c r="H471" s="50"/>
      <c r="I471" s="9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36.75" customHeight="1">
      <c r="A472" s="93"/>
      <c r="B472" s="93"/>
      <c r="C472" s="93"/>
      <c r="D472" s="93"/>
      <c r="E472" s="93"/>
      <c r="F472" s="93"/>
      <c r="G472" s="93"/>
      <c r="H472" s="50"/>
      <c r="I472" s="9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36.75" customHeight="1">
      <c r="A473" s="93"/>
      <c r="B473" s="93"/>
      <c r="C473" s="93"/>
      <c r="D473" s="93"/>
      <c r="E473" s="93"/>
      <c r="F473" s="93"/>
      <c r="G473" s="93"/>
      <c r="H473" s="50"/>
      <c r="I473" s="9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36.75" customHeight="1">
      <c r="A474" s="93"/>
      <c r="B474" s="93"/>
      <c r="C474" s="93"/>
      <c r="D474" s="93"/>
      <c r="E474" s="93"/>
      <c r="F474" s="93"/>
      <c r="G474" s="93"/>
      <c r="H474" s="50"/>
      <c r="I474" s="9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36.75" customHeight="1">
      <c r="A475" s="93"/>
      <c r="B475" s="93"/>
      <c r="C475" s="93"/>
      <c r="D475" s="93"/>
      <c r="E475" s="93"/>
      <c r="F475" s="93"/>
      <c r="G475" s="93"/>
      <c r="H475" s="50"/>
      <c r="I475" s="9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36.75" customHeight="1">
      <c r="A476" s="93"/>
      <c r="B476" s="93"/>
      <c r="C476" s="93"/>
      <c r="D476" s="93"/>
      <c r="E476" s="93"/>
      <c r="F476" s="93"/>
      <c r="G476" s="93"/>
      <c r="H476" s="50"/>
      <c r="I476" s="9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36.75" customHeight="1">
      <c r="A477" s="93"/>
      <c r="B477" s="93"/>
      <c r="C477" s="93"/>
      <c r="D477" s="93"/>
      <c r="E477" s="93"/>
      <c r="F477" s="93"/>
      <c r="G477" s="93"/>
      <c r="H477" s="50"/>
      <c r="I477" s="9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36.75" customHeight="1">
      <c r="A478" s="93"/>
      <c r="B478" s="93"/>
      <c r="C478" s="93"/>
      <c r="D478" s="93"/>
      <c r="E478" s="93"/>
      <c r="F478" s="93"/>
      <c r="G478" s="93"/>
      <c r="H478" s="50"/>
      <c r="I478" s="9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36.75" customHeight="1">
      <c r="A479" s="93"/>
      <c r="B479" s="93"/>
      <c r="C479" s="93"/>
      <c r="D479" s="93"/>
      <c r="E479" s="93"/>
      <c r="F479" s="93"/>
      <c r="G479" s="93"/>
      <c r="H479" s="50"/>
      <c r="I479" s="9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36.75" customHeight="1">
      <c r="A480" s="93"/>
      <c r="B480" s="93"/>
      <c r="C480" s="93"/>
      <c r="D480" s="93"/>
      <c r="E480" s="93"/>
      <c r="F480" s="93"/>
      <c r="G480" s="93"/>
      <c r="H480" s="50"/>
      <c r="I480" s="9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36.75" customHeight="1">
      <c r="A481" s="93"/>
      <c r="B481" s="93"/>
      <c r="C481" s="93"/>
      <c r="D481" s="93"/>
      <c r="E481" s="93"/>
      <c r="F481" s="93"/>
      <c r="G481" s="93"/>
      <c r="H481" s="50"/>
      <c r="I481" s="9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36.75" customHeight="1">
      <c r="A482" s="93"/>
      <c r="B482" s="93"/>
      <c r="C482" s="93"/>
      <c r="D482" s="93"/>
      <c r="E482" s="93"/>
      <c r="F482" s="93"/>
      <c r="G482" s="93"/>
      <c r="H482" s="50"/>
      <c r="I482" s="9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36.75" customHeight="1">
      <c r="A483" s="93"/>
      <c r="B483" s="93"/>
      <c r="C483" s="93"/>
      <c r="D483" s="93"/>
      <c r="E483" s="93"/>
      <c r="F483" s="93"/>
      <c r="G483" s="93"/>
      <c r="H483" s="50"/>
      <c r="I483" s="9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36.75" customHeight="1">
      <c r="A484" s="93"/>
      <c r="B484" s="93"/>
      <c r="C484" s="93"/>
      <c r="D484" s="93"/>
      <c r="E484" s="93"/>
      <c r="F484" s="93"/>
      <c r="G484" s="93"/>
      <c r="H484" s="50"/>
      <c r="I484" s="9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36.75" customHeight="1">
      <c r="A485" s="93"/>
      <c r="B485" s="93"/>
      <c r="C485" s="93"/>
      <c r="D485" s="93"/>
      <c r="E485" s="93"/>
      <c r="F485" s="93"/>
      <c r="G485" s="93"/>
      <c r="H485" s="50"/>
      <c r="I485" s="9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36.75" customHeight="1">
      <c r="A486" s="93"/>
      <c r="B486" s="93"/>
      <c r="C486" s="93"/>
      <c r="D486" s="93"/>
      <c r="E486" s="93"/>
      <c r="F486" s="93"/>
      <c r="G486" s="93"/>
      <c r="H486" s="50"/>
      <c r="I486" s="9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36.75" customHeight="1">
      <c r="A487" s="93"/>
      <c r="B487" s="93"/>
      <c r="C487" s="93"/>
      <c r="D487" s="93"/>
      <c r="E487" s="93"/>
      <c r="F487" s="93"/>
      <c r="G487" s="93"/>
      <c r="H487" s="50"/>
      <c r="I487" s="9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36.75" customHeight="1">
      <c r="A488" s="93"/>
      <c r="B488" s="93"/>
      <c r="C488" s="93"/>
      <c r="D488" s="93"/>
      <c r="E488" s="93"/>
      <c r="F488" s="93"/>
      <c r="G488" s="93"/>
      <c r="H488" s="50"/>
      <c r="I488" s="9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36.75" customHeight="1">
      <c r="A489" s="93"/>
      <c r="B489" s="93"/>
      <c r="C489" s="93"/>
      <c r="D489" s="93"/>
      <c r="E489" s="93"/>
      <c r="F489" s="93"/>
      <c r="G489" s="93"/>
      <c r="H489" s="50"/>
      <c r="I489" s="9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36.75" customHeight="1">
      <c r="A490" s="93"/>
      <c r="B490" s="93"/>
      <c r="C490" s="93"/>
      <c r="D490" s="93"/>
      <c r="E490" s="93"/>
      <c r="F490" s="93"/>
      <c r="G490" s="93"/>
      <c r="H490" s="50"/>
      <c r="I490" s="9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36.75" customHeight="1">
      <c r="A491" s="93"/>
      <c r="B491" s="93"/>
      <c r="C491" s="93"/>
      <c r="D491" s="93"/>
      <c r="E491" s="93"/>
      <c r="F491" s="93"/>
      <c r="G491" s="93"/>
      <c r="H491" s="50"/>
      <c r="I491" s="9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36.75" customHeight="1">
      <c r="A492" s="93"/>
      <c r="B492" s="93"/>
      <c r="C492" s="93"/>
      <c r="D492" s="93"/>
      <c r="E492" s="93"/>
      <c r="F492" s="93"/>
      <c r="G492" s="93"/>
      <c r="H492" s="50"/>
      <c r="I492" s="9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36.75" customHeight="1">
      <c r="A493" s="93"/>
      <c r="B493" s="93"/>
      <c r="C493" s="93"/>
      <c r="D493" s="93"/>
      <c r="E493" s="93"/>
      <c r="F493" s="93"/>
      <c r="G493" s="93"/>
      <c r="H493" s="50"/>
      <c r="I493" s="9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36.75" customHeight="1">
      <c r="A494" s="93"/>
      <c r="B494" s="93"/>
      <c r="C494" s="93"/>
      <c r="D494" s="93"/>
      <c r="E494" s="93"/>
      <c r="F494" s="93"/>
      <c r="G494" s="93"/>
      <c r="H494" s="50"/>
      <c r="I494" s="9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36.75" customHeight="1">
      <c r="A495" s="93"/>
      <c r="B495" s="93"/>
      <c r="C495" s="93"/>
      <c r="D495" s="93"/>
      <c r="E495" s="93"/>
      <c r="F495" s="93"/>
      <c r="G495" s="93"/>
      <c r="H495" s="50"/>
      <c r="I495" s="9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36.75" customHeight="1">
      <c r="A496" s="93"/>
      <c r="B496" s="93"/>
      <c r="C496" s="93"/>
      <c r="D496" s="93"/>
      <c r="E496" s="93"/>
      <c r="F496" s="93"/>
      <c r="G496" s="93"/>
      <c r="H496" s="50"/>
      <c r="I496" s="9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36.75" customHeight="1">
      <c r="A497" s="93"/>
      <c r="B497" s="93"/>
      <c r="C497" s="93"/>
      <c r="D497" s="93"/>
      <c r="E497" s="93"/>
      <c r="F497" s="93"/>
      <c r="G497" s="93"/>
      <c r="H497" s="50"/>
      <c r="I497" s="9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36.75" customHeight="1">
      <c r="A498" s="93"/>
      <c r="B498" s="93"/>
      <c r="C498" s="93"/>
      <c r="D498" s="93"/>
      <c r="E498" s="93"/>
      <c r="F498" s="93"/>
      <c r="G498" s="93"/>
      <c r="H498" s="50"/>
      <c r="I498" s="9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36.75" customHeight="1">
      <c r="A499" s="93"/>
      <c r="B499" s="93"/>
      <c r="C499" s="93"/>
      <c r="D499" s="93"/>
      <c r="E499" s="93"/>
      <c r="F499" s="93"/>
      <c r="G499" s="93"/>
      <c r="H499" s="50"/>
      <c r="I499" s="9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36.75" customHeight="1">
      <c r="A500" s="93"/>
      <c r="B500" s="93"/>
      <c r="C500" s="93"/>
      <c r="D500" s="93"/>
      <c r="E500" s="93"/>
      <c r="F500" s="93"/>
      <c r="G500" s="93"/>
      <c r="H500" s="50"/>
      <c r="I500" s="9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36.75" customHeight="1">
      <c r="A501" s="93"/>
      <c r="B501" s="93"/>
      <c r="C501" s="93"/>
      <c r="D501" s="93"/>
      <c r="E501" s="93"/>
      <c r="F501" s="93"/>
      <c r="G501" s="93"/>
      <c r="H501" s="50"/>
      <c r="I501" s="9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36.75" customHeight="1">
      <c r="A502" s="93"/>
      <c r="B502" s="93"/>
      <c r="C502" s="93"/>
      <c r="D502" s="93"/>
      <c r="E502" s="93"/>
      <c r="F502" s="93"/>
      <c r="G502" s="93"/>
      <c r="H502" s="50"/>
      <c r="I502" s="9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36.75" customHeight="1">
      <c r="A503" s="93"/>
      <c r="B503" s="93"/>
      <c r="C503" s="93"/>
      <c r="D503" s="93"/>
      <c r="E503" s="93"/>
      <c r="F503" s="93"/>
      <c r="G503" s="93"/>
      <c r="H503" s="50"/>
      <c r="I503" s="9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36.75" customHeight="1">
      <c r="A504" s="93"/>
      <c r="B504" s="93"/>
      <c r="C504" s="93"/>
      <c r="D504" s="93"/>
      <c r="E504" s="93"/>
      <c r="F504" s="93"/>
      <c r="G504" s="93"/>
      <c r="H504" s="50"/>
      <c r="I504" s="9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36.75" customHeight="1">
      <c r="A505" s="93"/>
      <c r="B505" s="93"/>
      <c r="C505" s="93"/>
      <c r="D505" s="93"/>
      <c r="E505" s="93"/>
      <c r="F505" s="93"/>
      <c r="G505" s="93"/>
      <c r="H505" s="50"/>
      <c r="I505" s="9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36.75" customHeight="1">
      <c r="A506" s="93"/>
      <c r="B506" s="93"/>
      <c r="C506" s="93"/>
      <c r="D506" s="93"/>
      <c r="E506" s="93"/>
      <c r="F506" s="93"/>
      <c r="G506" s="93"/>
      <c r="H506" s="50"/>
      <c r="I506" s="9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36.75" customHeight="1">
      <c r="A507" s="93"/>
      <c r="B507" s="93"/>
      <c r="C507" s="93"/>
      <c r="D507" s="93"/>
      <c r="E507" s="93"/>
      <c r="F507" s="93"/>
      <c r="G507" s="93"/>
      <c r="H507" s="50"/>
      <c r="I507" s="9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36.75" customHeight="1">
      <c r="A508" s="93"/>
      <c r="B508" s="93"/>
      <c r="C508" s="93"/>
      <c r="D508" s="93"/>
      <c r="E508" s="93"/>
      <c r="F508" s="93"/>
      <c r="G508" s="93"/>
      <c r="H508" s="50"/>
      <c r="I508" s="9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36.75" customHeight="1">
      <c r="A509" s="93"/>
      <c r="B509" s="93"/>
      <c r="C509" s="93"/>
      <c r="D509" s="93"/>
      <c r="E509" s="93"/>
      <c r="F509" s="93"/>
      <c r="G509" s="93"/>
      <c r="H509" s="50"/>
      <c r="I509" s="9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36.75" customHeight="1">
      <c r="A510" s="93"/>
      <c r="B510" s="93"/>
      <c r="C510" s="93"/>
      <c r="D510" s="93"/>
      <c r="E510" s="93"/>
      <c r="F510" s="93"/>
      <c r="G510" s="93"/>
      <c r="H510" s="50"/>
      <c r="I510" s="9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36.75" customHeight="1">
      <c r="A511" s="93"/>
      <c r="B511" s="93"/>
      <c r="C511" s="93"/>
      <c r="D511" s="93"/>
      <c r="E511" s="93"/>
      <c r="F511" s="93"/>
      <c r="G511" s="93"/>
      <c r="H511" s="50"/>
      <c r="I511" s="9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36.75" customHeight="1">
      <c r="A512" s="93"/>
      <c r="B512" s="93"/>
      <c r="C512" s="93"/>
      <c r="D512" s="93"/>
      <c r="E512" s="93"/>
      <c r="F512" s="93"/>
      <c r="G512" s="93"/>
      <c r="H512" s="50"/>
      <c r="I512" s="9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36.75" customHeight="1">
      <c r="A513" s="93"/>
      <c r="B513" s="93"/>
      <c r="C513" s="93"/>
      <c r="D513" s="93"/>
      <c r="E513" s="93"/>
      <c r="F513" s="93"/>
      <c r="G513" s="93"/>
      <c r="H513" s="50"/>
      <c r="I513" s="9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36.75" customHeight="1">
      <c r="A514" s="93"/>
      <c r="B514" s="93"/>
      <c r="C514" s="93"/>
      <c r="D514" s="93"/>
      <c r="E514" s="93"/>
      <c r="F514" s="93"/>
      <c r="G514" s="93"/>
      <c r="H514" s="50"/>
      <c r="I514" s="9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36.75" customHeight="1">
      <c r="A515" s="93"/>
      <c r="B515" s="93"/>
      <c r="C515" s="93"/>
      <c r="D515" s="93"/>
      <c r="E515" s="93"/>
      <c r="F515" s="93"/>
      <c r="G515" s="93"/>
      <c r="H515" s="50"/>
      <c r="I515" s="9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36.75" customHeight="1">
      <c r="A516" s="93"/>
      <c r="B516" s="93"/>
      <c r="C516" s="93"/>
      <c r="D516" s="93"/>
      <c r="E516" s="93"/>
      <c r="F516" s="93"/>
      <c r="G516" s="93"/>
      <c r="H516" s="50"/>
      <c r="I516" s="9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36.75" customHeight="1">
      <c r="A517" s="93"/>
      <c r="B517" s="93"/>
      <c r="C517" s="93"/>
      <c r="D517" s="93"/>
      <c r="E517" s="93"/>
      <c r="F517" s="93"/>
      <c r="G517" s="93"/>
      <c r="H517" s="50"/>
      <c r="I517" s="9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36.75" customHeight="1">
      <c r="A518" s="93"/>
      <c r="B518" s="93"/>
      <c r="C518" s="93"/>
      <c r="D518" s="93"/>
      <c r="E518" s="93"/>
      <c r="F518" s="93"/>
      <c r="G518" s="93"/>
      <c r="H518" s="50"/>
      <c r="I518" s="9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36.75" customHeight="1">
      <c r="A519" s="93"/>
      <c r="B519" s="93"/>
      <c r="C519" s="93"/>
      <c r="D519" s="93"/>
      <c r="E519" s="93"/>
      <c r="F519" s="93"/>
      <c r="G519" s="93"/>
      <c r="H519" s="50"/>
      <c r="I519" s="9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36.75" customHeight="1">
      <c r="A520" s="93"/>
      <c r="B520" s="93"/>
      <c r="C520" s="93"/>
      <c r="D520" s="93"/>
      <c r="E520" s="93"/>
      <c r="F520" s="93"/>
      <c r="G520" s="93"/>
      <c r="H520" s="50"/>
      <c r="I520" s="9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36.75" customHeight="1">
      <c r="A521" s="93"/>
      <c r="B521" s="93"/>
      <c r="C521" s="93"/>
      <c r="D521" s="93"/>
      <c r="E521" s="93"/>
      <c r="F521" s="93"/>
      <c r="G521" s="93"/>
      <c r="H521" s="50"/>
      <c r="I521" s="9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36.75" customHeight="1">
      <c r="A522" s="93"/>
      <c r="B522" s="93"/>
      <c r="C522" s="93"/>
      <c r="D522" s="93"/>
      <c r="E522" s="93"/>
      <c r="F522" s="93"/>
      <c r="G522" s="93"/>
      <c r="H522" s="50"/>
      <c r="I522" s="9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36.75" customHeight="1">
      <c r="A523" s="93"/>
      <c r="B523" s="93"/>
      <c r="C523" s="93"/>
      <c r="D523" s="93"/>
      <c r="E523" s="93"/>
      <c r="F523" s="93"/>
      <c r="G523" s="93"/>
      <c r="H523" s="50"/>
      <c r="I523" s="9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36.75" customHeight="1">
      <c r="A524" s="93"/>
      <c r="B524" s="93"/>
      <c r="C524" s="93"/>
      <c r="D524" s="93"/>
      <c r="E524" s="93"/>
      <c r="F524" s="93"/>
      <c r="G524" s="93"/>
      <c r="H524" s="50"/>
      <c r="I524" s="9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36.75" customHeight="1">
      <c r="A525" s="93"/>
      <c r="B525" s="93"/>
      <c r="C525" s="93"/>
      <c r="D525" s="93"/>
      <c r="E525" s="93"/>
      <c r="F525" s="93"/>
      <c r="G525" s="93"/>
      <c r="H525" s="50"/>
      <c r="I525" s="9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36.75" customHeight="1">
      <c r="A526" s="93"/>
      <c r="B526" s="93"/>
      <c r="C526" s="93"/>
      <c r="D526" s="93"/>
      <c r="E526" s="93"/>
      <c r="F526" s="93"/>
      <c r="G526" s="93"/>
      <c r="H526" s="50"/>
      <c r="I526" s="9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36.75" customHeight="1">
      <c r="A527" s="93"/>
      <c r="B527" s="93"/>
      <c r="C527" s="93"/>
      <c r="D527" s="93"/>
      <c r="E527" s="93"/>
      <c r="F527" s="93"/>
      <c r="G527" s="93"/>
      <c r="H527" s="50"/>
      <c r="I527" s="9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36.75" customHeight="1">
      <c r="A528" s="93"/>
      <c r="B528" s="93"/>
      <c r="C528" s="93"/>
      <c r="D528" s="93"/>
      <c r="E528" s="93"/>
      <c r="F528" s="93"/>
      <c r="G528" s="93"/>
      <c r="H528" s="50"/>
      <c r="I528" s="9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36.75" customHeight="1">
      <c r="A529" s="93"/>
      <c r="B529" s="93"/>
      <c r="C529" s="93"/>
      <c r="D529" s="93"/>
      <c r="E529" s="93"/>
      <c r="F529" s="93"/>
      <c r="G529" s="93"/>
      <c r="H529" s="50"/>
      <c r="I529" s="9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36.75" customHeight="1">
      <c r="A530" s="93"/>
      <c r="B530" s="93"/>
      <c r="C530" s="93"/>
      <c r="D530" s="93"/>
      <c r="E530" s="93"/>
      <c r="F530" s="93"/>
      <c r="G530" s="93"/>
      <c r="H530" s="50"/>
      <c r="I530" s="9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36.75" customHeight="1">
      <c r="A531" s="93"/>
      <c r="B531" s="93"/>
      <c r="C531" s="93"/>
      <c r="D531" s="93"/>
      <c r="E531" s="93"/>
      <c r="F531" s="93"/>
      <c r="G531" s="93"/>
      <c r="H531" s="50"/>
      <c r="I531" s="9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36.75" customHeight="1">
      <c r="A532" s="93"/>
      <c r="B532" s="93"/>
      <c r="C532" s="93"/>
      <c r="D532" s="93"/>
      <c r="E532" s="93"/>
      <c r="F532" s="93"/>
      <c r="G532" s="93"/>
      <c r="H532" s="50"/>
      <c r="I532" s="9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36.75" customHeight="1">
      <c r="A533" s="93"/>
      <c r="B533" s="93"/>
      <c r="C533" s="93"/>
      <c r="D533" s="93"/>
      <c r="E533" s="93"/>
      <c r="F533" s="93"/>
      <c r="G533" s="93"/>
      <c r="H533" s="50"/>
      <c r="I533" s="9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36.75" customHeight="1">
      <c r="A534" s="93"/>
      <c r="B534" s="93"/>
      <c r="C534" s="93"/>
      <c r="D534" s="93"/>
      <c r="E534" s="93"/>
      <c r="F534" s="93"/>
      <c r="G534" s="93"/>
      <c r="H534" s="50"/>
      <c r="I534" s="9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36.75" customHeight="1">
      <c r="A535" s="93"/>
      <c r="B535" s="93"/>
      <c r="C535" s="93"/>
      <c r="D535" s="93"/>
      <c r="E535" s="93"/>
      <c r="F535" s="93"/>
      <c r="G535" s="93"/>
      <c r="H535" s="50"/>
      <c r="I535" s="9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36.75" customHeight="1">
      <c r="A536" s="93"/>
      <c r="B536" s="93"/>
      <c r="C536" s="93"/>
      <c r="D536" s="93"/>
      <c r="E536" s="93"/>
      <c r="F536" s="93"/>
      <c r="G536" s="93"/>
      <c r="H536" s="50"/>
      <c r="I536" s="9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36.75" customHeight="1">
      <c r="A537" s="93"/>
      <c r="B537" s="93"/>
      <c r="C537" s="93"/>
      <c r="D537" s="93"/>
      <c r="E537" s="93"/>
      <c r="F537" s="93"/>
      <c r="G537" s="93"/>
      <c r="H537" s="50"/>
      <c r="I537" s="9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36.75" customHeight="1">
      <c r="A538" s="93"/>
      <c r="B538" s="93"/>
      <c r="C538" s="93"/>
      <c r="D538" s="93"/>
      <c r="E538" s="93"/>
      <c r="F538" s="93"/>
      <c r="G538" s="93"/>
      <c r="H538" s="50"/>
      <c r="I538" s="9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36.75" customHeight="1">
      <c r="A539" s="93"/>
      <c r="B539" s="93"/>
      <c r="C539" s="93"/>
      <c r="D539" s="93"/>
      <c r="E539" s="93"/>
      <c r="F539" s="93"/>
      <c r="G539" s="93"/>
      <c r="H539" s="50"/>
      <c r="I539" s="9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36.75" customHeight="1">
      <c r="A540" s="93"/>
      <c r="B540" s="93"/>
      <c r="C540" s="93"/>
      <c r="D540" s="93"/>
      <c r="E540" s="93"/>
      <c r="F540" s="93"/>
      <c r="G540" s="93"/>
      <c r="H540" s="50"/>
      <c r="I540" s="9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36.75" customHeight="1">
      <c r="A541" s="93"/>
      <c r="B541" s="93"/>
      <c r="C541" s="93"/>
      <c r="D541" s="93"/>
      <c r="E541" s="93"/>
      <c r="F541" s="93"/>
      <c r="G541" s="93"/>
      <c r="H541" s="50"/>
      <c r="I541" s="9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36.75" customHeight="1">
      <c r="A542" s="93"/>
      <c r="B542" s="93"/>
      <c r="C542" s="93"/>
      <c r="D542" s="93"/>
      <c r="E542" s="93"/>
      <c r="F542" s="93"/>
      <c r="G542" s="93"/>
      <c r="H542" s="50"/>
      <c r="I542" s="9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36.75" customHeight="1">
      <c r="A543" s="93"/>
      <c r="B543" s="93"/>
      <c r="C543" s="93"/>
      <c r="D543" s="93"/>
      <c r="E543" s="93"/>
      <c r="F543" s="93"/>
      <c r="G543" s="93"/>
      <c r="H543" s="50"/>
      <c r="I543" s="9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36.75" customHeight="1">
      <c r="A544" s="93"/>
      <c r="B544" s="93"/>
      <c r="C544" s="93"/>
      <c r="D544" s="93"/>
      <c r="E544" s="93"/>
      <c r="F544" s="93"/>
      <c r="G544" s="93"/>
      <c r="H544" s="50"/>
      <c r="I544" s="9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36.75" customHeight="1">
      <c r="A545" s="93"/>
      <c r="B545" s="93"/>
      <c r="C545" s="93"/>
      <c r="D545" s="93"/>
      <c r="E545" s="93"/>
      <c r="F545" s="93"/>
      <c r="G545" s="93"/>
      <c r="H545" s="50"/>
      <c r="I545" s="9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36.75" customHeight="1">
      <c r="A546" s="93"/>
      <c r="B546" s="93"/>
      <c r="C546" s="93"/>
      <c r="D546" s="93"/>
      <c r="E546" s="93"/>
      <c r="F546" s="93"/>
      <c r="G546" s="93"/>
      <c r="H546" s="50"/>
      <c r="I546" s="9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36.75" customHeight="1">
      <c r="A547" s="93"/>
      <c r="B547" s="93"/>
      <c r="C547" s="93"/>
      <c r="D547" s="93"/>
      <c r="E547" s="93"/>
      <c r="F547" s="93"/>
      <c r="G547" s="93"/>
      <c r="H547" s="50"/>
      <c r="I547" s="9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36.75" customHeight="1">
      <c r="A548" s="93"/>
      <c r="B548" s="93"/>
      <c r="C548" s="93"/>
      <c r="D548" s="93"/>
      <c r="E548" s="93"/>
      <c r="F548" s="93"/>
      <c r="G548" s="93"/>
      <c r="H548" s="50"/>
      <c r="I548" s="9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36.75" customHeight="1">
      <c r="A549" s="93"/>
      <c r="B549" s="93"/>
      <c r="C549" s="93"/>
      <c r="D549" s="93"/>
      <c r="E549" s="93"/>
      <c r="F549" s="93"/>
      <c r="G549" s="93"/>
      <c r="H549" s="50"/>
      <c r="I549" s="9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36.75" customHeight="1">
      <c r="A550" s="93"/>
      <c r="B550" s="93"/>
      <c r="C550" s="93"/>
      <c r="D550" s="93"/>
      <c r="E550" s="93"/>
      <c r="F550" s="93"/>
      <c r="G550" s="93"/>
      <c r="H550" s="50"/>
      <c r="I550" s="9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36.75" customHeight="1">
      <c r="A551" s="93"/>
      <c r="B551" s="93"/>
      <c r="C551" s="93"/>
      <c r="D551" s="93"/>
      <c r="E551" s="93"/>
      <c r="F551" s="93"/>
      <c r="G551" s="93"/>
      <c r="H551" s="50"/>
      <c r="I551" s="9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36.75" customHeight="1">
      <c r="A552" s="93"/>
      <c r="B552" s="93"/>
      <c r="C552" s="93"/>
      <c r="D552" s="93"/>
      <c r="E552" s="93"/>
      <c r="F552" s="93"/>
      <c r="G552" s="93"/>
      <c r="H552" s="50"/>
      <c r="I552" s="9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36.75" customHeight="1">
      <c r="A553" s="93"/>
      <c r="B553" s="93"/>
      <c r="C553" s="93"/>
      <c r="D553" s="93"/>
      <c r="E553" s="93"/>
      <c r="F553" s="93"/>
      <c r="G553" s="93"/>
      <c r="H553" s="50"/>
      <c r="I553" s="9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36.75" customHeight="1">
      <c r="A554" s="93"/>
      <c r="B554" s="93"/>
      <c r="C554" s="93"/>
      <c r="D554" s="93"/>
      <c r="E554" s="93"/>
      <c r="F554" s="93"/>
      <c r="G554" s="93"/>
      <c r="H554" s="50"/>
      <c r="I554" s="9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36.75" customHeight="1">
      <c r="A555" s="93"/>
      <c r="B555" s="93"/>
      <c r="C555" s="93"/>
      <c r="D555" s="93"/>
      <c r="E555" s="93"/>
      <c r="F555" s="93"/>
      <c r="G555" s="93"/>
      <c r="H555" s="50"/>
      <c r="I555" s="9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36.75" customHeight="1">
      <c r="A556" s="93"/>
      <c r="B556" s="93"/>
      <c r="C556" s="93"/>
      <c r="D556" s="93"/>
      <c r="E556" s="93"/>
      <c r="F556" s="93"/>
      <c r="G556" s="93"/>
      <c r="H556" s="50"/>
      <c r="I556" s="9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36.75" customHeight="1">
      <c r="A557" s="93"/>
      <c r="B557" s="93"/>
      <c r="C557" s="93"/>
      <c r="D557" s="93"/>
      <c r="E557" s="93"/>
      <c r="F557" s="93"/>
      <c r="G557" s="93"/>
      <c r="H557" s="50"/>
      <c r="I557" s="9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36.75" customHeight="1">
      <c r="A558" s="93"/>
      <c r="B558" s="93"/>
      <c r="C558" s="93"/>
      <c r="D558" s="93"/>
      <c r="E558" s="93"/>
      <c r="F558" s="93"/>
      <c r="G558" s="93"/>
      <c r="H558" s="50"/>
      <c r="I558" s="9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36.75" customHeight="1">
      <c r="A559" s="93"/>
      <c r="B559" s="93"/>
      <c r="C559" s="93"/>
      <c r="D559" s="93"/>
      <c r="E559" s="93"/>
      <c r="F559" s="93"/>
      <c r="G559" s="93"/>
      <c r="H559" s="50"/>
      <c r="I559" s="9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36.75" customHeight="1">
      <c r="A560" s="93"/>
      <c r="B560" s="93"/>
      <c r="C560" s="93"/>
      <c r="D560" s="93"/>
      <c r="E560" s="93"/>
      <c r="F560" s="93"/>
      <c r="G560" s="93"/>
      <c r="H560" s="50"/>
      <c r="I560" s="9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36.75" customHeight="1">
      <c r="A561" s="93"/>
      <c r="B561" s="93"/>
      <c r="C561" s="93"/>
      <c r="D561" s="93"/>
      <c r="E561" s="93"/>
      <c r="F561" s="93"/>
      <c r="G561" s="93"/>
      <c r="H561" s="50"/>
      <c r="I561" s="9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36.75" customHeight="1">
      <c r="A562" s="93"/>
      <c r="B562" s="93"/>
      <c r="C562" s="93"/>
      <c r="D562" s="93"/>
      <c r="E562" s="93"/>
      <c r="F562" s="93"/>
      <c r="G562" s="93"/>
      <c r="H562" s="50"/>
      <c r="I562" s="9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36.75" customHeight="1">
      <c r="A563" s="93"/>
      <c r="B563" s="93"/>
      <c r="C563" s="93"/>
      <c r="D563" s="93"/>
      <c r="E563" s="93"/>
      <c r="F563" s="93"/>
      <c r="G563" s="93"/>
      <c r="H563" s="50"/>
      <c r="I563" s="9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36.75" customHeight="1">
      <c r="A564" s="93"/>
      <c r="B564" s="93"/>
      <c r="C564" s="93"/>
      <c r="D564" s="93"/>
      <c r="E564" s="93"/>
      <c r="F564" s="93"/>
      <c r="G564" s="93"/>
      <c r="H564" s="50"/>
      <c r="I564" s="9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36.75" customHeight="1">
      <c r="A565" s="93"/>
      <c r="B565" s="93"/>
      <c r="C565" s="93"/>
      <c r="D565" s="93"/>
      <c r="E565" s="93"/>
      <c r="F565" s="93"/>
      <c r="G565" s="93"/>
      <c r="H565" s="50"/>
      <c r="I565" s="9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36.75" customHeight="1">
      <c r="A566" s="93"/>
      <c r="B566" s="93"/>
      <c r="C566" s="93"/>
      <c r="D566" s="93"/>
      <c r="E566" s="93"/>
      <c r="F566" s="93"/>
      <c r="G566" s="93"/>
      <c r="H566" s="50"/>
      <c r="I566" s="9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36.75" customHeight="1">
      <c r="A567" s="93"/>
      <c r="B567" s="93"/>
      <c r="C567" s="93"/>
      <c r="D567" s="93"/>
      <c r="E567" s="93"/>
      <c r="F567" s="93"/>
      <c r="G567" s="93"/>
      <c r="H567" s="50"/>
      <c r="I567" s="9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36.75" customHeight="1">
      <c r="A568" s="93"/>
      <c r="B568" s="93"/>
      <c r="C568" s="93"/>
      <c r="D568" s="93"/>
      <c r="E568" s="93"/>
      <c r="F568" s="93"/>
      <c r="G568" s="93"/>
      <c r="H568" s="50"/>
      <c r="I568" s="9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36.75" customHeight="1">
      <c r="A569" s="93"/>
      <c r="B569" s="93"/>
      <c r="C569" s="93"/>
      <c r="D569" s="93"/>
      <c r="E569" s="93"/>
      <c r="F569" s="93"/>
      <c r="G569" s="93"/>
      <c r="H569" s="50"/>
      <c r="I569" s="9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36.75" customHeight="1">
      <c r="A570" s="93"/>
      <c r="B570" s="93"/>
      <c r="C570" s="93"/>
      <c r="D570" s="93"/>
      <c r="E570" s="93"/>
      <c r="F570" s="93"/>
      <c r="G570" s="93"/>
      <c r="H570" s="50"/>
      <c r="I570" s="9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36.75" customHeight="1">
      <c r="A571" s="93"/>
      <c r="B571" s="93"/>
      <c r="C571" s="93"/>
      <c r="D571" s="93"/>
      <c r="E571" s="93"/>
      <c r="F571" s="93"/>
      <c r="G571" s="93"/>
      <c r="H571" s="50"/>
      <c r="I571" s="9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36.75" customHeight="1">
      <c r="A572" s="93"/>
      <c r="B572" s="93"/>
      <c r="C572" s="93"/>
      <c r="D572" s="93"/>
      <c r="E572" s="93"/>
      <c r="F572" s="93"/>
      <c r="G572" s="93"/>
      <c r="H572" s="50"/>
      <c r="I572" s="9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36.75" customHeight="1">
      <c r="A573" s="93"/>
      <c r="B573" s="93"/>
      <c r="C573" s="93"/>
      <c r="D573" s="93"/>
      <c r="E573" s="93"/>
      <c r="F573" s="93"/>
      <c r="G573" s="93"/>
      <c r="H573" s="50"/>
      <c r="I573" s="9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36.75" customHeight="1">
      <c r="A574" s="93"/>
      <c r="B574" s="93"/>
      <c r="C574" s="93"/>
      <c r="D574" s="93"/>
      <c r="E574" s="93"/>
      <c r="F574" s="93"/>
      <c r="G574" s="93"/>
      <c r="H574" s="50"/>
      <c r="I574" s="9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36.75" customHeight="1">
      <c r="A575" s="93"/>
      <c r="B575" s="93"/>
      <c r="C575" s="93"/>
      <c r="D575" s="93"/>
      <c r="E575" s="93"/>
      <c r="F575" s="93"/>
      <c r="G575" s="93"/>
      <c r="H575" s="50"/>
      <c r="I575" s="9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36.75" customHeight="1">
      <c r="A576" s="93"/>
      <c r="B576" s="93"/>
      <c r="C576" s="93"/>
      <c r="D576" s="93"/>
      <c r="E576" s="93"/>
      <c r="F576" s="93"/>
      <c r="G576" s="93"/>
      <c r="H576" s="50"/>
      <c r="I576" s="9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36.75" customHeight="1">
      <c r="A577" s="93"/>
      <c r="B577" s="93"/>
      <c r="C577" s="93"/>
      <c r="D577" s="93"/>
      <c r="E577" s="93"/>
      <c r="F577" s="93"/>
      <c r="G577" s="93"/>
      <c r="H577" s="50"/>
      <c r="I577" s="9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36.75" customHeight="1">
      <c r="A578" s="93"/>
      <c r="B578" s="93"/>
      <c r="C578" s="93"/>
      <c r="D578" s="93"/>
      <c r="E578" s="93"/>
      <c r="F578" s="93"/>
      <c r="G578" s="93"/>
      <c r="H578" s="50"/>
      <c r="I578" s="9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36.75" customHeight="1">
      <c r="A579" s="93"/>
      <c r="B579" s="93"/>
      <c r="C579" s="93"/>
      <c r="D579" s="93"/>
      <c r="E579" s="93"/>
      <c r="F579" s="93"/>
      <c r="G579" s="93"/>
      <c r="H579" s="50"/>
      <c r="I579" s="9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36.75" customHeight="1">
      <c r="A580" s="93"/>
      <c r="B580" s="93"/>
      <c r="C580" s="93"/>
      <c r="D580" s="93"/>
      <c r="E580" s="93"/>
      <c r="F580" s="93"/>
      <c r="G580" s="93"/>
      <c r="H580" s="50"/>
      <c r="I580" s="9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36.75" customHeight="1">
      <c r="A581" s="93"/>
      <c r="B581" s="93"/>
      <c r="C581" s="93"/>
      <c r="D581" s="93"/>
      <c r="E581" s="93"/>
      <c r="F581" s="93"/>
      <c r="G581" s="93"/>
      <c r="H581" s="50"/>
      <c r="I581" s="9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36.75" customHeight="1">
      <c r="A582" s="93"/>
      <c r="B582" s="93"/>
      <c r="C582" s="93"/>
      <c r="D582" s="93"/>
      <c r="E582" s="93"/>
      <c r="F582" s="93"/>
      <c r="G582" s="93"/>
      <c r="H582" s="50"/>
      <c r="I582" s="9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36.75" customHeight="1">
      <c r="A583" s="93"/>
      <c r="B583" s="93"/>
      <c r="C583" s="93"/>
      <c r="D583" s="93"/>
      <c r="E583" s="93"/>
      <c r="F583" s="93"/>
      <c r="G583" s="93"/>
      <c r="H583" s="50"/>
      <c r="I583" s="9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36.75" customHeight="1">
      <c r="A584" s="93"/>
      <c r="B584" s="93"/>
      <c r="C584" s="93"/>
      <c r="D584" s="93"/>
      <c r="E584" s="93"/>
      <c r="F584" s="93"/>
      <c r="G584" s="93"/>
      <c r="H584" s="50"/>
      <c r="I584" s="9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36.75" customHeight="1">
      <c r="A585" s="93"/>
      <c r="B585" s="93"/>
      <c r="C585" s="93"/>
      <c r="D585" s="93"/>
      <c r="E585" s="93"/>
      <c r="F585" s="93"/>
      <c r="G585" s="93"/>
      <c r="H585" s="50"/>
      <c r="I585" s="9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36.75" customHeight="1">
      <c r="A586" s="93"/>
      <c r="B586" s="93"/>
      <c r="C586" s="93"/>
      <c r="D586" s="93"/>
      <c r="E586" s="93"/>
      <c r="F586" s="93"/>
      <c r="G586" s="93"/>
      <c r="H586" s="50"/>
      <c r="I586" s="9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36.75" customHeight="1">
      <c r="A587" s="93"/>
      <c r="B587" s="93"/>
      <c r="C587" s="93"/>
      <c r="D587" s="93"/>
      <c r="E587" s="93"/>
      <c r="F587" s="93"/>
      <c r="G587" s="93"/>
      <c r="H587" s="50"/>
      <c r="I587" s="9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36.75" customHeight="1">
      <c r="A588" s="93"/>
      <c r="B588" s="93"/>
      <c r="C588" s="93"/>
      <c r="D588" s="93"/>
      <c r="E588" s="93"/>
      <c r="F588" s="93"/>
      <c r="G588" s="93"/>
      <c r="H588" s="50"/>
      <c r="I588" s="9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36.75" customHeight="1">
      <c r="A589" s="93"/>
      <c r="B589" s="93"/>
      <c r="C589" s="93"/>
      <c r="D589" s="93"/>
      <c r="E589" s="93"/>
      <c r="F589" s="93"/>
      <c r="G589" s="93"/>
      <c r="H589" s="50"/>
      <c r="I589" s="9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36.75" customHeight="1">
      <c r="A590" s="93"/>
      <c r="B590" s="93"/>
      <c r="C590" s="93"/>
      <c r="D590" s="93"/>
      <c r="E590" s="93"/>
      <c r="F590" s="93"/>
      <c r="G590" s="93"/>
      <c r="H590" s="50"/>
      <c r="I590" s="9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36.75" customHeight="1">
      <c r="A591" s="93"/>
      <c r="B591" s="93"/>
      <c r="C591" s="93"/>
      <c r="D591" s="93"/>
      <c r="E591" s="93"/>
      <c r="F591" s="93"/>
      <c r="G591" s="93"/>
      <c r="H591" s="50"/>
      <c r="I591" s="9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36.75" customHeight="1">
      <c r="A592" s="93"/>
      <c r="B592" s="93"/>
      <c r="C592" s="93"/>
      <c r="D592" s="93"/>
      <c r="E592" s="93"/>
      <c r="F592" s="93"/>
      <c r="G592" s="93"/>
      <c r="H592" s="50"/>
      <c r="I592" s="9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36.75" customHeight="1">
      <c r="A593" s="93"/>
      <c r="B593" s="93"/>
      <c r="C593" s="93"/>
      <c r="D593" s="93"/>
      <c r="E593" s="93"/>
      <c r="F593" s="93"/>
      <c r="G593" s="93"/>
      <c r="H593" s="50"/>
      <c r="I593" s="9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36.75" customHeight="1">
      <c r="A594" s="93"/>
      <c r="B594" s="93"/>
      <c r="C594" s="93"/>
      <c r="D594" s="93"/>
      <c r="E594" s="93"/>
      <c r="F594" s="93"/>
      <c r="G594" s="93"/>
      <c r="H594" s="50"/>
      <c r="I594" s="9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36.75" customHeight="1">
      <c r="A595" s="93"/>
      <c r="B595" s="93"/>
      <c r="C595" s="93"/>
      <c r="D595" s="93"/>
      <c r="E595" s="93"/>
      <c r="F595" s="93"/>
      <c r="G595" s="93"/>
      <c r="H595" s="50"/>
      <c r="I595" s="9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36.75" customHeight="1">
      <c r="A596" s="93"/>
      <c r="B596" s="93"/>
      <c r="C596" s="93"/>
      <c r="D596" s="93"/>
      <c r="E596" s="93"/>
      <c r="F596" s="93"/>
      <c r="G596" s="93"/>
      <c r="H596" s="50"/>
      <c r="I596" s="9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36.75" customHeight="1">
      <c r="A597" s="93"/>
      <c r="B597" s="93"/>
      <c r="C597" s="93"/>
      <c r="D597" s="93"/>
      <c r="E597" s="93"/>
      <c r="F597" s="93"/>
      <c r="G597" s="93"/>
      <c r="H597" s="50"/>
      <c r="I597" s="9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36.75" customHeight="1">
      <c r="A598" s="93"/>
      <c r="B598" s="93"/>
      <c r="C598" s="93"/>
      <c r="D598" s="93"/>
      <c r="E598" s="93"/>
      <c r="F598" s="93"/>
      <c r="G598" s="93"/>
      <c r="H598" s="50"/>
      <c r="I598" s="9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36.75" customHeight="1">
      <c r="A599" s="93"/>
      <c r="B599" s="93"/>
      <c r="C599" s="93"/>
      <c r="D599" s="93"/>
      <c r="E599" s="93"/>
      <c r="F599" s="93"/>
      <c r="G599" s="93"/>
      <c r="H599" s="50"/>
      <c r="I599" s="9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36.75" customHeight="1">
      <c r="A600" s="93"/>
      <c r="B600" s="93"/>
      <c r="C600" s="93"/>
      <c r="D600" s="93"/>
      <c r="E600" s="93"/>
      <c r="F600" s="93"/>
      <c r="G600" s="93"/>
      <c r="H600" s="50"/>
      <c r="I600" s="9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36.75" customHeight="1">
      <c r="A601" s="93"/>
      <c r="B601" s="93"/>
      <c r="C601" s="93"/>
      <c r="D601" s="93"/>
      <c r="E601" s="93"/>
      <c r="F601" s="93"/>
      <c r="G601" s="93"/>
      <c r="H601" s="50"/>
      <c r="I601" s="9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36.75" customHeight="1">
      <c r="A602" s="93"/>
      <c r="B602" s="93"/>
      <c r="C602" s="93"/>
      <c r="D602" s="93"/>
      <c r="E602" s="93"/>
      <c r="F602" s="93"/>
      <c r="G602" s="93"/>
      <c r="H602" s="50"/>
      <c r="I602" s="9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36.75" customHeight="1">
      <c r="A603" s="93"/>
      <c r="B603" s="93"/>
      <c r="C603" s="93"/>
      <c r="D603" s="93"/>
      <c r="E603" s="93"/>
      <c r="F603" s="93"/>
      <c r="G603" s="93"/>
      <c r="H603" s="50"/>
      <c r="I603" s="9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36.75" customHeight="1">
      <c r="A604" s="93"/>
      <c r="B604" s="93"/>
      <c r="C604" s="93"/>
      <c r="D604" s="93"/>
      <c r="E604" s="93"/>
      <c r="F604" s="93"/>
      <c r="G604" s="93"/>
      <c r="H604" s="50"/>
      <c r="I604" s="9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36.75" customHeight="1">
      <c r="A605" s="93"/>
      <c r="B605" s="93"/>
      <c r="C605" s="93"/>
      <c r="D605" s="93"/>
      <c r="E605" s="93"/>
      <c r="F605" s="93"/>
      <c r="G605" s="93"/>
      <c r="H605" s="50"/>
      <c r="I605" s="9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36.75" customHeight="1">
      <c r="A606" s="93"/>
      <c r="B606" s="93"/>
      <c r="C606" s="93"/>
      <c r="D606" s="93"/>
      <c r="E606" s="93"/>
      <c r="F606" s="93"/>
      <c r="G606" s="93"/>
      <c r="H606" s="50"/>
      <c r="I606" s="9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36.75" customHeight="1">
      <c r="A607" s="93"/>
      <c r="B607" s="93"/>
      <c r="C607" s="93"/>
      <c r="D607" s="93"/>
      <c r="E607" s="93"/>
      <c r="F607" s="93"/>
      <c r="G607" s="93"/>
      <c r="H607" s="50"/>
      <c r="I607" s="9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36.75" customHeight="1">
      <c r="A608" s="93"/>
      <c r="B608" s="93"/>
      <c r="C608" s="93"/>
      <c r="D608" s="93"/>
      <c r="E608" s="93"/>
      <c r="F608" s="93"/>
      <c r="G608" s="93"/>
      <c r="H608" s="50"/>
      <c r="I608" s="9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36.75" customHeight="1">
      <c r="A609" s="93"/>
      <c r="B609" s="93"/>
      <c r="C609" s="93"/>
      <c r="D609" s="93"/>
      <c r="E609" s="93"/>
      <c r="F609" s="93"/>
      <c r="G609" s="93"/>
      <c r="H609" s="50"/>
      <c r="I609" s="9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36.75" customHeight="1">
      <c r="A610" s="93"/>
      <c r="B610" s="93"/>
      <c r="C610" s="93"/>
      <c r="D610" s="93"/>
      <c r="E610" s="93"/>
      <c r="F610" s="93"/>
      <c r="G610" s="93"/>
      <c r="H610" s="50"/>
      <c r="I610" s="9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36.75" customHeight="1">
      <c r="A611" s="93"/>
      <c r="B611" s="93"/>
      <c r="C611" s="93"/>
      <c r="D611" s="93"/>
      <c r="E611" s="93"/>
      <c r="F611" s="93"/>
      <c r="G611" s="93"/>
      <c r="H611" s="50"/>
      <c r="I611" s="9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36.75" customHeight="1">
      <c r="A612" s="93"/>
      <c r="B612" s="93"/>
      <c r="C612" s="93"/>
      <c r="D612" s="93"/>
      <c r="E612" s="93"/>
      <c r="F612" s="93"/>
      <c r="G612" s="93"/>
      <c r="H612" s="50"/>
      <c r="I612" s="9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36.75" customHeight="1">
      <c r="A613" s="93"/>
      <c r="B613" s="93"/>
      <c r="C613" s="93"/>
      <c r="D613" s="93"/>
      <c r="E613" s="93"/>
      <c r="F613" s="93"/>
      <c r="G613" s="93"/>
      <c r="H613" s="50"/>
      <c r="I613" s="9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36.75" customHeight="1">
      <c r="A614" s="93"/>
      <c r="B614" s="93"/>
      <c r="C614" s="93"/>
      <c r="D614" s="93"/>
      <c r="E614" s="93"/>
      <c r="F614" s="93"/>
      <c r="G614" s="93"/>
      <c r="H614" s="50"/>
      <c r="I614" s="9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36.75" customHeight="1">
      <c r="A615" s="93"/>
      <c r="B615" s="93"/>
      <c r="C615" s="93"/>
      <c r="D615" s="93"/>
      <c r="E615" s="93"/>
      <c r="F615" s="93"/>
      <c r="G615" s="93"/>
      <c r="H615" s="50"/>
      <c r="I615" s="9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36.75" customHeight="1">
      <c r="A616" s="93"/>
      <c r="B616" s="93"/>
      <c r="C616" s="93"/>
      <c r="D616" s="93"/>
      <c r="E616" s="93"/>
      <c r="F616" s="93"/>
      <c r="G616" s="93"/>
      <c r="H616" s="50"/>
      <c r="I616" s="9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36.75" customHeight="1">
      <c r="A617" s="93"/>
      <c r="B617" s="93"/>
      <c r="C617" s="93"/>
      <c r="D617" s="93"/>
      <c r="E617" s="93"/>
      <c r="F617" s="93"/>
      <c r="G617" s="93"/>
      <c r="H617" s="50"/>
      <c r="I617" s="9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36.75" customHeight="1">
      <c r="A618" s="93"/>
      <c r="B618" s="93"/>
      <c r="C618" s="93"/>
      <c r="D618" s="93"/>
      <c r="E618" s="93"/>
      <c r="F618" s="93"/>
      <c r="G618" s="93"/>
      <c r="H618" s="50"/>
      <c r="I618" s="9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 ht="36.75" customHeight="1">
      <c r="A619" s="93"/>
      <c r="B619" s="93"/>
      <c r="C619" s="93"/>
      <c r="D619" s="93"/>
      <c r="E619" s="93"/>
      <c r="F619" s="93"/>
      <c r="G619" s="93"/>
      <c r="H619" s="50"/>
      <c r="I619" s="93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 ht="36.75" customHeight="1">
      <c r="A620" s="93"/>
      <c r="B620" s="93"/>
      <c r="C620" s="93"/>
      <c r="D620" s="93"/>
      <c r="E620" s="93"/>
      <c r="F620" s="93"/>
      <c r="G620" s="93"/>
      <c r="H620" s="50"/>
      <c r="I620" s="93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 ht="36.75" customHeight="1">
      <c r="A621" s="93"/>
      <c r="B621" s="93"/>
      <c r="C621" s="93"/>
      <c r="D621" s="93"/>
      <c r="E621" s="93"/>
      <c r="F621" s="93"/>
      <c r="G621" s="93"/>
      <c r="H621" s="50"/>
      <c r="I621" s="93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 ht="36.75" customHeight="1">
      <c r="A622" s="93"/>
      <c r="B622" s="93"/>
      <c r="C622" s="93"/>
      <c r="D622" s="93"/>
      <c r="E622" s="93"/>
      <c r="F622" s="93"/>
      <c r="G622" s="93"/>
      <c r="H622" s="50"/>
      <c r="I622" s="93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 ht="36.75" customHeight="1">
      <c r="A623" s="93"/>
      <c r="B623" s="93"/>
      <c r="C623" s="93"/>
      <c r="D623" s="93"/>
      <c r="E623" s="93"/>
      <c r="F623" s="93"/>
      <c r="G623" s="93"/>
      <c r="H623" s="50"/>
      <c r="I623" s="93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 ht="36.75" customHeight="1">
      <c r="A624" s="93"/>
      <c r="B624" s="93"/>
      <c r="C624" s="93"/>
      <c r="D624" s="93"/>
      <c r="E624" s="93"/>
      <c r="F624" s="93"/>
      <c r="G624" s="93"/>
      <c r="H624" s="50"/>
      <c r="I624" s="93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 ht="36.75" customHeight="1">
      <c r="A625" s="93"/>
      <c r="B625" s="93"/>
      <c r="C625" s="93"/>
      <c r="D625" s="93"/>
      <c r="E625" s="93"/>
      <c r="F625" s="93"/>
      <c r="G625" s="93"/>
      <c r="H625" s="50"/>
      <c r="I625" s="93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 ht="36.75" customHeight="1">
      <c r="A626" s="93"/>
      <c r="B626" s="93"/>
      <c r="C626" s="93"/>
      <c r="D626" s="93"/>
      <c r="E626" s="93"/>
      <c r="F626" s="93"/>
      <c r="G626" s="93"/>
      <c r="H626" s="50"/>
      <c r="I626" s="93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 ht="36.75" customHeight="1">
      <c r="A627" s="93"/>
      <c r="B627" s="93"/>
      <c r="C627" s="93"/>
      <c r="D627" s="93"/>
      <c r="E627" s="93"/>
      <c r="F627" s="93"/>
      <c r="G627" s="93"/>
      <c r="H627" s="50"/>
      <c r="I627" s="93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 ht="36.75" customHeight="1">
      <c r="A628" s="93"/>
      <c r="B628" s="93"/>
      <c r="C628" s="93"/>
      <c r="D628" s="93"/>
      <c r="E628" s="93"/>
      <c r="F628" s="93"/>
      <c r="G628" s="93"/>
      <c r="H628" s="50"/>
      <c r="I628" s="93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 ht="36.75" customHeight="1">
      <c r="A629" s="93"/>
      <c r="B629" s="93"/>
      <c r="C629" s="93"/>
      <c r="D629" s="93"/>
      <c r="E629" s="93"/>
      <c r="F629" s="93"/>
      <c r="G629" s="93"/>
      <c r="H629" s="50"/>
      <c r="I629" s="93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 ht="36.75" customHeight="1">
      <c r="A630" s="93"/>
      <c r="B630" s="93"/>
      <c r="C630" s="93"/>
      <c r="D630" s="93"/>
      <c r="E630" s="93"/>
      <c r="F630" s="93"/>
      <c r="G630" s="93"/>
      <c r="H630" s="50"/>
      <c r="I630" s="93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 ht="36.75" customHeight="1">
      <c r="A631" s="93"/>
      <c r="B631" s="93"/>
      <c r="C631" s="93"/>
      <c r="D631" s="93"/>
      <c r="E631" s="93"/>
      <c r="F631" s="93"/>
      <c r="G631" s="93"/>
      <c r="H631" s="50"/>
      <c r="I631" s="93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 ht="36.75" customHeight="1">
      <c r="A632" s="93"/>
      <c r="B632" s="93"/>
      <c r="C632" s="93"/>
      <c r="D632" s="93"/>
      <c r="E632" s="93"/>
      <c r="F632" s="93"/>
      <c r="G632" s="93"/>
      <c r="H632" s="50"/>
      <c r="I632" s="93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 ht="36.75" customHeight="1">
      <c r="A633" s="93"/>
      <c r="B633" s="93"/>
      <c r="C633" s="93"/>
      <c r="D633" s="93"/>
      <c r="E633" s="93"/>
      <c r="F633" s="93"/>
      <c r="G633" s="93"/>
      <c r="H633" s="50"/>
      <c r="I633" s="93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 ht="36.75" customHeight="1">
      <c r="A634" s="93"/>
      <c r="B634" s="93"/>
      <c r="C634" s="93"/>
      <c r="D634" s="93"/>
      <c r="E634" s="93"/>
      <c r="F634" s="93"/>
      <c r="G634" s="93"/>
      <c r="H634" s="50"/>
      <c r="I634" s="93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 ht="36.75" customHeight="1">
      <c r="A635" s="93"/>
      <c r="B635" s="93"/>
      <c r="C635" s="93"/>
      <c r="D635" s="93"/>
      <c r="E635" s="93"/>
      <c r="F635" s="93"/>
      <c r="G635" s="93"/>
      <c r="H635" s="50"/>
      <c r="I635" s="93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 ht="36.75" customHeight="1">
      <c r="A636" s="93"/>
      <c r="B636" s="93"/>
      <c r="C636" s="93"/>
      <c r="D636" s="93"/>
      <c r="E636" s="93"/>
      <c r="F636" s="93"/>
      <c r="G636" s="93"/>
      <c r="H636" s="50"/>
      <c r="I636" s="93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 ht="36.75" customHeight="1">
      <c r="A637" s="93"/>
      <c r="B637" s="93"/>
      <c r="C637" s="93"/>
      <c r="D637" s="93"/>
      <c r="E637" s="93"/>
      <c r="F637" s="93"/>
      <c r="G637" s="93"/>
      <c r="H637" s="50"/>
      <c r="I637" s="93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 ht="36.75" customHeight="1">
      <c r="A638" s="93"/>
      <c r="B638" s="93"/>
      <c r="C638" s="93"/>
      <c r="D638" s="93"/>
      <c r="E638" s="93"/>
      <c r="F638" s="93"/>
      <c r="G638" s="93"/>
      <c r="H638" s="50"/>
      <c r="I638" s="93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 ht="36.75" customHeight="1">
      <c r="A639" s="93"/>
      <c r="B639" s="93"/>
      <c r="C639" s="93"/>
      <c r="D639" s="93"/>
      <c r="E639" s="93"/>
      <c r="F639" s="93"/>
      <c r="G639" s="93"/>
      <c r="H639" s="50"/>
      <c r="I639" s="93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 ht="36.75" customHeight="1">
      <c r="A640" s="93"/>
      <c r="B640" s="93"/>
      <c r="C640" s="93"/>
      <c r="D640" s="93"/>
      <c r="E640" s="93"/>
      <c r="F640" s="93"/>
      <c r="G640" s="93"/>
      <c r="H640" s="50"/>
      <c r="I640" s="93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 ht="36.75" customHeight="1">
      <c r="A641" s="93"/>
      <c r="B641" s="93"/>
      <c r="C641" s="93"/>
      <c r="D641" s="93"/>
      <c r="E641" s="93"/>
      <c r="F641" s="93"/>
      <c r="G641" s="93"/>
      <c r="H641" s="50"/>
      <c r="I641" s="93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 ht="36.75" customHeight="1">
      <c r="A642" s="93"/>
      <c r="B642" s="93"/>
      <c r="C642" s="93"/>
      <c r="D642" s="93"/>
      <c r="E642" s="93"/>
      <c r="F642" s="93"/>
      <c r="G642" s="93"/>
      <c r="H642" s="50"/>
      <c r="I642" s="93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 ht="36.75" customHeight="1">
      <c r="A643" s="93"/>
      <c r="B643" s="93"/>
      <c r="C643" s="93"/>
      <c r="D643" s="93"/>
      <c r="E643" s="93"/>
      <c r="F643" s="93"/>
      <c r="G643" s="93"/>
      <c r="H643" s="50"/>
      <c r="I643" s="93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 ht="36.75" customHeight="1">
      <c r="A644" s="93"/>
      <c r="B644" s="93"/>
      <c r="C644" s="93"/>
      <c r="D644" s="93"/>
      <c r="E644" s="93"/>
      <c r="F644" s="93"/>
      <c r="G644" s="93"/>
      <c r="H644" s="50"/>
      <c r="I644" s="93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 ht="36.75" customHeight="1">
      <c r="A645" s="93"/>
      <c r="B645" s="93"/>
      <c r="C645" s="93"/>
      <c r="D645" s="93"/>
      <c r="E645" s="93"/>
      <c r="F645" s="93"/>
      <c r="G645" s="93"/>
      <c r="H645" s="50"/>
      <c r="I645" s="93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 ht="36.75" customHeight="1">
      <c r="A646" s="93"/>
      <c r="B646" s="93"/>
      <c r="C646" s="93"/>
      <c r="D646" s="93"/>
      <c r="E646" s="93"/>
      <c r="F646" s="93"/>
      <c r="G646" s="93"/>
      <c r="H646" s="50"/>
      <c r="I646" s="93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 ht="36.75" customHeight="1">
      <c r="A647" s="93"/>
      <c r="B647" s="93"/>
      <c r="C647" s="93"/>
      <c r="D647" s="93"/>
      <c r="E647" s="93"/>
      <c r="F647" s="93"/>
      <c r="G647" s="93"/>
      <c r="H647" s="50"/>
      <c r="I647" s="93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 ht="36.75" customHeight="1">
      <c r="A648" s="93"/>
      <c r="B648" s="93"/>
      <c r="C648" s="93"/>
      <c r="D648" s="93"/>
      <c r="E648" s="93"/>
      <c r="F648" s="93"/>
      <c r="G648" s="93"/>
      <c r="H648" s="50"/>
      <c r="I648" s="93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 ht="36.75" customHeight="1">
      <c r="A649" s="93"/>
      <c r="B649" s="93"/>
      <c r="C649" s="93"/>
      <c r="D649" s="93"/>
      <c r="E649" s="93"/>
      <c r="F649" s="93"/>
      <c r="G649" s="93"/>
      <c r="H649" s="50"/>
      <c r="I649" s="93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 ht="36.75" customHeight="1">
      <c r="A650" s="93"/>
      <c r="B650" s="93"/>
      <c r="C650" s="93"/>
      <c r="D650" s="93"/>
      <c r="E650" s="93"/>
      <c r="F650" s="93"/>
      <c r="G650" s="93"/>
      <c r="H650" s="50"/>
      <c r="I650" s="93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 ht="36.75" customHeight="1">
      <c r="A651" s="93"/>
      <c r="B651" s="93"/>
      <c r="C651" s="93"/>
      <c r="D651" s="93"/>
      <c r="E651" s="93"/>
      <c r="F651" s="93"/>
      <c r="G651" s="93"/>
      <c r="H651" s="50"/>
      <c r="I651" s="93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 ht="36.75" customHeight="1">
      <c r="A652" s="93"/>
      <c r="B652" s="93"/>
      <c r="C652" s="93"/>
      <c r="D652" s="93"/>
      <c r="E652" s="93"/>
      <c r="F652" s="93"/>
      <c r="G652" s="93"/>
      <c r="H652" s="50"/>
      <c r="I652" s="93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 ht="36.75" customHeight="1">
      <c r="A653" s="93"/>
      <c r="B653" s="93"/>
      <c r="C653" s="93"/>
      <c r="D653" s="93"/>
      <c r="E653" s="93"/>
      <c r="F653" s="93"/>
      <c r="G653" s="93"/>
      <c r="H653" s="50"/>
      <c r="I653" s="93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 ht="36.75" customHeight="1">
      <c r="A654" s="93"/>
      <c r="B654" s="93"/>
      <c r="C654" s="93"/>
      <c r="D654" s="93"/>
      <c r="E654" s="93"/>
      <c r="F654" s="93"/>
      <c r="G654" s="93"/>
      <c r="H654" s="50"/>
      <c r="I654" s="93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 ht="36.75" customHeight="1">
      <c r="A655" s="93"/>
      <c r="B655" s="93"/>
      <c r="C655" s="93"/>
      <c r="D655" s="93"/>
      <c r="E655" s="93"/>
      <c r="F655" s="93"/>
      <c r="G655" s="93"/>
      <c r="H655" s="50"/>
      <c r="I655" s="93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 ht="36.75" customHeight="1">
      <c r="A656" s="93"/>
      <c r="B656" s="93"/>
      <c r="C656" s="93"/>
      <c r="D656" s="93"/>
      <c r="E656" s="93"/>
      <c r="F656" s="93"/>
      <c r="G656" s="93"/>
      <c r="H656" s="50"/>
      <c r="I656" s="93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 ht="36.75" customHeight="1">
      <c r="A657" s="93"/>
      <c r="B657" s="93"/>
      <c r="C657" s="93"/>
      <c r="D657" s="93"/>
      <c r="E657" s="93"/>
      <c r="F657" s="93"/>
      <c r="G657" s="93"/>
      <c r="H657" s="50"/>
      <c r="I657" s="93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 ht="36.75" customHeight="1">
      <c r="A658" s="93"/>
      <c r="B658" s="93"/>
      <c r="C658" s="93"/>
      <c r="D658" s="93"/>
      <c r="E658" s="93"/>
      <c r="F658" s="93"/>
      <c r="G658" s="93"/>
      <c r="H658" s="50"/>
      <c r="I658" s="93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 ht="36.75" customHeight="1">
      <c r="A659" s="93"/>
      <c r="B659" s="93"/>
      <c r="C659" s="93"/>
      <c r="D659" s="93"/>
      <c r="E659" s="93"/>
      <c r="F659" s="93"/>
      <c r="G659" s="93"/>
      <c r="H659" s="50"/>
      <c r="I659" s="93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 ht="36.75" customHeight="1">
      <c r="A660" s="93"/>
      <c r="B660" s="93"/>
      <c r="C660" s="93"/>
      <c r="D660" s="93"/>
      <c r="E660" s="93"/>
      <c r="F660" s="93"/>
      <c r="G660" s="93"/>
      <c r="H660" s="50"/>
      <c r="I660" s="93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 ht="36.75" customHeight="1">
      <c r="A661" s="93"/>
      <c r="B661" s="93"/>
      <c r="C661" s="93"/>
      <c r="D661" s="93"/>
      <c r="E661" s="93"/>
      <c r="F661" s="93"/>
      <c r="G661" s="93"/>
      <c r="H661" s="50"/>
      <c r="I661" s="93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 ht="36.75" customHeight="1">
      <c r="A662" s="93"/>
      <c r="B662" s="93"/>
      <c r="C662" s="93"/>
      <c r="D662" s="93"/>
      <c r="E662" s="93"/>
      <c r="F662" s="93"/>
      <c r="G662" s="93"/>
      <c r="H662" s="50"/>
      <c r="I662" s="93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ht="36.75" customHeight="1">
      <c r="A663" s="93"/>
      <c r="B663" s="93"/>
      <c r="C663" s="93"/>
      <c r="D663" s="93"/>
      <c r="E663" s="93"/>
      <c r="F663" s="93"/>
      <c r="G663" s="93"/>
      <c r="H663" s="50"/>
      <c r="I663" s="93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 ht="36.75" customHeight="1">
      <c r="A664" s="93"/>
      <c r="B664" s="93"/>
      <c r="C664" s="93"/>
      <c r="D664" s="93"/>
      <c r="E664" s="93"/>
      <c r="F664" s="93"/>
      <c r="G664" s="93"/>
      <c r="H664" s="50"/>
      <c r="I664" s="93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 ht="36.75" customHeight="1">
      <c r="A665" s="93"/>
      <c r="B665" s="93"/>
      <c r="C665" s="93"/>
      <c r="D665" s="93"/>
      <c r="E665" s="93"/>
      <c r="F665" s="93"/>
      <c r="G665" s="93"/>
      <c r="H665" s="50"/>
      <c r="I665" s="93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ht="36.75" customHeight="1">
      <c r="A666" s="93"/>
      <c r="B666" s="93"/>
      <c r="C666" s="93"/>
      <c r="D666" s="93"/>
      <c r="E666" s="93"/>
      <c r="F666" s="93"/>
      <c r="G666" s="93"/>
      <c r="H666" s="50"/>
      <c r="I666" s="93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ht="36.75" customHeight="1">
      <c r="A667" s="93"/>
      <c r="B667" s="93"/>
      <c r="C667" s="93"/>
      <c r="D667" s="93"/>
      <c r="E667" s="93"/>
      <c r="F667" s="93"/>
      <c r="G667" s="93"/>
      <c r="H667" s="50"/>
      <c r="I667" s="93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 ht="36.75" customHeight="1">
      <c r="A668" s="93"/>
      <c r="B668" s="93"/>
      <c r="C668" s="93"/>
      <c r="D668" s="93"/>
      <c r="E668" s="93"/>
      <c r="F668" s="93"/>
      <c r="G668" s="93"/>
      <c r="H668" s="50"/>
      <c r="I668" s="93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 ht="36.75" customHeight="1">
      <c r="A669" s="93"/>
      <c r="B669" s="93"/>
      <c r="C669" s="93"/>
      <c r="D669" s="93"/>
      <c r="E669" s="93"/>
      <c r="F669" s="93"/>
      <c r="G669" s="93"/>
      <c r="H669" s="50"/>
      <c r="I669" s="93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 ht="36.75" customHeight="1">
      <c r="A670" s="93"/>
      <c r="B670" s="93"/>
      <c r="C670" s="93"/>
      <c r="D670" s="93"/>
      <c r="E670" s="93"/>
      <c r="F670" s="93"/>
      <c r="G670" s="93"/>
      <c r="H670" s="50"/>
      <c r="I670" s="93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 ht="36.75" customHeight="1">
      <c r="A671" s="93"/>
      <c r="B671" s="93"/>
      <c r="C671" s="93"/>
      <c r="D671" s="93"/>
      <c r="E671" s="93"/>
      <c r="F671" s="93"/>
      <c r="G671" s="93"/>
      <c r="H671" s="50"/>
      <c r="I671" s="93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 ht="36.75" customHeight="1">
      <c r="A672" s="93"/>
      <c r="B672" s="93"/>
      <c r="C672" s="93"/>
      <c r="D672" s="93"/>
      <c r="E672" s="93"/>
      <c r="F672" s="93"/>
      <c r="G672" s="93"/>
      <c r="H672" s="50"/>
      <c r="I672" s="93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 ht="36.75" customHeight="1">
      <c r="A673" s="93"/>
      <c r="B673" s="93"/>
      <c r="C673" s="93"/>
      <c r="D673" s="93"/>
      <c r="E673" s="93"/>
      <c r="F673" s="93"/>
      <c r="G673" s="93"/>
      <c r="H673" s="50"/>
      <c r="I673" s="93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 ht="36.75" customHeight="1">
      <c r="A674" s="93"/>
      <c r="B674" s="93"/>
      <c r="C674" s="93"/>
      <c r="D674" s="93"/>
      <c r="E674" s="93"/>
      <c r="F674" s="93"/>
      <c r="G674" s="93"/>
      <c r="H674" s="50"/>
      <c r="I674" s="93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 ht="36.75" customHeight="1">
      <c r="A675" s="93"/>
      <c r="B675" s="93"/>
      <c r="C675" s="93"/>
      <c r="D675" s="93"/>
      <c r="E675" s="93"/>
      <c r="F675" s="93"/>
      <c r="G675" s="93"/>
      <c r="H675" s="50"/>
      <c r="I675" s="93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 ht="36.75" customHeight="1">
      <c r="A676" s="93"/>
      <c r="B676" s="93"/>
      <c r="C676" s="93"/>
      <c r="D676" s="93"/>
      <c r="E676" s="93"/>
      <c r="F676" s="93"/>
      <c r="G676" s="93"/>
      <c r="H676" s="50"/>
      <c r="I676" s="93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 ht="36.75" customHeight="1">
      <c r="A677" s="93"/>
      <c r="B677" s="93"/>
      <c r="C677" s="93"/>
      <c r="D677" s="93"/>
      <c r="E677" s="93"/>
      <c r="F677" s="93"/>
      <c r="G677" s="93"/>
      <c r="H677" s="50"/>
      <c r="I677" s="93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 ht="36.75" customHeight="1">
      <c r="A678" s="93"/>
      <c r="B678" s="93"/>
      <c r="C678" s="93"/>
      <c r="D678" s="93"/>
      <c r="E678" s="93"/>
      <c r="F678" s="93"/>
      <c r="G678" s="93"/>
      <c r="H678" s="50"/>
      <c r="I678" s="93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 ht="36.75" customHeight="1">
      <c r="A679" s="93"/>
      <c r="B679" s="93"/>
      <c r="C679" s="93"/>
      <c r="D679" s="93"/>
      <c r="E679" s="93"/>
      <c r="F679" s="93"/>
      <c r="G679" s="93"/>
      <c r="H679" s="50"/>
      <c r="I679" s="93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 ht="36.75" customHeight="1">
      <c r="A680" s="93"/>
      <c r="B680" s="93"/>
      <c r="C680" s="93"/>
      <c r="D680" s="93"/>
      <c r="E680" s="93"/>
      <c r="F680" s="93"/>
      <c r="G680" s="93"/>
      <c r="H680" s="50"/>
      <c r="I680" s="93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 ht="36.75" customHeight="1">
      <c r="A681" s="93"/>
      <c r="B681" s="93"/>
      <c r="C681" s="93"/>
      <c r="D681" s="93"/>
      <c r="E681" s="93"/>
      <c r="F681" s="93"/>
      <c r="G681" s="93"/>
      <c r="H681" s="50"/>
      <c r="I681" s="93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 ht="36.75" customHeight="1">
      <c r="A682" s="93"/>
      <c r="B682" s="93"/>
      <c r="C682" s="93"/>
      <c r="D682" s="93"/>
      <c r="E682" s="93"/>
      <c r="F682" s="93"/>
      <c r="G682" s="93"/>
      <c r="H682" s="50"/>
      <c r="I682" s="93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 ht="36.75" customHeight="1">
      <c r="A683" s="93"/>
      <c r="B683" s="93"/>
      <c r="C683" s="93"/>
      <c r="D683" s="93"/>
      <c r="E683" s="93"/>
      <c r="F683" s="93"/>
      <c r="G683" s="93"/>
      <c r="H683" s="50"/>
      <c r="I683" s="93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 ht="36.75" customHeight="1">
      <c r="A684" s="93"/>
      <c r="B684" s="93"/>
      <c r="C684" s="93"/>
      <c r="D684" s="93"/>
      <c r="E684" s="93"/>
      <c r="F684" s="93"/>
      <c r="G684" s="93"/>
      <c r="H684" s="50"/>
      <c r="I684" s="93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 ht="36.75" customHeight="1">
      <c r="A685" s="93"/>
      <c r="B685" s="93"/>
      <c r="C685" s="93"/>
      <c r="D685" s="93"/>
      <c r="E685" s="93"/>
      <c r="F685" s="93"/>
      <c r="G685" s="93"/>
      <c r="H685" s="50"/>
      <c r="I685" s="93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 ht="36.75" customHeight="1">
      <c r="A686" s="93"/>
      <c r="B686" s="93"/>
      <c r="C686" s="93"/>
      <c r="D686" s="93"/>
      <c r="E686" s="93"/>
      <c r="F686" s="93"/>
      <c r="G686" s="93"/>
      <c r="H686" s="50"/>
      <c r="I686" s="93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 ht="36.75" customHeight="1">
      <c r="A687" s="93"/>
      <c r="B687" s="93"/>
      <c r="C687" s="93"/>
      <c r="D687" s="93"/>
      <c r="E687" s="93"/>
      <c r="F687" s="93"/>
      <c r="G687" s="93"/>
      <c r="H687" s="50"/>
      <c r="I687" s="93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 ht="36.75" customHeight="1">
      <c r="A688" s="93"/>
      <c r="B688" s="93"/>
      <c r="C688" s="93"/>
      <c r="D688" s="93"/>
      <c r="E688" s="93"/>
      <c r="F688" s="93"/>
      <c r="G688" s="93"/>
      <c r="H688" s="50"/>
      <c r="I688" s="93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 ht="36.75" customHeight="1">
      <c r="A689" s="93"/>
      <c r="B689" s="93"/>
      <c r="C689" s="93"/>
      <c r="D689" s="93"/>
      <c r="E689" s="93"/>
      <c r="F689" s="93"/>
      <c r="G689" s="93"/>
      <c r="H689" s="50"/>
      <c r="I689" s="93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 ht="36.75" customHeight="1">
      <c r="A690" s="93"/>
      <c r="B690" s="93"/>
      <c r="C690" s="93"/>
      <c r="D690" s="93"/>
      <c r="E690" s="93"/>
      <c r="F690" s="93"/>
      <c r="G690" s="93"/>
      <c r="H690" s="50"/>
      <c r="I690" s="93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 ht="36.75" customHeight="1">
      <c r="A691" s="93"/>
      <c r="B691" s="93"/>
      <c r="C691" s="93"/>
      <c r="D691" s="93"/>
      <c r="E691" s="93"/>
      <c r="F691" s="93"/>
      <c r="G691" s="93"/>
      <c r="H691" s="50"/>
      <c r="I691" s="93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 ht="36.75" customHeight="1">
      <c r="A692" s="93"/>
      <c r="B692" s="93"/>
      <c r="C692" s="93"/>
      <c r="D692" s="93"/>
      <c r="E692" s="93"/>
      <c r="F692" s="93"/>
      <c r="G692" s="93"/>
      <c r="H692" s="50"/>
      <c r="I692" s="93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 ht="36.75" customHeight="1">
      <c r="A693" s="93"/>
      <c r="B693" s="93"/>
      <c r="C693" s="93"/>
      <c r="D693" s="93"/>
      <c r="E693" s="93"/>
      <c r="F693" s="93"/>
      <c r="G693" s="93"/>
      <c r="H693" s="50"/>
      <c r="I693" s="93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 ht="36.75" customHeight="1">
      <c r="A694" s="93"/>
      <c r="B694" s="93"/>
      <c r="C694" s="93"/>
      <c r="D694" s="93"/>
      <c r="E694" s="93"/>
      <c r="F694" s="93"/>
      <c r="G694" s="93"/>
      <c r="H694" s="50"/>
      <c r="I694" s="93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 ht="36.75" customHeight="1">
      <c r="A695" s="93"/>
      <c r="B695" s="93"/>
      <c r="C695" s="93"/>
      <c r="D695" s="93"/>
      <c r="E695" s="93"/>
      <c r="F695" s="93"/>
      <c r="G695" s="93"/>
      <c r="H695" s="50"/>
      <c r="I695" s="93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 ht="36.75" customHeight="1">
      <c r="A696" s="93"/>
      <c r="B696" s="93"/>
      <c r="C696" s="93"/>
      <c r="D696" s="93"/>
      <c r="E696" s="93"/>
      <c r="F696" s="93"/>
      <c r="G696" s="93"/>
      <c r="H696" s="50"/>
      <c r="I696" s="93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 ht="36.75" customHeight="1">
      <c r="A697" s="93"/>
      <c r="B697" s="93"/>
      <c r="C697" s="93"/>
      <c r="D697" s="93"/>
      <c r="E697" s="93"/>
      <c r="F697" s="93"/>
      <c r="G697" s="93"/>
      <c r="H697" s="50"/>
      <c r="I697" s="93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 ht="36.75" customHeight="1">
      <c r="A698" s="93"/>
      <c r="B698" s="93"/>
      <c r="C698" s="93"/>
      <c r="D698" s="93"/>
      <c r="E698" s="93"/>
      <c r="F698" s="93"/>
      <c r="G698" s="93"/>
      <c r="H698" s="50"/>
      <c r="I698" s="93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 ht="36.75" customHeight="1">
      <c r="A699" s="93"/>
      <c r="B699" s="93"/>
      <c r="C699" s="93"/>
      <c r="D699" s="93"/>
      <c r="E699" s="93"/>
      <c r="F699" s="93"/>
      <c r="G699" s="93"/>
      <c r="H699" s="50"/>
      <c r="I699" s="93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 ht="36.75" customHeight="1">
      <c r="A700" s="93"/>
      <c r="B700" s="93"/>
      <c r="C700" s="93"/>
      <c r="D700" s="93"/>
      <c r="E700" s="93"/>
      <c r="F700" s="93"/>
      <c r="G700" s="93"/>
      <c r="H700" s="50"/>
      <c r="I700" s="93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 ht="36.75" customHeight="1">
      <c r="A701" s="93"/>
      <c r="B701" s="93"/>
      <c r="C701" s="93"/>
      <c r="D701" s="93"/>
      <c r="E701" s="93"/>
      <c r="F701" s="93"/>
      <c r="G701" s="93"/>
      <c r="H701" s="50"/>
      <c r="I701" s="93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 ht="36.75" customHeight="1">
      <c r="A702" s="93"/>
      <c r="B702" s="93"/>
      <c r="C702" s="93"/>
      <c r="D702" s="93"/>
      <c r="E702" s="93"/>
      <c r="F702" s="93"/>
      <c r="G702" s="93"/>
      <c r="H702" s="50"/>
      <c r="I702" s="93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 ht="36.75" customHeight="1">
      <c r="A703" s="93"/>
      <c r="B703" s="93"/>
      <c r="C703" s="93"/>
      <c r="D703" s="93"/>
      <c r="E703" s="93"/>
      <c r="F703" s="93"/>
      <c r="G703" s="93"/>
      <c r="H703" s="50"/>
      <c r="I703" s="93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 ht="36.75" customHeight="1">
      <c r="A704" s="93"/>
      <c r="B704" s="93"/>
      <c r="C704" s="93"/>
      <c r="D704" s="93"/>
      <c r="E704" s="93"/>
      <c r="F704" s="93"/>
      <c r="G704" s="93"/>
      <c r="H704" s="50"/>
      <c r="I704" s="93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 ht="36.75" customHeight="1">
      <c r="A705" s="93"/>
      <c r="B705" s="93"/>
      <c r="C705" s="93"/>
      <c r="D705" s="93"/>
      <c r="E705" s="93"/>
      <c r="F705" s="93"/>
      <c r="G705" s="93"/>
      <c r="H705" s="50"/>
      <c r="I705" s="93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 ht="36.75" customHeight="1">
      <c r="A706" s="93"/>
      <c r="B706" s="93"/>
      <c r="C706" s="93"/>
      <c r="D706" s="93"/>
      <c r="E706" s="93"/>
      <c r="F706" s="93"/>
      <c r="G706" s="93"/>
      <c r="H706" s="50"/>
      <c r="I706" s="93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 ht="36.75" customHeight="1">
      <c r="A707" s="93"/>
      <c r="B707" s="93"/>
      <c r="C707" s="93"/>
      <c r="D707" s="93"/>
      <c r="E707" s="93"/>
      <c r="F707" s="93"/>
      <c r="G707" s="93"/>
      <c r="H707" s="50"/>
      <c r="I707" s="93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 ht="36.75" customHeight="1">
      <c r="A708" s="93"/>
      <c r="B708" s="93"/>
      <c r="C708" s="93"/>
      <c r="D708" s="93"/>
      <c r="E708" s="93"/>
      <c r="F708" s="93"/>
      <c r="G708" s="93"/>
      <c r="H708" s="50"/>
      <c r="I708" s="93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 ht="36.75" customHeight="1">
      <c r="A709" s="93"/>
      <c r="B709" s="93"/>
      <c r="C709" s="93"/>
      <c r="D709" s="93"/>
      <c r="E709" s="93"/>
      <c r="F709" s="93"/>
      <c r="G709" s="93"/>
      <c r="H709" s="50"/>
      <c r="I709" s="93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 ht="36.75" customHeight="1">
      <c r="A710" s="93"/>
      <c r="B710" s="93"/>
      <c r="C710" s="93"/>
      <c r="D710" s="93"/>
      <c r="E710" s="93"/>
      <c r="F710" s="93"/>
      <c r="G710" s="93"/>
      <c r="H710" s="50"/>
      <c r="I710" s="93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 ht="36.75" customHeight="1">
      <c r="A711" s="93"/>
      <c r="B711" s="93"/>
      <c r="C711" s="93"/>
      <c r="D711" s="93"/>
      <c r="E711" s="93"/>
      <c r="F711" s="93"/>
      <c r="G711" s="93"/>
      <c r="H711" s="50"/>
      <c r="I711" s="93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 ht="36.75" customHeight="1">
      <c r="A712" s="93"/>
      <c r="B712" s="93"/>
      <c r="C712" s="93"/>
      <c r="D712" s="93"/>
      <c r="E712" s="93"/>
      <c r="F712" s="93"/>
      <c r="G712" s="93"/>
      <c r="H712" s="50"/>
      <c r="I712" s="93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 ht="36.75" customHeight="1">
      <c r="A713" s="93"/>
      <c r="B713" s="93"/>
      <c r="C713" s="93"/>
      <c r="D713" s="93"/>
      <c r="E713" s="93"/>
      <c r="F713" s="93"/>
      <c r="G713" s="93"/>
      <c r="H713" s="50"/>
      <c r="I713" s="93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 ht="36.75" customHeight="1">
      <c r="A714" s="93"/>
      <c r="B714" s="93"/>
      <c r="C714" s="93"/>
      <c r="D714" s="93"/>
      <c r="E714" s="93"/>
      <c r="F714" s="93"/>
      <c r="G714" s="93"/>
      <c r="H714" s="50"/>
      <c r="I714" s="93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 ht="36.75" customHeight="1">
      <c r="A715" s="93"/>
      <c r="B715" s="93"/>
      <c r="C715" s="93"/>
      <c r="D715" s="93"/>
      <c r="E715" s="93"/>
      <c r="F715" s="93"/>
      <c r="G715" s="93"/>
      <c r="H715" s="50"/>
      <c r="I715" s="93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 ht="36.75" customHeight="1">
      <c r="A716" s="93"/>
      <c r="B716" s="93"/>
      <c r="C716" s="93"/>
      <c r="D716" s="93"/>
      <c r="E716" s="93"/>
      <c r="F716" s="93"/>
      <c r="G716" s="93"/>
      <c r="H716" s="50"/>
      <c r="I716" s="93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 ht="36.75" customHeight="1">
      <c r="A717" s="93"/>
      <c r="B717" s="93"/>
      <c r="C717" s="93"/>
      <c r="D717" s="93"/>
      <c r="E717" s="93"/>
      <c r="F717" s="93"/>
      <c r="G717" s="93"/>
      <c r="H717" s="50"/>
      <c r="I717" s="93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 ht="36.75" customHeight="1">
      <c r="A718" s="93"/>
      <c r="B718" s="93"/>
      <c r="C718" s="93"/>
      <c r="D718" s="93"/>
      <c r="E718" s="93"/>
      <c r="F718" s="93"/>
      <c r="G718" s="93"/>
      <c r="H718" s="50"/>
      <c r="I718" s="93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 ht="36.75" customHeight="1">
      <c r="A719" s="93"/>
      <c r="B719" s="93"/>
      <c r="C719" s="93"/>
      <c r="D719" s="93"/>
      <c r="E719" s="93"/>
      <c r="F719" s="93"/>
      <c r="G719" s="93"/>
      <c r="H719" s="50"/>
      <c r="I719" s="93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 ht="36.75" customHeight="1">
      <c r="A720" s="93"/>
      <c r="B720" s="93"/>
      <c r="C720" s="93"/>
      <c r="D720" s="93"/>
      <c r="E720" s="93"/>
      <c r="F720" s="93"/>
      <c r="G720" s="93"/>
      <c r="H720" s="50"/>
      <c r="I720" s="93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 ht="36.75" customHeight="1">
      <c r="A721" s="93"/>
      <c r="B721" s="93"/>
      <c r="C721" s="93"/>
      <c r="D721" s="93"/>
      <c r="E721" s="93"/>
      <c r="F721" s="93"/>
      <c r="G721" s="93"/>
      <c r="H721" s="50"/>
      <c r="I721" s="93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 ht="36.75" customHeight="1">
      <c r="A722" s="93"/>
      <c r="B722" s="93"/>
      <c r="C722" s="93"/>
      <c r="D722" s="93"/>
      <c r="E722" s="93"/>
      <c r="F722" s="93"/>
      <c r="G722" s="93"/>
      <c r="H722" s="50"/>
      <c r="I722" s="93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 ht="36.75" customHeight="1">
      <c r="A723" s="93"/>
      <c r="B723" s="93"/>
      <c r="C723" s="93"/>
      <c r="D723" s="93"/>
      <c r="E723" s="93"/>
      <c r="F723" s="93"/>
      <c r="G723" s="93"/>
      <c r="H723" s="50"/>
      <c r="I723" s="93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 ht="36.75" customHeight="1">
      <c r="A724" s="93"/>
      <c r="B724" s="93"/>
      <c r="C724" s="93"/>
      <c r="D724" s="93"/>
      <c r="E724" s="93"/>
      <c r="F724" s="93"/>
      <c r="G724" s="93"/>
      <c r="H724" s="50"/>
      <c r="I724" s="93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 ht="36.75" customHeight="1">
      <c r="A725" s="93"/>
      <c r="B725" s="93"/>
      <c r="C725" s="93"/>
      <c r="D725" s="93"/>
      <c r="E725" s="93"/>
      <c r="F725" s="93"/>
      <c r="G725" s="93"/>
      <c r="H725" s="50"/>
      <c r="I725" s="93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 ht="36.75" customHeight="1">
      <c r="A726" s="93"/>
      <c r="B726" s="93"/>
      <c r="C726" s="93"/>
      <c r="D726" s="93"/>
      <c r="E726" s="93"/>
      <c r="F726" s="93"/>
      <c r="G726" s="93"/>
      <c r="H726" s="50"/>
      <c r="I726" s="93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 ht="36.75" customHeight="1">
      <c r="A727" s="93"/>
      <c r="B727" s="93"/>
      <c r="C727" s="93"/>
      <c r="D727" s="93"/>
      <c r="E727" s="93"/>
      <c r="F727" s="93"/>
      <c r="G727" s="93"/>
      <c r="H727" s="50"/>
      <c r="I727" s="93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 ht="36.75" customHeight="1">
      <c r="A728" s="93"/>
      <c r="B728" s="93"/>
      <c r="C728" s="93"/>
      <c r="D728" s="93"/>
      <c r="E728" s="93"/>
      <c r="F728" s="93"/>
      <c r="G728" s="93"/>
      <c r="H728" s="50"/>
      <c r="I728" s="93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 ht="36.75" customHeight="1">
      <c r="A729" s="93"/>
      <c r="B729" s="93"/>
      <c r="C729" s="93"/>
      <c r="D729" s="93"/>
      <c r="E729" s="93"/>
      <c r="F729" s="93"/>
      <c r="G729" s="93"/>
      <c r="H729" s="50"/>
      <c r="I729" s="93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 ht="36.75" customHeight="1">
      <c r="A730" s="93"/>
      <c r="B730" s="93"/>
      <c r="C730" s="93"/>
      <c r="D730" s="93"/>
      <c r="E730" s="93"/>
      <c r="F730" s="93"/>
      <c r="G730" s="93"/>
      <c r="H730" s="50"/>
      <c r="I730" s="93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 ht="36.75" customHeight="1">
      <c r="A731" s="93"/>
      <c r="B731" s="93"/>
      <c r="C731" s="93"/>
      <c r="D731" s="93"/>
      <c r="E731" s="93"/>
      <c r="F731" s="93"/>
      <c r="G731" s="93"/>
      <c r="H731" s="50"/>
      <c r="I731" s="93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 ht="36.75" customHeight="1">
      <c r="A732" s="93"/>
      <c r="B732" s="93"/>
      <c r="C732" s="93"/>
      <c r="D732" s="93"/>
      <c r="E732" s="93"/>
      <c r="F732" s="93"/>
      <c r="G732" s="93"/>
      <c r="H732" s="50"/>
      <c r="I732" s="93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 ht="36.75" customHeight="1">
      <c r="A733" s="93"/>
      <c r="B733" s="93"/>
      <c r="C733" s="93"/>
      <c r="D733" s="93"/>
      <c r="E733" s="93"/>
      <c r="F733" s="93"/>
      <c r="G733" s="93"/>
      <c r="H733" s="50"/>
      <c r="I733" s="93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ht="36.75" customHeight="1">
      <c r="A734" s="93"/>
      <c r="B734" s="93"/>
      <c r="C734" s="93"/>
      <c r="D734" s="93"/>
      <c r="E734" s="93"/>
      <c r="F734" s="93"/>
      <c r="G734" s="93"/>
      <c r="H734" s="50"/>
      <c r="I734" s="93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 ht="36.75" customHeight="1">
      <c r="A735" s="93"/>
      <c r="B735" s="93"/>
      <c r="C735" s="93"/>
      <c r="D735" s="93"/>
      <c r="E735" s="93"/>
      <c r="F735" s="93"/>
      <c r="G735" s="93"/>
      <c r="H735" s="50"/>
      <c r="I735" s="93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 ht="36.75" customHeight="1">
      <c r="A736" s="93"/>
      <c r="B736" s="93"/>
      <c r="C736" s="93"/>
      <c r="D736" s="93"/>
      <c r="E736" s="93"/>
      <c r="F736" s="93"/>
      <c r="G736" s="93"/>
      <c r="H736" s="50"/>
      <c r="I736" s="93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 ht="36.75" customHeight="1">
      <c r="A737" s="93"/>
      <c r="B737" s="93"/>
      <c r="C737" s="93"/>
      <c r="D737" s="93"/>
      <c r="E737" s="93"/>
      <c r="F737" s="93"/>
      <c r="G737" s="93"/>
      <c r="H737" s="50"/>
      <c r="I737" s="93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 ht="36.75" customHeight="1">
      <c r="A738" s="93"/>
      <c r="B738" s="93"/>
      <c r="C738" s="93"/>
      <c r="D738" s="93"/>
      <c r="E738" s="93"/>
      <c r="F738" s="93"/>
      <c r="G738" s="93"/>
      <c r="H738" s="50"/>
      <c r="I738" s="93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ht="36.75" customHeight="1">
      <c r="A739" s="93"/>
      <c r="B739" s="93"/>
      <c r="C739" s="93"/>
      <c r="D739" s="93"/>
      <c r="E739" s="93"/>
      <c r="F739" s="93"/>
      <c r="G739" s="93"/>
      <c r="H739" s="50"/>
      <c r="I739" s="93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ht="36.75" customHeight="1">
      <c r="A740" s="93"/>
      <c r="B740" s="93"/>
      <c r="C740" s="93"/>
      <c r="D740" s="93"/>
      <c r="E740" s="93"/>
      <c r="F740" s="93"/>
      <c r="G740" s="93"/>
      <c r="H740" s="50"/>
      <c r="I740" s="93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 ht="36.75" customHeight="1">
      <c r="A741" s="93"/>
      <c r="B741" s="93"/>
      <c r="C741" s="93"/>
      <c r="D741" s="93"/>
      <c r="E741" s="93"/>
      <c r="F741" s="93"/>
      <c r="G741" s="93"/>
      <c r="H741" s="50"/>
      <c r="I741" s="93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 ht="36.75" customHeight="1">
      <c r="A742" s="93"/>
      <c r="B742" s="93"/>
      <c r="C742" s="93"/>
      <c r="D742" s="93"/>
      <c r="E742" s="93"/>
      <c r="F742" s="93"/>
      <c r="G742" s="93"/>
      <c r="H742" s="50"/>
      <c r="I742" s="93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 ht="36.75" customHeight="1">
      <c r="A743" s="93"/>
      <c r="B743" s="93"/>
      <c r="C743" s="93"/>
      <c r="D743" s="93"/>
      <c r="E743" s="93"/>
      <c r="F743" s="93"/>
      <c r="G743" s="93"/>
      <c r="H743" s="50"/>
      <c r="I743" s="93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 ht="36.75" customHeight="1">
      <c r="A744" s="93"/>
      <c r="B744" s="93"/>
      <c r="C744" s="93"/>
      <c r="D744" s="93"/>
      <c r="E744" s="93"/>
      <c r="F744" s="93"/>
      <c r="G744" s="93"/>
      <c r="H744" s="50"/>
      <c r="I744" s="93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 ht="36.75" customHeight="1">
      <c r="A745" s="93"/>
      <c r="B745" s="93"/>
      <c r="C745" s="93"/>
      <c r="D745" s="93"/>
      <c r="E745" s="93"/>
      <c r="F745" s="93"/>
      <c r="G745" s="93"/>
      <c r="H745" s="50"/>
      <c r="I745" s="93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 ht="36.75" customHeight="1">
      <c r="A746" s="93"/>
      <c r="B746" s="93"/>
      <c r="C746" s="93"/>
      <c r="D746" s="93"/>
      <c r="E746" s="93"/>
      <c r="F746" s="93"/>
      <c r="G746" s="93"/>
      <c r="H746" s="50"/>
      <c r="I746" s="93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 ht="36.75" customHeight="1">
      <c r="A747" s="93"/>
      <c r="B747" s="93"/>
      <c r="C747" s="93"/>
      <c r="D747" s="93"/>
      <c r="E747" s="93"/>
      <c r="F747" s="93"/>
      <c r="G747" s="93"/>
      <c r="H747" s="50"/>
      <c r="I747" s="93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 ht="36.75" customHeight="1">
      <c r="A748" s="93"/>
      <c r="B748" s="93"/>
      <c r="C748" s="93"/>
      <c r="D748" s="93"/>
      <c r="E748" s="93"/>
      <c r="F748" s="93"/>
      <c r="G748" s="93"/>
      <c r="H748" s="50"/>
      <c r="I748" s="93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 ht="36.75" customHeight="1">
      <c r="A749" s="93"/>
      <c r="B749" s="93"/>
      <c r="C749" s="93"/>
      <c r="D749" s="93"/>
      <c r="E749" s="93"/>
      <c r="F749" s="93"/>
      <c r="G749" s="93"/>
      <c r="H749" s="50"/>
      <c r="I749" s="93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 ht="36.75" customHeight="1">
      <c r="A750" s="93"/>
      <c r="B750" s="93"/>
      <c r="C750" s="93"/>
      <c r="D750" s="93"/>
      <c r="E750" s="93"/>
      <c r="F750" s="93"/>
      <c r="G750" s="93"/>
      <c r="H750" s="50"/>
      <c r="I750" s="93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 ht="36.75" customHeight="1">
      <c r="A751" s="93"/>
      <c r="B751" s="93"/>
      <c r="C751" s="93"/>
      <c r="D751" s="93"/>
      <c r="E751" s="93"/>
      <c r="F751" s="93"/>
      <c r="G751" s="93"/>
      <c r="H751" s="50"/>
      <c r="I751" s="93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 ht="36.75" customHeight="1">
      <c r="A752" s="93"/>
      <c r="B752" s="93"/>
      <c r="C752" s="93"/>
      <c r="D752" s="93"/>
      <c r="E752" s="93"/>
      <c r="F752" s="93"/>
      <c r="G752" s="93"/>
      <c r="H752" s="50"/>
      <c r="I752" s="93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 ht="36.75" customHeight="1">
      <c r="A753" s="93"/>
      <c r="B753" s="93"/>
      <c r="C753" s="93"/>
      <c r="D753" s="93"/>
      <c r="E753" s="93"/>
      <c r="F753" s="93"/>
      <c r="G753" s="93"/>
      <c r="H753" s="50"/>
      <c r="I753" s="93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 ht="36.75" customHeight="1">
      <c r="A754" s="93"/>
      <c r="B754" s="93"/>
      <c r="C754" s="93"/>
      <c r="D754" s="93"/>
      <c r="E754" s="93"/>
      <c r="F754" s="93"/>
      <c r="G754" s="93"/>
      <c r="H754" s="50"/>
      <c r="I754" s="93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 ht="36.75" customHeight="1">
      <c r="A755" s="93"/>
      <c r="B755" s="93"/>
      <c r="C755" s="93"/>
      <c r="D755" s="93"/>
      <c r="E755" s="93"/>
      <c r="F755" s="93"/>
      <c r="G755" s="93"/>
      <c r="H755" s="50"/>
      <c r="I755" s="93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 ht="36.75" customHeight="1">
      <c r="A756" s="93"/>
      <c r="B756" s="93"/>
      <c r="C756" s="93"/>
      <c r="D756" s="93"/>
      <c r="E756" s="93"/>
      <c r="F756" s="93"/>
      <c r="G756" s="93"/>
      <c r="H756" s="50"/>
      <c r="I756" s="93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 ht="36.75" customHeight="1">
      <c r="A757" s="93"/>
      <c r="B757" s="93"/>
      <c r="C757" s="93"/>
      <c r="D757" s="93"/>
      <c r="E757" s="93"/>
      <c r="F757" s="93"/>
      <c r="G757" s="93"/>
      <c r="H757" s="50"/>
      <c r="I757" s="93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 ht="36.75" customHeight="1">
      <c r="A758" s="93"/>
      <c r="B758" s="93"/>
      <c r="C758" s="93"/>
      <c r="D758" s="93"/>
      <c r="E758" s="93"/>
      <c r="F758" s="93"/>
      <c r="G758" s="93"/>
      <c r="H758" s="50"/>
      <c r="I758" s="93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 ht="36.75" customHeight="1">
      <c r="A759" s="93"/>
      <c r="B759" s="93"/>
      <c r="C759" s="93"/>
      <c r="D759" s="93"/>
      <c r="E759" s="93"/>
      <c r="F759" s="93"/>
      <c r="G759" s="93"/>
      <c r="H759" s="50"/>
      <c r="I759" s="93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 ht="36.75" customHeight="1">
      <c r="A760" s="93"/>
      <c r="B760" s="93"/>
      <c r="C760" s="93"/>
      <c r="D760" s="93"/>
      <c r="E760" s="93"/>
      <c r="F760" s="93"/>
      <c r="G760" s="93"/>
      <c r="H760" s="50"/>
      <c r="I760" s="93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 ht="36.75" customHeight="1">
      <c r="A761" s="93"/>
      <c r="B761" s="93"/>
      <c r="C761" s="93"/>
      <c r="D761" s="93"/>
      <c r="E761" s="93"/>
      <c r="F761" s="93"/>
      <c r="G761" s="93"/>
      <c r="H761" s="50"/>
      <c r="I761" s="93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 ht="36.75" customHeight="1">
      <c r="A762" s="93"/>
      <c r="B762" s="93"/>
      <c r="C762" s="93"/>
      <c r="D762" s="93"/>
      <c r="E762" s="93"/>
      <c r="F762" s="93"/>
      <c r="G762" s="93"/>
      <c r="H762" s="50"/>
      <c r="I762" s="93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 ht="36.75" customHeight="1">
      <c r="A763" s="93"/>
      <c r="B763" s="93"/>
      <c r="C763" s="93"/>
      <c r="D763" s="93"/>
      <c r="E763" s="93"/>
      <c r="F763" s="93"/>
      <c r="G763" s="93"/>
      <c r="H763" s="50"/>
      <c r="I763" s="93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 ht="36.75" customHeight="1">
      <c r="A764" s="93"/>
      <c r="B764" s="93"/>
      <c r="C764" s="93"/>
      <c r="D764" s="93"/>
      <c r="E764" s="93"/>
      <c r="F764" s="93"/>
      <c r="G764" s="93"/>
      <c r="H764" s="50"/>
      <c r="I764" s="93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 ht="36.75" customHeight="1">
      <c r="A765" s="93"/>
      <c r="B765" s="93"/>
      <c r="C765" s="93"/>
      <c r="D765" s="93"/>
      <c r="E765" s="93"/>
      <c r="F765" s="93"/>
      <c r="G765" s="93"/>
      <c r="H765" s="50"/>
      <c r="I765" s="93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 ht="36.75" customHeight="1">
      <c r="A766" s="93"/>
      <c r="B766" s="93"/>
      <c r="C766" s="93"/>
      <c r="D766" s="93"/>
      <c r="E766" s="93"/>
      <c r="F766" s="93"/>
      <c r="G766" s="93"/>
      <c r="H766" s="50"/>
      <c r="I766" s="93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 ht="36.75" customHeight="1">
      <c r="A767" s="93"/>
      <c r="B767" s="93"/>
      <c r="C767" s="93"/>
      <c r="D767" s="93"/>
      <c r="E767" s="93"/>
      <c r="F767" s="93"/>
      <c r="G767" s="93"/>
      <c r="H767" s="50"/>
      <c r="I767" s="93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 ht="36.75" customHeight="1">
      <c r="A768" s="93"/>
      <c r="B768" s="93"/>
      <c r="C768" s="93"/>
      <c r="D768" s="93"/>
      <c r="E768" s="93"/>
      <c r="F768" s="93"/>
      <c r="G768" s="93"/>
      <c r="H768" s="50"/>
      <c r="I768" s="93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 ht="36.75" customHeight="1">
      <c r="A769" s="93"/>
      <c r="B769" s="93"/>
      <c r="C769" s="93"/>
      <c r="D769" s="93"/>
      <c r="E769" s="93"/>
      <c r="F769" s="93"/>
      <c r="G769" s="93"/>
      <c r="H769" s="50"/>
      <c r="I769" s="93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 ht="36.75" customHeight="1">
      <c r="A770" s="93"/>
      <c r="B770" s="93"/>
      <c r="C770" s="93"/>
      <c r="D770" s="93"/>
      <c r="E770" s="93"/>
      <c r="F770" s="93"/>
      <c r="G770" s="93"/>
      <c r="H770" s="50"/>
      <c r="I770" s="93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 ht="36.75" customHeight="1">
      <c r="A771" s="93"/>
      <c r="B771" s="93"/>
      <c r="C771" s="93"/>
      <c r="D771" s="93"/>
      <c r="E771" s="93"/>
      <c r="F771" s="93"/>
      <c r="G771" s="93"/>
      <c r="H771" s="50"/>
      <c r="I771" s="93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 ht="36.75" customHeight="1">
      <c r="A772" s="93"/>
      <c r="B772" s="93"/>
      <c r="C772" s="93"/>
      <c r="D772" s="93"/>
      <c r="E772" s="93"/>
      <c r="F772" s="93"/>
      <c r="G772" s="93"/>
      <c r="H772" s="50"/>
      <c r="I772" s="93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 ht="36.75" customHeight="1">
      <c r="A773" s="93"/>
      <c r="B773" s="93"/>
      <c r="C773" s="93"/>
      <c r="D773" s="93"/>
      <c r="E773" s="93"/>
      <c r="F773" s="93"/>
      <c r="G773" s="93"/>
      <c r="H773" s="50"/>
      <c r="I773" s="93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 ht="36.75" customHeight="1">
      <c r="A774" s="93"/>
      <c r="B774" s="93"/>
      <c r="C774" s="93"/>
      <c r="D774" s="93"/>
      <c r="E774" s="93"/>
      <c r="F774" s="93"/>
      <c r="G774" s="93"/>
      <c r="H774" s="50"/>
      <c r="I774" s="93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 ht="36.75" customHeight="1">
      <c r="A775" s="93"/>
      <c r="B775" s="93"/>
      <c r="C775" s="93"/>
      <c r="D775" s="93"/>
      <c r="E775" s="93"/>
      <c r="F775" s="93"/>
      <c r="G775" s="93"/>
      <c r="H775" s="50"/>
      <c r="I775" s="93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 ht="36.75" customHeight="1">
      <c r="A776" s="93"/>
      <c r="B776" s="93"/>
      <c r="C776" s="93"/>
      <c r="D776" s="93"/>
      <c r="E776" s="93"/>
      <c r="F776" s="93"/>
      <c r="G776" s="93"/>
      <c r="H776" s="50"/>
      <c r="I776" s="93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 ht="36.75" customHeight="1">
      <c r="A777" s="93"/>
      <c r="B777" s="93"/>
      <c r="C777" s="93"/>
      <c r="D777" s="93"/>
      <c r="E777" s="93"/>
      <c r="F777" s="93"/>
      <c r="G777" s="93"/>
      <c r="H777" s="50"/>
      <c r="I777" s="93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 ht="36.75" customHeight="1">
      <c r="A778" s="93"/>
      <c r="B778" s="93"/>
      <c r="C778" s="93"/>
      <c r="D778" s="93"/>
      <c r="E778" s="93"/>
      <c r="F778" s="93"/>
      <c r="G778" s="93"/>
      <c r="H778" s="50"/>
      <c r="I778" s="93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 ht="36.75" customHeight="1">
      <c r="A779" s="93"/>
      <c r="B779" s="93"/>
      <c r="C779" s="93"/>
      <c r="D779" s="93"/>
      <c r="E779" s="93"/>
      <c r="F779" s="93"/>
      <c r="G779" s="93"/>
      <c r="H779" s="50"/>
      <c r="I779" s="93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 ht="36.75" customHeight="1">
      <c r="A780" s="93"/>
      <c r="B780" s="93"/>
      <c r="C780" s="93"/>
      <c r="D780" s="93"/>
      <c r="E780" s="93"/>
      <c r="F780" s="93"/>
      <c r="G780" s="93"/>
      <c r="H780" s="50"/>
      <c r="I780" s="93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 ht="36.75" customHeight="1">
      <c r="A781" s="93"/>
      <c r="B781" s="93"/>
      <c r="C781" s="93"/>
      <c r="D781" s="93"/>
      <c r="E781" s="93"/>
      <c r="F781" s="93"/>
      <c r="G781" s="93"/>
      <c r="H781" s="50"/>
      <c r="I781" s="93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 ht="36.75" customHeight="1">
      <c r="A782" s="93"/>
      <c r="B782" s="93"/>
      <c r="C782" s="93"/>
      <c r="D782" s="93"/>
      <c r="E782" s="93"/>
      <c r="F782" s="93"/>
      <c r="G782" s="93"/>
      <c r="H782" s="50"/>
      <c r="I782" s="93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 ht="36.75" customHeight="1">
      <c r="A783" s="93"/>
      <c r="B783" s="93"/>
      <c r="C783" s="93"/>
      <c r="D783" s="93"/>
      <c r="E783" s="93"/>
      <c r="F783" s="93"/>
      <c r="G783" s="93"/>
      <c r="H783" s="50"/>
      <c r="I783" s="93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 ht="36.75" customHeight="1">
      <c r="A784" s="93"/>
      <c r="B784" s="93"/>
      <c r="C784" s="93"/>
      <c r="D784" s="93"/>
      <c r="E784" s="93"/>
      <c r="F784" s="93"/>
      <c r="G784" s="93"/>
      <c r="H784" s="50"/>
      <c r="I784" s="93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 ht="36.75" customHeight="1">
      <c r="A785" s="93"/>
      <c r="B785" s="93"/>
      <c r="C785" s="93"/>
      <c r="D785" s="93"/>
      <c r="E785" s="93"/>
      <c r="F785" s="93"/>
      <c r="G785" s="93"/>
      <c r="H785" s="50"/>
      <c r="I785" s="93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 ht="36.75" customHeight="1">
      <c r="A786" s="93"/>
      <c r="B786" s="93"/>
      <c r="C786" s="93"/>
      <c r="D786" s="93"/>
      <c r="E786" s="93"/>
      <c r="F786" s="93"/>
      <c r="G786" s="93"/>
      <c r="H786" s="50"/>
      <c r="I786" s="93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 ht="36.75" customHeight="1">
      <c r="A787" s="93"/>
      <c r="B787" s="93"/>
      <c r="C787" s="93"/>
      <c r="D787" s="93"/>
      <c r="E787" s="93"/>
      <c r="F787" s="93"/>
      <c r="G787" s="93"/>
      <c r="H787" s="50"/>
      <c r="I787" s="93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 ht="36.75" customHeight="1">
      <c r="A788" s="93"/>
      <c r="B788" s="93"/>
      <c r="C788" s="93"/>
      <c r="D788" s="93"/>
      <c r="E788" s="93"/>
      <c r="F788" s="93"/>
      <c r="G788" s="93"/>
      <c r="H788" s="50"/>
      <c r="I788" s="93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 ht="36.75" customHeight="1">
      <c r="A789" s="93"/>
      <c r="B789" s="93"/>
      <c r="C789" s="93"/>
      <c r="D789" s="93"/>
      <c r="E789" s="93"/>
      <c r="F789" s="93"/>
      <c r="G789" s="93"/>
      <c r="H789" s="50"/>
      <c r="I789" s="93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 ht="36.75" customHeight="1">
      <c r="A790" s="93"/>
      <c r="B790" s="93"/>
      <c r="C790" s="93"/>
      <c r="D790" s="93"/>
      <c r="E790" s="93"/>
      <c r="F790" s="93"/>
      <c r="G790" s="93"/>
      <c r="H790" s="50"/>
      <c r="I790" s="93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 ht="36.75" customHeight="1">
      <c r="A791" s="93"/>
      <c r="B791" s="93"/>
      <c r="C791" s="93"/>
      <c r="D791" s="93"/>
      <c r="E791" s="93"/>
      <c r="F791" s="93"/>
      <c r="G791" s="93"/>
      <c r="H791" s="50"/>
      <c r="I791" s="93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 ht="36.75" customHeight="1">
      <c r="A792" s="93"/>
      <c r="B792" s="93"/>
      <c r="C792" s="93"/>
      <c r="D792" s="93"/>
      <c r="E792" s="93"/>
      <c r="F792" s="93"/>
      <c r="G792" s="93"/>
      <c r="H792" s="50"/>
      <c r="I792" s="93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 ht="36.75" customHeight="1">
      <c r="A793" s="93"/>
      <c r="B793" s="93"/>
      <c r="C793" s="93"/>
      <c r="D793" s="93"/>
      <c r="E793" s="93"/>
      <c r="F793" s="93"/>
      <c r="G793" s="93"/>
      <c r="H793" s="50"/>
      <c r="I793" s="93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 ht="36.75" customHeight="1">
      <c r="A794" s="93"/>
      <c r="B794" s="93"/>
      <c r="C794" s="93"/>
      <c r="D794" s="93"/>
      <c r="E794" s="93"/>
      <c r="F794" s="93"/>
      <c r="G794" s="93"/>
      <c r="H794" s="50"/>
      <c r="I794" s="93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 ht="36.75" customHeight="1">
      <c r="A795" s="93"/>
      <c r="B795" s="93"/>
      <c r="C795" s="93"/>
      <c r="D795" s="93"/>
      <c r="E795" s="93"/>
      <c r="F795" s="93"/>
      <c r="G795" s="93"/>
      <c r="H795" s="50"/>
      <c r="I795" s="93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 ht="36.75" customHeight="1">
      <c r="A796" s="93"/>
      <c r="B796" s="93"/>
      <c r="C796" s="93"/>
      <c r="D796" s="93"/>
      <c r="E796" s="93"/>
      <c r="F796" s="93"/>
      <c r="G796" s="93"/>
      <c r="H796" s="50"/>
      <c r="I796" s="93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 ht="36.75" customHeight="1">
      <c r="A797" s="93"/>
      <c r="B797" s="93"/>
      <c r="C797" s="93"/>
      <c r="D797" s="93"/>
      <c r="E797" s="93"/>
      <c r="F797" s="93"/>
      <c r="G797" s="93"/>
      <c r="H797" s="50"/>
      <c r="I797" s="93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 ht="36.75" customHeight="1">
      <c r="A798" s="93"/>
      <c r="B798" s="93"/>
      <c r="C798" s="93"/>
      <c r="D798" s="93"/>
      <c r="E798" s="93"/>
      <c r="F798" s="93"/>
      <c r="G798" s="93"/>
      <c r="H798" s="50"/>
      <c r="I798" s="93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 ht="36.75" customHeight="1">
      <c r="A799" s="93"/>
      <c r="B799" s="93"/>
      <c r="C799" s="93"/>
      <c r="D799" s="93"/>
      <c r="E799" s="93"/>
      <c r="F799" s="93"/>
      <c r="G799" s="93"/>
      <c r="H799" s="50"/>
      <c r="I799" s="93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ht="36.75" customHeight="1">
      <c r="A800" s="93"/>
      <c r="B800" s="93"/>
      <c r="C800" s="93"/>
      <c r="D800" s="93"/>
      <c r="E800" s="93"/>
      <c r="F800" s="93"/>
      <c r="G800" s="93"/>
      <c r="H800" s="50"/>
      <c r="I800" s="93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 ht="36.75" customHeight="1">
      <c r="A801" s="93"/>
      <c r="B801" s="93"/>
      <c r="C801" s="93"/>
      <c r="D801" s="93"/>
      <c r="E801" s="93"/>
      <c r="F801" s="93"/>
      <c r="G801" s="93"/>
      <c r="H801" s="50"/>
      <c r="I801" s="93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 ht="36.75" customHeight="1">
      <c r="A802" s="93"/>
      <c r="B802" s="93"/>
      <c r="C802" s="93"/>
      <c r="D802" s="93"/>
      <c r="E802" s="93"/>
      <c r="F802" s="93"/>
      <c r="G802" s="93"/>
      <c r="H802" s="50"/>
      <c r="I802" s="93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ht="36.75" customHeight="1">
      <c r="A803" s="93"/>
      <c r="B803" s="93"/>
      <c r="C803" s="93"/>
      <c r="D803" s="93"/>
      <c r="E803" s="93"/>
      <c r="F803" s="93"/>
      <c r="G803" s="93"/>
      <c r="H803" s="50"/>
      <c r="I803" s="93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ht="36.75" customHeight="1">
      <c r="A804" s="93"/>
      <c r="B804" s="93"/>
      <c r="C804" s="93"/>
      <c r="D804" s="93"/>
      <c r="E804" s="93"/>
      <c r="F804" s="93"/>
      <c r="G804" s="93"/>
      <c r="H804" s="50"/>
      <c r="I804" s="93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ht="36.75" customHeight="1">
      <c r="A805" s="93"/>
      <c r="B805" s="93"/>
      <c r="C805" s="93"/>
      <c r="D805" s="93"/>
      <c r="E805" s="93"/>
      <c r="F805" s="93"/>
      <c r="G805" s="93"/>
      <c r="H805" s="50"/>
      <c r="I805" s="93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 ht="36.75" customHeight="1">
      <c r="A806" s="93"/>
      <c r="B806" s="93"/>
      <c r="C806" s="93"/>
      <c r="D806" s="93"/>
      <c r="E806" s="93"/>
      <c r="F806" s="93"/>
      <c r="G806" s="93"/>
      <c r="H806" s="50"/>
      <c r="I806" s="93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 ht="36.75" customHeight="1">
      <c r="A807" s="93"/>
      <c r="B807" s="93"/>
      <c r="C807" s="93"/>
      <c r="D807" s="93"/>
      <c r="E807" s="93"/>
      <c r="F807" s="93"/>
      <c r="G807" s="93"/>
      <c r="H807" s="50"/>
      <c r="I807" s="93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 ht="36.75" customHeight="1">
      <c r="A808" s="93"/>
      <c r="B808" s="93"/>
      <c r="C808" s="93"/>
      <c r="D808" s="93"/>
      <c r="E808" s="93"/>
      <c r="F808" s="93"/>
      <c r="G808" s="93"/>
      <c r="H808" s="50"/>
      <c r="I808" s="93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 ht="36.75" customHeight="1">
      <c r="A809" s="93"/>
      <c r="B809" s="93"/>
      <c r="C809" s="93"/>
      <c r="D809" s="93"/>
      <c r="E809" s="93"/>
      <c r="F809" s="93"/>
      <c r="G809" s="93"/>
      <c r="H809" s="50"/>
      <c r="I809" s="93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 ht="36.75" customHeight="1">
      <c r="A810" s="93"/>
      <c r="B810" s="93"/>
      <c r="C810" s="93"/>
      <c r="D810" s="93"/>
      <c r="E810" s="93"/>
      <c r="F810" s="93"/>
      <c r="G810" s="93"/>
      <c r="H810" s="50"/>
      <c r="I810" s="93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 ht="36.75" customHeight="1">
      <c r="A811" s="93"/>
      <c r="B811" s="93"/>
      <c r="C811" s="93"/>
      <c r="D811" s="93"/>
      <c r="E811" s="93"/>
      <c r="F811" s="93"/>
      <c r="G811" s="93"/>
      <c r="H811" s="50"/>
      <c r="I811" s="93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 ht="36.75" customHeight="1">
      <c r="A812" s="93"/>
      <c r="B812" s="93"/>
      <c r="C812" s="93"/>
      <c r="D812" s="93"/>
      <c r="E812" s="93"/>
      <c r="F812" s="93"/>
      <c r="G812" s="93"/>
      <c r="H812" s="50"/>
      <c r="I812" s="93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 ht="36.75" customHeight="1">
      <c r="A813" s="93"/>
      <c r="B813" s="93"/>
      <c r="C813" s="93"/>
      <c r="D813" s="93"/>
      <c r="E813" s="93"/>
      <c r="F813" s="93"/>
      <c r="G813" s="93"/>
      <c r="H813" s="50"/>
      <c r="I813" s="93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 ht="36.75" customHeight="1">
      <c r="A814" s="93"/>
      <c r="B814" s="93"/>
      <c r="C814" s="93"/>
      <c r="D814" s="93"/>
      <c r="E814" s="93"/>
      <c r="F814" s="93"/>
      <c r="G814" s="93"/>
      <c r="H814" s="50"/>
      <c r="I814" s="93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 ht="36.75" customHeight="1">
      <c r="A815" s="93"/>
      <c r="B815" s="93"/>
      <c r="C815" s="93"/>
      <c r="D815" s="93"/>
      <c r="E815" s="93"/>
      <c r="F815" s="93"/>
      <c r="G815" s="93"/>
      <c r="H815" s="50"/>
      <c r="I815" s="93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 ht="36.75" customHeight="1">
      <c r="A816" s="93"/>
      <c r="B816" s="93"/>
      <c r="C816" s="93"/>
      <c r="D816" s="93"/>
      <c r="E816" s="93"/>
      <c r="F816" s="93"/>
      <c r="G816" s="93"/>
      <c r="H816" s="50"/>
      <c r="I816" s="93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 ht="36.75" customHeight="1">
      <c r="A817" s="93"/>
      <c r="B817" s="93"/>
      <c r="C817" s="93"/>
      <c r="D817" s="93"/>
      <c r="E817" s="93"/>
      <c r="F817" s="93"/>
      <c r="G817" s="93"/>
      <c r="H817" s="50"/>
      <c r="I817" s="93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 ht="36.75" customHeight="1">
      <c r="A818" s="93"/>
      <c r="B818" s="93"/>
      <c r="C818" s="93"/>
      <c r="D818" s="93"/>
      <c r="E818" s="93"/>
      <c r="F818" s="93"/>
      <c r="G818" s="93"/>
      <c r="H818" s="50"/>
      <c r="I818" s="93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 ht="36.75" customHeight="1">
      <c r="A819" s="93"/>
      <c r="B819" s="93"/>
      <c r="C819" s="93"/>
      <c r="D819" s="93"/>
      <c r="E819" s="93"/>
      <c r="F819" s="93"/>
      <c r="G819" s="93"/>
      <c r="H819" s="50"/>
      <c r="I819" s="93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 ht="36.75" customHeight="1">
      <c r="A820" s="93"/>
      <c r="B820" s="93"/>
      <c r="C820" s="93"/>
      <c r="D820" s="93"/>
      <c r="E820" s="93"/>
      <c r="F820" s="93"/>
      <c r="G820" s="93"/>
      <c r="H820" s="50"/>
      <c r="I820" s="93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 ht="36.75" customHeight="1">
      <c r="A821" s="93"/>
      <c r="B821" s="93"/>
      <c r="C821" s="93"/>
      <c r="D821" s="93"/>
      <c r="E821" s="93"/>
      <c r="F821" s="93"/>
      <c r="G821" s="93"/>
      <c r="H821" s="50"/>
      <c r="I821" s="93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 ht="36.75" customHeight="1">
      <c r="A822" s="93"/>
      <c r="B822" s="93"/>
      <c r="C822" s="93"/>
      <c r="D822" s="93"/>
      <c r="E822" s="93"/>
      <c r="F822" s="93"/>
      <c r="G822" s="93"/>
      <c r="H822" s="50"/>
      <c r="I822" s="93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 ht="36.75" customHeight="1">
      <c r="A823" s="93"/>
      <c r="B823" s="93"/>
      <c r="C823" s="93"/>
      <c r="D823" s="93"/>
      <c r="E823" s="93"/>
      <c r="F823" s="93"/>
      <c r="G823" s="93"/>
      <c r="H823" s="50"/>
      <c r="I823" s="93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 ht="36.75" customHeight="1">
      <c r="A824" s="93"/>
      <c r="B824" s="93"/>
      <c r="C824" s="93"/>
      <c r="D824" s="93"/>
      <c r="E824" s="93"/>
      <c r="F824" s="93"/>
      <c r="G824" s="93"/>
      <c r="H824" s="50"/>
      <c r="I824" s="93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 ht="36.75" customHeight="1">
      <c r="A825" s="93"/>
      <c r="B825" s="93"/>
      <c r="C825" s="93"/>
      <c r="D825" s="93"/>
      <c r="E825" s="93"/>
      <c r="F825" s="93"/>
      <c r="G825" s="93"/>
      <c r="H825" s="50"/>
      <c r="I825" s="93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 ht="36.75" customHeight="1">
      <c r="A826" s="93"/>
      <c r="B826" s="93"/>
      <c r="C826" s="93"/>
      <c r="D826" s="93"/>
      <c r="E826" s="93"/>
      <c r="F826" s="93"/>
      <c r="G826" s="93"/>
      <c r="H826" s="50"/>
      <c r="I826" s="93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 ht="36.75" customHeight="1">
      <c r="A827" s="93"/>
      <c r="B827" s="93"/>
      <c r="C827" s="93"/>
      <c r="D827" s="93"/>
      <c r="E827" s="93"/>
      <c r="F827" s="93"/>
      <c r="G827" s="93"/>
      <c r="H827" s="50"/>
      <c r="I827" s="93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 ht="36.75" customHeight="1">
      <c r="A828" s="93"/>
      <c r="B828" s="93"/>
      <c r="C828" s="93"/>
      <c r="D828" s="93"/>
      <c r="E828" s="93"/>
      <c r="F828" s="93"/>
      <c r="G828" s="93"/>
      <c r="H828" s="50"/>
      <c r="I828" s="93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 ht="36.75" customHeight="1">
      <c r="A829" s="93"/>
      <c r="B829" s="93"/>
      <c r="C829" s="93"/>
      <c r="D829" s="93"/>
      <c r="E829" s="93"/>
      <c r="F829" s="93"/>
      <c r="G829" s="93"/>
      <c r="H829" s="50"/>
      <c r="I829" s="93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 ht="36.75" customHeight="1">
      <c r="A830" s="93"/>
      <c r="B830" s="93"/>
      <c r="C830" s="93"/>
      <c r="D830" s="93"/>
      <c r="E830" s="93"/>
      <c r="F830" s="93"/>
      <c r="G830" s="93"/>
      <c r="H830" s="50"/>
      <c r="I830" s="93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 ht="36.75" customHeight="1">
      <c r="A831" s="93"/>
      <c r="B831" s="93"/>
      <c r="C831" s="93"/>
      <c r="D831" s="93"/>
      <c r="E831" s="93"/>
      <c r="F831" s="93"/>
      <c r="G831" s="93"/>
      <c r="H831" s="50"/>
      <c r="I831" s="93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 ht="36.75" customHeight="1">
      <c r="A832" s="93"/>
      <c r="B832" s="93"/>
      <c r="C832" s="93"/>
      <c r="D832" s="93"/>
      <c r="E832" s="93"/>
      <c r="F832" s="93"/>
      <c r="G832" s="93"/>
      <c r="H832" s="50"/>
      <c r="I832" s="93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 ht="36.75" customHeight="1">
      <c r="A833" s="93"/>
      <c r="B833" s="93"/>
      <c r="C833" s="93"/>
      <c r="D833" s="93"/>
      <c r="E833" s="93"/>
      <c r="F833" s="93"/>
      <c r="G833" s="93"/>
      <c r="H833" s="50"/>
      <c r="I833" s="93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 ht="36.75" customHeight="1">
      <c r="A834" s="93"/>
      <c r="B834" s="93"/>
      <c r="C834" s="93"/>
      <c r="D834" s="93"/>
      <c r="E834" s="93"/>
      <c r="F834" s="93"/>
      <c r="G834" s="93"/>
      <c r="H834" s="50"/>
      <c r="I834" s="93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 ht="36.75" customHeight="1">
      <c r="A835" s="93"/>
      <c r="B835" s="93"/>
      <c r="C835" s="93"/>
      <c r="D835" s="93"/>
      <c r="E835" s="93"/>
      <c r="F835" s="93"/>
      <c r="G835" s="93"/>
      <c r="H835" s="50"/>
      <c r="I835" s="93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 ht="36.75" customHeight="1">
      <c r="A836" s="93"/>
      <c r="B836" s="93"/>
      <c r="C836" s="93"/>
      <c r="D836" s="93"/>
      <c r="E836" s="93"/>
      <c r="F836" s="93"/>
      <c r="G836" s="93"/>
      <c r="H836" s="50"/>
      <c r="I836" s="93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 ht="36.75" customHeight="1">
      <c r="A837" s="93"/>
      <c r="B837" s="93"/>
      <c r="C837" s="93"/>
      <c r="D837" s="93"/>
      <c r="E837" s="93"/>
      <c r="F837" s="93"/>
      <c r="G837" s="93"/>
      <c r="H837" s="50"/>
      <c r="I837" s="93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 ht="36.75" customHeight="1">
      <c r="A838" s="93"/>
      <c r="B838" s="93"/>
      <c r="C838" s="93"/>
      <c r="D838" s="93"/>
      <c r="E838" s="93"/>
      <c r="F838" s="93"/>
      <c r="G838" s="93"/>
      <c r="H838" s="50"/>
      <c r="I838" s="93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 ht="36.75" customHeight="1">
      <c r="A839" s="93"/>
      <c r="B839" s="93"/>
      <c r="C839" s="93"/>
      <c r="D839" s="93"/>
      <c r="E839" s="93"/>
      <c r="F839" s="93"/>
      <c r="G839" s="93"/>
      <c r="H839" s="50"/>
      <c r="I839" s="93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 ht="36.75" customHeight="1">
      <c r="A840" s="93"/>
      <c r="B840" s="93"/>
      <c r="C840" s="93"/>
      <c r="D840" s="93"/>
      <c r="E840" s="93"/>
      <c r="F840" s="93"/>
      <c r="G840" s="93"/>
      <c r="H840" s="50"/>
      <c r="I840" s="93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 ht="36.75" customHeight="1">
      <c r="A841" s="93"/>
      <c r="B841" s="93"/>
      <c r="C841" s="93"/>
      <c r="D841" s="93"/>
      <c r="E841" s="93"/>
      <c r="F841" s="93"/>
      <c r="G841" s="93"/>
      <c r="H841" s="50"/>
      <c r="I841" s="93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 ht="36.75" customHeight="1">
      <c r="A842" s="93"/>
      <c r="B842" s="93"/>
      <c r="C842" s="93"/>
      <c r="D842" s="93"/>
      <c r="E842" s="93"/>
      <c r="F842" s="93"/>
      <c r="G842" s="93"/>
      <c r="H842" s="50"/>
      <c r="I842" s="93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 ht="36.75" customHeight="1">
      <c r="A843" s="93"/>
      <c r="B843" s="93"/>
      <c r="C843" s="93"/>
      <c r="D843" s="93"/>
      <c r="E843" s="93"/>
      <c r="F843" s="93"/>
      <c r="G843" s="93"/>
      <c r="H843" s="50"/>
      <c r="I843" s="93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 ht="36.75" customHeight="1">
      <c r="A844" s="93"/>
      <c r="B844" s="93"/>
      <c r="C844" s="93"/>
      <c r="D844" s="93"/>
      <c r="E844" s="93"/>
      <c r="F844" s="93"/>
      <c r="G844" s="93"/>
      <c r="H844" s="50"/>
      <c r="I844" s="93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 ht="36.75" customHeight="1">
      <c r="A845" s="93"/>
      <c r="B845" s="93"/>
      <c r="C845" s="93"/>
      <c r="D845" s="93"/>
      <c r="E845" s="93"/>
      <c r="F845" s="93"/>
      <c r="G845" s="93"/>
      <c r="H845" s="50"/>
      <c r="I845" s="93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 ht="36.75" customHeight="1">
      <c r="A846" s="93"/>
      <c r="B846" s="93"/>
      <c r="C846" s="93"/>
      <c r="D846" s="93"/>
      <c r="E846" s="93"/>
      <c r="F846" s="93"/>
      <c r="G846" s="93"/>
      <c r="H846" s="50"/>
      <c r="I846" s="93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 ht="36.75" customHeight="1">
      <c r="A847" s="93"/>
      <c r="B847" s="93"/>
      <c r="C847" s="93"/>
      <c r="D847" s="93"/>
      <c r="E847" s="93"/>
      <c r="F847" s="93"/>
      <c r="G847" s="93"/>
      <c r="H847" s="50"/>
      <c r="I847" s="93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 ht="36.75" customHeight="1">
      <c r="A848" s="93"/>
      <c r="B848" s="93"/>
      <c r="C848" s="93"/>
      <c r="D848" s="93"/>
      <c r="E848" s="93"/>
      <c r="F848" s="93"/>
      <c r="G848" s="93"/>
      <c r="H848" s="50"/>
      <c r="I848" s="93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ht="36.75" customHeight="1">
      <c r="A849" s="93"/>
      <c r="B849" s="93"/>
      <c r="C849" s="93"/>
      <c r="D849" s="93"/>
      <c r="E849" s="93"/>
      <c r="F849" s="93"/>
      <c r="G849" s="93"/>
      <c r="H849" s="50"/>
      <c r="I849" s="93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 ht="36.75" customHeight="1">
      <c r="A850" s="93"/>
      <c r="B850" s="93"/>
      <c r="C850" s="93"/>
      <c r="D850" s="93"/>
      <c r="E850" s="93"/>
      <c r="F850" s="93"/>
      <c r="G850" s="93"/>
      <c r="H850" s="50"/>
      <c r="I850" s="93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 ht="36.75" customHeight="1">
      <c r="A851" s="93"/>
      <c r="B851" s="93"/>
      <c r="C851" s="93"/>
      <c r="D851" s="93"/>
      <c r="E851" s="93"/>
      <c r="F851" s="93"/>
      <c r="G851" s="93"/>
      <c r="H851" s="50"/>
      <c r="I851" s="93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 ht="36.75" customHeight="1">
      <c r="A852" s="93"/>
      <c r="B852" s="93"/>
      <c r="C852" s="93"/>
      <c r="D852" s="93"/>
      <c r="E852" s="93"/>
      <c r="F852" s="93"/>
      <c r="G852" s="93"/>
      <c r="H852" s="50"/>
      <c r="I852" s="93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 ht="36.75" customHeight="1">
      <c r="A853" s="93"/>
      <c r="B853" s="93"/>
      <c r="C853" s="93"/>
      <c r="D853" s="93"/>
      <c r="E853" s="93"/>
      <c r="F853" s="93"/>
      <c r="G853" s="93"/>
      <c r="H853" s="50"/>
      <c r="I853" s="93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 ht="36.75" customHeight="1">
      <c r="A854" s="93"/>
      <c r="B854" s="93"/>
      <c r="C854" s="93"/>
      <c r="D854" s="93"/>
      <c r="E854" s="93"/>
      <c r="F854" s="93"/>
      <c r="G854" s="93"/>
      <c r="H854" s="50"/>
      <c r="I854" s="93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 ht="36.75" customHeight="1">
      <c r="A855" s="93"/>
      <c r="B855" s="93"/>
      <c r="C855" s="93"/>
      <c r="D855" s="93"/>
      <c r="E855" s="93"/>
      <c r="F855" s="93"/>
      <c r="G855" s="93"/>
      <c r="H855" s="50"/>
      <c r="I855" s="93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 ht="36.75" customHeight="1">
      <c r="A856" s="93"/>
      <c r="B856" s="93"/>
      <c r="C856" s="50"/>
      <c r="D856" s="50"/>
      <c r="E856" s="50"/>
      <c r="F856" s="50"/>
      <c r="G856" s="93"/>
      <c r="H856" s="50"/>
      <c r="I856" s="93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 ht="36.75" customHeight="1">
      <c r="A857" s="93"/>
      <c r="B857" s="93"/>
      <c r="C857" s="50"/>
      <c r="D857" s="50"/>
      <c r="E857" s="50"/>
      <c r="F857" s="50"/>
      <c r="G857" s="93"/>
      <c r="H857" s="50"/>
      <c r="I857" s="93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 ht="36.75" customHeight="1">
      <c r="A858" s="93"/>
      <c r="B858" s="93"/>
      <c r="C858" s="50"/>
      <c r="D858" s="50"/>
      <c r="E858" s="50"/>
      <c r="F858" s="50"/>
      <c r="G858" s="93"/>
      <c r="H858" s="50"/>
      <c r="I858" s="93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 ht="36.75" customHeight="1">
      <c r="A859" s="93"/>
      <c r="B859" s="93"/>
      <c r="C859" s="50"/>
      <c r="D859" s="50"/>
      <c r="E859" s="50"/>
      <c r="F859" s="50"/>
      <c r="G859" s="93"/>
      <c r="H859" s="50"/>
      <c r="I859" s="93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 ht="36.75" customHeight="1">
      <c r="A860" s="93"/>
      <c r="B860" s="93"/>
      <c r="C860" s="50"/>
      <c r="D860" s="50"/>
      <c r="E860" s="50"/>
      <c r="F860" s="50"/>
      <c r="G860" s="93"/>
      <c r="H860" s="50"/>
      <c r="I860" s="93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 ht="36.75" customHeight="1">
      <c r="A861" s="93"/>
      <c r="B861" s="93"/>
      <c r="C861" s="50"/>
      <c r="D861" s="50"/>
      <c r="E861" s="50"/>
      <c r="F861" s="50"/>
      <c r="G861" s="93"/>
      <c r="H861" s="50"/>
      <c r="I861" s="93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 ht="36.75" customHeight="1">
      <c r="A862" s="93"/>
      <c r="B862" s="93"/>
      <c r="C862" s="50"/>
      <c r="D862" s="50"/>
      <c r="E862" s="50"/>
      <c r="F862" s="50"/>
      <c r="G862" s="93"/>
      <c r="H862" s="50"/>
      <c r="I862" s="93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 ht="36.75" customHeight="1">
      <c r="A863" s="93"/>
      <c r="B863" s="93"/>
      <c r="C863" s="50"/>
      <c r="D863" s="50"/>
      <c r="E863" s="50"/>
      <c r="F863" s="50"/>
      <c r="G863" s="93"/>
      <c r="H863" s="50"/>
      <c r="I863" s="93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 ht="36.75" customHeight="1">
      <c r="A864" s="93"/>
      <c r="B864" s="93"/>
      <c r="C864" s="50"/>
      <c r="D864" s="50"/>
      <c r="E864" s="50"/>
      <c r="F864" s="50"/>
      <c r="G864" s="93"/>
      <c r="H864" s="50"/>
      <c r="I864" s="93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 ht="36.75" customHeight="1">
      <c r="A865" s="93"/>
      <c r="B865" s="93"/>
      <c r="C865" s="50"/>
      <c r="D865" s="50"/>
      <c r="E865" s="50"/>
      <c r="F865" s="50"/>
      <c r="G865" s="93"/>
      <c r="H865" s="50"/>
      <c r="I865" s="93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 ht="36.75" customHeight="1">
      <c r="A866" s="93"/>
      <c r="B866" s="93"/>
      <c r="C866" s="50"/>
      <c r="D866" s="50"/>
      <c r="E866" s="50"/>
      <c r="F866" s="50"/>
      <c r="G866" s="93"/>
      <c r="H866" s="50"/>
      <c r="I866" s="93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 ht="36.75" customHeight="1">
      <c r="A867" s="93"/>
      <c r="B867" s="93"/>
      <c r="C867" s="50"/>
      <c r="D867" s="50"/>
      <c r="E867" s="50"/>
      <c r="F867" s="50"/>
      <c r="G867" s="93"/>
      <c r="H867" s="50"/>
      <c r="I867" s="93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</row>
    <row r="868" ht="36.75" customHeight="1">
      <c r="A868" s="93"/>
      <c r="B868" s="93"/>
      <c r="C868" s="50"/>
      <c r="D868" s="50"/>
      <c r="E868" s="50"/>
      <c r="F868" s="50"/>
      <c r="G868" s="93"/>
      <c r="H868" s="50"/>
      <c r="I868" s="93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</row>
    <row r="869" ht="36.75" customHeight="1">
      <c r="A869" s="93"/>
      <c r="B869" s="93"/>
      <c r="C869" s="50"/>
      <c r="D869" s="50"/>
      <c r="E869" s="50"/>
      <c r="F869" s="50"/>
      <c r="G869" s="93"/>
      <c r="H869" s="50"/>
      <c r="I869" s="93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</row>
    <row r="870" ht="36.75" customHeight="1">
      <c r="A870" s="93"/>
      <c r="B870" s="93"/>
      <c r="C870" s="50"/>
      <c r="D870" s="50"/>
      <c r="E870" s="50"/>
      <c r="F870" s="50"/>
      <c r="G870" s="93"/>
      <c r="H870" s="50"/>
      <c r="I870" s="93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 ht="36.75" customHeight="1">
      <c r="A871" s="93"/>
      <c r="B871" s="93"/>
      <c r="C871" s="50"/>
      <c r="D871" s="50"/>
      <c r="E871" s="50"/>
      <c r="F871" s="50"/>
      <c r="G871" s="93"/>
      <c r="H871" s="50"/>
      <c r="I871" s="93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</row>
    <row r="872" ht="36.75" customHeight="1">
      <c r="A872" s="93"/>
      <c r="B872" s="93"/>
      <c r="C872" s="50"/>
      <c r="D872" s="50"/>
      <c r="E872" s="50"/>
      <c r="F872" s="50"/>
      <c r="G872" s="93"/>
      <c r="H872" s="50"/>
      <c r="I872" s="93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</row>
    <row r="873" ht="36.75" customHeight="1">
      <c r="A873" s="93"/>
      <c r="B873" s="93"/>
      <c r="C873" s="50"/>
      <c r="D873" s="50"/>
      <c r="E873" s="50"/>
      <c r="F873" s="50"/>
      <c r="G873" s="93"/>
      <c r="H873" s="50"/>
      <c r="I873" s="93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</row>
    <row r="874" ht="36.75" customHeight="1">
      <c r="A874" s="93"/>
      <c r="B874" s="93"/>
      <c r="C874" s="50"/>
      <c r="D874" s="50"/>
      <c r="E874" s="50"/>
      <c r="F874" s="50"/>
      <c r="G874" s="93"/>
      <c r="H874" s="50"/>
      <c r="I874" s="93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</row>
    <row r="875" ht="36.75" customHeight="1">
      <c r="A875" s="93"/>
      <c r="B875" s="93"/>
      <c r="C875" s="50"/>
      <c r="D875" s="50"/>
      <c r="E875" s="50"/>
      <c r="F875" s="50"/>
      <c r="G875" s="93"/>
      <c r="H875" s="50"/>
      <c r="I875" s="93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</row>
    <row r="876" ht="36.75" customHeight="1">
      <c r="A876" s="93"/>
      <c r="B876" s="93"/>
      <c r="C876" s="50"/>
      <c r="D876" s="50"/>
      <c r="E876" s="50"/>
      <c r="F876" s="50"/>
      <c r="G876" s="93"/>
      <c r="H876" s="50"/>
      <c r="I876" s="93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 ht="36.75" customHeight="1">
      <c r="A877" s="93"/>
      <c r="B877" s="93"/>
      <c r="C877" s="50"/>
      <c r="D877" s="50"/>
      <c r="E877" s="50"/>
      <c r="F877" s="50"/>
      <c r="G877" s="93"/>
      <c r="H877" s="50"/>
      <c r="I877" s="93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</row>
    <row r="878" ht="36.75" customHeight="1">
      <c r="A878" s="93"/>
      <c r="B878" s="93"/>
      <c r="C878" s="50"/>
      <c r="D878" s="50"/>
      <c r="E878" s="50"/>
      <c r="F878" s="50"/>
      <c r="G878" s="93"/>
      <c r="H878" s="50"/>
      <c r="I878" s="93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</row>
    <row r="879" ht="36.75" customHeight="1">
      <c r="A879" s="93"/>
      <c r="B879" s="93"/>
      <c r="C879" s="50"/>
      <c r="D879" s="50"/>
      <c r="E879" s="50"/>
      <c r="F879" s="50"/>
      <c r="G879" s="93"/>
      <c r="H879" s="50"/>
      <c r="I879" s="93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</row>
    <row r="880" ht="36.75" customHeight="1">
      <c r="A880" s="93"/>
      <c r="B880" s="93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</row>
    <row r="881" ht="36.75" customHeight="1">
      <c r="A881" s="93"/>
      <c r="B881" s="93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</row>
    <row r="882" ht="36.75" customHeight="1">
      <c r="A882" s="93"/>
      <c r="B882" s="93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</row>
    <row r="883" ht="36.75" customHeight="1">
      <c r="A883" s="93"/>
      <c r="B883" s="93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</row>
    <row r="884" ht="36.75" customHeight="1">
      <c r="A884" s="93"/>
      <c r="B884" s="93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</row>
    <row r="885" ht="36.75" customHeight="1">
      <c r="A885" s="93"/>
      <c r="B885" s="93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</row>
    <row r="886" ht="36.75" customHeight="1">
      <c r="A886" s="93"/>
      <c r="B886" s="93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</row>
    <row r="887" ht="36.75" customHeight="1">
      <c r="A887" s="93"/>
      <c r="B887" s="93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</row>
    <row r="888" ht="36.75" customHeight="1">
      <c r="A888" s="93"/>
      <c r="B888" s="93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</row>
    <row r="889" ht="36.75" customHeight="1">
      <c r="A889" s="93"/>
      <c r="B889" s="93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</row>
    <row r="890" ht="36.75" customHeight="1">
      <c r="A890" s="93"/>
      <c r="B890" s="93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</row>
    <row r="891" ht="36.75" customHeight="1">
      <c r="A891" s="93"/>
      <c r="B891" s="93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</row>
    <row r="892" ht="36.75" customHeight="1">
      <c r="A892" s="93"/>
      <c r="B892" s="93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</row>
    <row r="893" ht="36.75" customHeight="1">
      <c r="A893" s="93"/>
      <c r="B893" s="93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</row>
    <row r="894" ht="36.75" customHeight="1">
      <c r="A894" s="93"/>
      <c r="B894" s="93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</row>
    <row r="895" ht="36.75" customHeight="1">
      <c r="A895" s="93"/>
      <c r="B895" s="93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</row>
    <row r="896" ht="36.75" customHeight="1">
      <c r="A896" s="93"/>
      <c r="B896" s="93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</row>
    <row r="897" ht="36.75" customHeight="1">
      <c r="A897" s="93"/>
      <c r="B897" s="93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</row>
    <row r="898" ht="36.75" customHeight="1">
      <c r="A898" s="93"/>
      <c r="B898" s="93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</row>
    <row r="899" ht="36.75" customHeight="1">
      <c r="A899" s="93"/>
      <c r="B899" s="93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</row>
    <row r="900" ht="36.75" customHeight="1">
      <c r="A900" s="93"/>
      <c r="B900" s="93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</row>
    <row r="901" ht="36.75" customHeight="1">
      <c r="A901" s="93"/>
      <c r="B901" s="93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</row>
    <row r="902" ht="36.75" customHeight="1">
      <c r="A902" s="93"/>
      <c r="B902" s="93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</row>
    <row r="903" ht="36.75" customHeight="1">
      <c r="A903" s="93"/>
      <c r="B903" s="93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</row>
    <row r="904" ht="36.75" customHeight="1">
      <c r="A904" s="93"/>
      <c r="B904" s="93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</row>
    <row r="905" ht="36.75" customHeight="1">
      <c r="A905" s="93"/>
      <c r="B905" s="93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</row>
    <row r="906" ht="36.75" customHeight="1">
      <c r="A906" s="93"/>
      <c r="B906" s="93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</row>
    <row r="907" ht="36.75" customHeight="1">
      <c r="A907" s="93"/>
      <c r="B907" s="93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</row>
    <row r="908" ht="36.75" customHeight="1">
      <c r="A908" s="93"/>
      <c r="B908" s="93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</row>
    <row r="909" ht="36.75" customHeight="1">
      <c r="A909" s="93"/>
      <c r="B909" s="93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</row>
    <row r="910" ht="36.75" customHeight="1">
      <c r="A910" s="93"/>
      <c r="B910" s="93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</row>
    <row r="911" ht="36.75" customHeight="1">
      <c r="A911" s="93"/>
      <c r="B911" s="93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</row>
    <row r="912" ht="36.75" customHeight="1">
      <c r="A912" s="93"/>
      <c r="B912" s="93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</row>
    <row r="913" ht="36.75" customHeight="1">
      <c r="A913" s="93"/>
      <c r="B913" s="93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</row>
    <row r="914" ht="36.75" customHeight="1">
      <c r="A914" s="93"/>
      <c r="B914" s="93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</row>
    <row r="915" ht="36.75" customHeight="1">
      <c r="A915" s="93"/>
      <c r="B915" s="93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</row>
    <row r="916" ht="36.75" customHeight="1">
      <c r="A916" s="93"/>
      <c r="B916" s="93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</row>
    <row r="917" ht="36.75" customHeight="1">
      <c r="A917" s="93"/>
      <c r="B917" s="93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</row>
    <row r="918" ht="36.75" customHeight="1">
      <c r="A918" s="93"/>
      <c r="B918" s="93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</row>
    <row r="919" ht="36.75" customHeight="1">
      <c r="A919" s="93"/>
      <c r="B919" s="93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</row>
  </sheetData>
  <autoFilter ref="$A$1:$M$919">
    <sortState ref="A1:M919">
      <sortCondition ref="B1:B919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14"/>
    <col customWidth="1" min="2" max="2" width="9.57"/>
    <col customWidth="1" min="3" max="3" width="14.0"/>
    <col customWidth="1" min="4" max="4" width="15.14"/>
    <col customWidth="1" min="5" max="5" width="14.57"/>
    <col customWidth="1" min="6" max="6" width="12.29"/>
    <col customWidth="1" min="7" max="7" width="11.0"/>
    <col customWidth="1" min="8" max="8" width="37.14"/>
    <col customWidth="1" min="9" max="9" width="20.86"/>
    <col customWidth="1" min="10" max="10" width="12.29"/>
    <col customWidth="1" min="11" max="22" width="23.29"/>
  </cols>
  <sheetData>
    <row r="1" ht="27.75" customHeight="1">
      <c r="A1" s="1" t="s">
        <v>0</v>
      </c>
      <c r="B1" s="1" t="s">
        <v>1</v>
      </c>
      <c r="C1" s="1" t="s">
        <v>2</v>
      </c>
      <c r="D1" s="49" t="s">
        <v>3</v>
      </c>
      <c r="E1" s="3" t="s">
        <v>4</v>
      </c>
      <c r="F1" s="1" t="s">
        <v>5</v>
      </c>
      <c r="G1" s="49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ht="27.75" customHeight="1">
      <c r="A2" s="130" t="s">
        <v>269</v>
      </c>
      <c r="B2" s="130" t="s">
        <v>270</v>
      </c>
      <c r="C2" s="129" t="s">
        <v>437</v>
      </c>
      <c r="D2" s="166">
        <v>4.0</v>
      </c>
      <c r="E2" s="130"/>
      <c r="F2" s="130" t="s">
        <v>437</v>
      </c>
      <c r="G2" s="130" t="s">
        <v>271</v>
      </c>
      <c r="H2" s="163" t="s">
        <v>272</v>
      </c>
      <c r="I2" s="132"/>
      <c r="J2" s="12" t="b">
        <v>0</v>
      </c>
      <c r="K2" s="13" t="s">
        <v>311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27.75" customHeight="1">
      <c r="A3" s="27" t="s">
        <v>24</v>
      </c>
      <c r="B3" s="27">
        <v>1026.0</v>
      </c>
      <c r="C3" s="28" t="s">
        <v>438</v>
      </c>
      <c r="D3" s="86">
        <v>1.0</v>
      </c>
      <c r="E3" s="27"/>
      <c r="F3" s="27" t="s">
        <v>437</v>
      </c>
      <c r="G3" s="27">
        <v>2.0</v>
      </c>
      <c r="H3" s="136" t="s">
        <v>160</v>
      </c>
      <c r="I3" s="122"/>
      <c r="J3" s="12" t="b">
        <v>0</v>
      </c>
      <c r="K3" s="13" t="s">
        <v>311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27.75" customHeight="1">
      <c r="A4" s="27" t="s">
        <v>24</v>
      </c>
      <c r="B4" s="27">
        <v>1025.0</v>
      </c>
      <c r="C4" s="28" t="s">
        <v>439</v>
      </c>
      <c r="D4" s="86">
        <v>2.0</v>
      </c>
      <c r="E4" s="27"/>
      <c r="F4" s="27" t="s">
        <v>437</v>
      </c>
      <c r="G4" s="27">
        <v>4.0</v>
      </c>
      <c r="H4" s="155"/>
      <c r="I4" s="122"/>
      <c r="J4" s="12" t="b">
        <v>0</v>
      </c>
      <c r="K4" s="13" t="s">
        <v>311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ht="27.75" customHeight="1">
      <c r="A5" s="113" t="s">
        <v>156</v>
      </c>
      <c r="B5" s="113" t="s">
        <v>25</v>
      </c>
      <c r="C5" s="126" t="s">
        <v>439</v>
      </c>
      <c r="D5" s="164">
        <v>2.0</v>
      </c>
      <c r="E5" s="128"/>
      <c r="F5" s="113" t="s">
        <v>437</v>
      </c>
      <c r="G5" s="114">
        <v>4.0</v>
      </c>
      <c r="H5" s="165"/>
      <c r="I5" s="128"/>
      <c r="J5" s="12" t="b">
        <v>0</v>
      </c>
      <c r="K5" s="13" t="s">
        <v>311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27.75" customHeight="1">
      <c r="A6" s="130" t="s">
        <v>170</v>
      </c>
      <c r="B6" s="130">
        <v>2324.0</v>
      </c>
      <c r="C6" s="129" t="s">
        <v>439</v>
      </c>
      <c r="D6" s="166">
        <v>1.0</v>
      </c>
      <c r="E6" s="130"/>
      <c r="F6" s="130" t="s">
        <v>437</v>
      </c>
      <c r="G6" s="130" t="s">
        <v>171</v>
      </c>
      <c r="H6" s="163" t="s">
        <v>172</v>
      </c>
      <c r="I6" s="132"/>
      <c r="J6" s="12" t="b">
        <v>0</v>
      </c>
      <c r="K6" s="13" t="s">
        <v>311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27.75" customHeight="1">
      <c r="A7" s="14" t="s">
        <v>17</v>
      </c>
      <c r="B7" s="14" t="s">
        <v>25</v>
      </c>
      <c r="C7" s="19" t="s">
        <v>440</v>
      </c>
      <c r="D7" s="195">
        <v>2.0</v>
      </c>
      <c r="E7" s="14"/>
      <c r="F7" s="14" t="s">
        <v>437</v>
      </c>
      <c r="G7" s="14">
        <v>3.0</v>
      </c>
      <c r="H7" s="207" t="s">
        <v>408</v>
      </c>
      <c r="I7" s="133"/>
      <c r="J7" s="12" t="b">
        <v>0</v>
      </c>
      <c r="K7" s="13" t="s">
        <v>311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27.75" customHeight="1">
      <c r="A8" s="8" t="s">
        <v>11</v>
      </c>
      <c r="B8" s="71">
        <v>1224.0</v>
      </c>
      <c r="C8" s="9" t="s">
        <v>441</v>
      </c>
      <c r="D8" s="65">
        <f>60/20</f>
        <v>3</v>
      </c>
      <c r="E8" s="8"/>
      <c r="F8" s="8" t="s">
        <v>437</v>
      </c>
      <c r="G8" s="8">
        <v>6.0</v>
      </c>
      <c r="H8" s="66" t="s">
        <v>442</v>
      </c>
      <c r="I8" s="83"/>
      <c r="J8" s="12" t="b">
        <v>0</v>
      </c>
      <c r="K8" s="13" t="s">
        <v>311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27.75" customHeight="1">
      <c r="A9" s="50"/>
      <c r="B9" s="93"/>
      <c r="C9" s="93"/>
      <c r="D9" s="106"/>
      <c r="E9" s="93"/>
      <c r="F9" s="93"/>
      <c r="G9" s="106"/>
      <c r="H9" s="50"/>
      <c r="I9" s="9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 ht="27.75" customHeight="1">
      <c r="A10" s="50"/>
      <c r="B10" s="93"/>
      <c r="C10" s="93"/>
      <c r="D10" s="106"/>
      <c r="E10" s="93"/>
      <c r="F10" s="93"/>
      <c r="G10" s="106"/>
      <c r="H10" s="50"/>
      <c r="I10" s="9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ht="27.75" customHeight="1">
      <c r="A11" s="50"/>
      <c r="B11" s="93"/>
      <c r="C11" s="93"/>
      <c r="D11" s="106"/>
      <c r="E11" s="93"/>
      <c r="F11" s="93"/>
      <c r="G11" s="106"/>
      <c r="H11" s="50"/>
      <c r="I11" s="93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 ht="27.75" customHeight="1">
      <c r="A12" s="50"/>
      <c r="B12" s="93"/>
      <c r="C12" s="93"/>
      <c r="D12" s="106"/>
      <c r="E12" s="93"/>
      <c r="F12" s="93"/>
      <c r="G12" s="106"/>
      <c r="H12" s="50"/>
      <c r="I12" s="9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ht="27.75" customHeight="1">
      <c r="A13" s="50"/>
      <c r="B13" s="93"/>
      <c r="C13" s="93"/>
      <c r="D13" s="106"/>
      <c r="E13" s="93"/>
      <c r="F13" s="93"/>
      <c r="G13" s="106"/>
      <c r="H13" s="50"/>
      <c r="I13" s="93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ht="27.75" customHeight="1">
      <c r="A14" s="50"/>
      <c r="B14" s="93"/>
      <c r="C14" s="93"/>
      <c r="D14" s="106"/>
      <c r="E14" s="93"/>
      <c r="F14" s="93"/>
      <c r="G14" s="106"/>
      <c r="H14" s="50"/>
      <c r="I14" s="9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 ht="27.75" customHeight="1">
      <c r="A15" s="50"/>
      <c r="B15" s="93"/>
      <c r="C15" s="93"/>
      <c r="D15" s="106"/>
      <c r="E15" s="93"/>
      <c r="F15" s="93"/>
      <c r="G15" s="106"/>
      <c r="H15" s="50"/>
      <c r="I15" s="93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</row>
    <row r="16" ht="27.75" customHeight="1">
      <c r="A16" s="50"/>
      <c r="B16" s="93"/>
      <c r="C16" s="93"/>
      <c r="D16" s="106"/>
      <c r="E16" s="93"/>
      <c r="F16" s="93"/>
      <c r="G16" s="106"/>
      <c r="H16" s="50"/>
      <c r="I16" s="9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</row>
    <row r="17" ht="27.75" customHeight="1">
      <c r="A17" s="50"/>
      <c r="B17" s="93"/>
      <c r="C17" s="93"/>
      <c r="D17" s="106"/>
      <c r="E17" s="93"/>
      <c r="F17" s="93"/>
      <c r="G17" s="106"/>
      <c r="H17" s="50"/>
      <c r="I17" s="9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 ht="27.75" customHeight="1">
      <c r="A18" s="50"/>
      <c r="B18" s="93"/>
      <c r="C18" s="93"/>
      <c r="D18" s="106"/>
      <c r="E18" s="93"/>
      <c r="F18" s="93"/>
      <c r="G18" s="106"/>
      <c r="H18" s="50"/>
      <c r="I18" s="9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 ht="27.75" customHeight="1">
      <c r="A19" s="50"/>
      <c r="B19" s="93"/>
      <c r="C19" s="93"/>
      <c r="D19" s="106"/>
      <c r="E19" s="93"/>
      <c r="F19" s="93"/>
      <c r="G19" s="106"/>
      <c r="H19" s="50"/>
      <c r="I19" s="9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</row>
    <row r="20" ht="27.75" customHeight="1">
      <c r="A20" s="50"/>
      <c r="B20" s="93"/>
      <c r="C20" s="93"/>
      <c r="D20" s="106"/>
      <c r="E20" s="93"/>
      <c r="F20" s="93"/>
      <c r="G20" s="106"/>
      <c r="H20" s="50"/>
      <c r="I20" s="9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ht="27.75" customHeight="1">
      <c r="A21" s="50"/>
      <c r="B21" s="93"/>
      <c r="C21" s="93"/>
      <c r="D21" s="106"/>
      <c r="E21" s="93"/>
      <c r="F21" s="93"/>
      <c r="G21" s="106"/>
      <c r="H21" s="50"/>
      <c r="I21" s="9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 ht="27.75" customHeight="1">
      <c r="A22" s="50"/>
      <c r="B22" s="93"/>
      <c r="C22" s="93"/>
      <c r="D22" s="106"/>
      <c r="E22" s="93"/>
      <c r="F22" s="93"/>
      <c r="G22" s="106"/>
      <c r="H22" s="50"/>
      <c r="I22" s="9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</row>
    <row r="23" ht="27.75" customHeight="1">
      <c r="A23" s="50"/>
      <c r="B23" s="93"/>
      <c r="C23" s="93"/>
      <c r="D23" s="106"/>
      <c r="E23" s="93"/>
      <c r="F23" s="93"/>
      <c r="G23" s="106"/>
      <c r="H23" s="50"/>
      <c r="I23" s="9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 ht="27.75" customHeight="1">
      <c r="A24" s="50"/>
      <c r="B24" s="93"/>
      <c r="C24" s="93"/>
      <c r="D24" s="106"/>
      <c r="E24" s="93"/>
      <c r="F24" s="93"/>
      <c r="G24" s="106"/>
      <c r="H24" s="50"/>
      <c r="I24" s="9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5" ht="27.75" customHeight="1">
      <c r="A25" s="50"/>
      <c r="B25" s="93"/>
      <c r="C25" s="93"/>
      <c r="D25" s="106"/>
      <c r="E25" s="93"/>
      <c r="F25" s="93"/>
      <c r="G25" s="106"/>
      <c r="H25" s="50"/>
      <c r="I25" s="9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ht="27.75" customHeight="1">
      <c r="A26" s="50"/>
      <c r="B26" s="93"/>
      <c r="C26" s="93"/>
      <c r="D26" s="106"/>
      <c r="E26" s="93"/>
      <c r="F26" s="93"/>
      <c r="G26" s="106"/>
      <c r="H26" s="50"/>
      <c r="I26" s="9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 ht="27.75" customHeight="1">
      <c r="A27" s="50"/>
      <c r="B27" s="93"/>
      <c r="C27" s="93"/>
      <c r="D27" s="106"/>
      <c r="E27" s="93"/>
      <c r="F27" s="93"/>
      <c r="G27" s="106"/>
      <c r="H27" s="50"/>
      <c r="I27" s="9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ht="27.75" customHeight="1">
      <c r="A28" s="50"/>
      <c r="B28" s="93"/>
      <c r="C28" s="93"/>
      <c r="D28" s="106"/>
      <c r="E28" s="93"/>
      <c r="F28" s="93"/>
      <c r="G28" s="106"/>
      <c r="H28" s="50"/>
      <c r="I28" s="9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ht="27.75" customHeight="1">
      <c r="A29" s="50"/>
      <c r="B29" s="93"/>
      <c r="C29" s="93"/>
      <c r="D29" s="106"/>
      <c r="E29" s="93"/>
      <c r="F29" s="93"/>
      <c r="G29" s="106"/>
      <c r="H29" s="50"/>
      <c r="I29" s="9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ht="27.75" customHeight="1">
      <c r="A30" s="50"/>
      <c r="B30" s="93"/>
      <c r="C30" s="93"/>
      <c r="D30" s="106"/>
      <c r="E30" s="93"/>
      <c r="F30" s="93"/>
      <c r="G30" s="106"/>
      <c r="H30" s="50"/>
      <c r="I30" s="9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 ht="27.75" customHeight="1">
      <c r="A31" s="50"/>
      <c r="B31" s="93"/>
      <c r="C31" s="93"/>
      <c r="D31" s="106"/>
      <c r="E31" s="93"/>
      <c r="F31" s="93"/>
      <c r="G31" s="106"/>
      <c r="H31" s="50"/>
      <c r="I31" s="9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ht="27.75" customHeight="1">
      <c r="A32" s="50"/>
      <c r="B32" s="93"/>
      <c r="C32" s="93"/>
      <c r="D32" s="106"/>
      <c r="E32" s="93"/>
      <c r="F32" s="93"/>
      <c r="G32" s="106"/>
      <c r="H32" s="50"/>
      <c r="I32" s="9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ht="27.75" customHeight="1">
      <c r="A33" s="50"/>
      <c r="B33" s="93"/>
      <c r="C33" s="93"/>
      <c r="D33" s="106"/>
      <c r="E33" s="93"/>
      <c r="F33" s="93"/>
      <c r="G33" s="106"/>
      <c r="H33" s="50"/>
      <c r="I33" s="9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ht="27.75" customHeight="1">
      <c r="A34" s="50"/>
      <c r="B34" s="93"/>
      <c r="C34" s="93"/>
      <c r="D34" s="106"/>
      <c r="E34" s="93"/>
      <c r="F34" s="93"/>
      <c r="G34" s="106"/>
      <c r="H34" s="50"/>
      <c r="I34" s="9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ht="27.75" customHeight="1">
      <c r="A35" s="50"/>
      <c r="B35" s="93"/>
      <c r="C35" s="93"/>
      <c r="D35" s="106"/>
      <c r="E35" s="93"/>
      <c r="F35" s="93"/>
      <c r="G35" s="106"/>
      <c r="H35" s="50"/>
      <c r="I35" s="9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ht="27.75" customHeight="1">
      <c r="A36" s="50"/>
      <c r="B36" s="93"/>
      <c r="C36" s="93"/>
      <c r="D36" s="106"/>
      <c r="E36" s="93"/>
      <c r="F36" s="93"/>
      <c r="G36" s="106"/>
      <c r="H36" s="50"/>
      <c r="I36" s="9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ht="27.75" customHeight="1">
      <c r="A37" s="50"/>
      <c r="B37" s="93"/>
      <c r="C37" s="93"/>
      <c r="D37" s="106"/>
      <c r="E37" s="93"/>
      <c r="F37" s="93"/>
      <c r="G37" s="106"/>
      <c r="H37" s="50"/>
      <c r="I37" s="9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 ht="27.75" customHeight="1">
      <c r="A38" s="50"/>
      <c r="B38" s="93"/>
      <c r="C38" s="93"/>
      <c r="D38" s="106"/>
      <c r="E38" s="93"/>
      <c r="F38" s="93"/>
      <c r="G38" s="106"/>
      <c r="H38" s="50"/>
      <c r="I38" s="9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 ht="27.75" customHeight="1">
      <c r="A39" s="50"/>
      <c r="B39" s="93"/>
      <c r="C39" s="93"/>
      <c r="D39" s="106"/>
      <c r="E39" s="93"/>
      <c r="F39" s="93"/>
      <c r="G39" s="106"/>
      <c r="H39" s="50"/>
      <c r="I39" s="9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</row>
    <row r="40" ht="27.75" customHeight="1">
      <c r="A40" s="50"/>
      <c r="B40" s="93"/>
      <c r="C40" s="93"/>
      <c r="D40" s="106"/>
      <c r="E40" s="93"/>
      <c r="F40" s="93"/>
      <c r="G40" s="106"/>
      <c r="H40" s="50"/>
      <c r="I40" s="9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</row>
    <row r="41" ht="27.75" customHeight="1">
      <c r="A41" s="50"/>
      <c r="B41" s="93"/>
      <c r="C41" s="93"/>
      <c r="D41" s="106"/>
      <c r="E41" s="93"/>
      <c r="F41" s="93"/>
      <c r="G41" s="106"/>
      <c r="H41" s="50"/>
      <c r="I41" s="9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</row>
    <row r="42" ht="27.75" customHeight="1">
      <c r="A42" s="50"/>
      <c r="B42" s="93"/>
      <c r="C42" s="93"/>
      <c r="D42" s="106"/>
      <c r="E42" s="93"/>
      <c r="F42" s="93"/>
      <c r="G42" s="106"/>
      <c r="H42" s="50"/>
      <c r="I42" s="9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</row>
    <row r="43" ht="27.75" customHeight="1">
      <c r="A43" s="50"/>
      <c r="B43" s="93"/>
      <c r="C43" s="93"/>
      <c r="D43" s="106"/>
      <c r="E43" s="93"/>
      <c r="F43" s="93"/>
      <c r="G43" s="106"/>
      <c r="H43" s="50"/>
      <c r="I43" s="9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 ht="27.75" customHeight="1">
      <c r="A44" s="50"/>
      <c r="B44" s="93"/>
      <c r="C44" s="93"/>
      <c r="D44" s="106"/>
      <c r="E44" s="93"/>
      <c r="F44" s="93"/>
      <c r="G44" s="106"/>
      <c r="H44" s="50"/>
      <c r="I44" s="9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</row>
    <row r="45" ht="27.75" customHeight="1">
      <c r="A45" s="50"/>
      <c r="B45" s="93"/>
      <c r="C45" s="93"/>
      <c r="D45" s="106"/>
      <c r="E45" s="93"/>
      <c r="F45" s="93"/>
      <c r="G45" s="106"/>
      <c r="H45" s="50"/>
      <c r="I45" s="9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 ht="27.75" customHeight="1">
      <c r="A46" s="50"/>
      <c r="B46" s="93"/>
      <c r="C46" s="93"/>
      <c r="D46" s="106"/>
      <c r="E46" s="93"/>
      <c r="F46" s="93"/>
      <c r="G46" s="106"/>
      <c r="H46" s="50"/>
      <c r="I46" s="9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</row>
    <row r="47" ht="27.75" customHeight="1">
      <c r="A47" s="50"/>
      <c r="B47" s="93"/>
      <c r="C47" s="93"/>
      <c r="D47" s="106"/>
      <c r="E47" s="93"/>
      <c r="F47" s="93"/>
      <c r="G47" s="106"/>
      <c r="H47" s="50"/>
      <c r="I47" s="9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ht="27.75" customHeight="1">
      <c r="A48" s="50"/>
      <c r="B48" s="93"/>
      <c r="C48" s="93"/>
      <c r="D48" s="106"/>
      <c r="E48" s="93"/>
      <c r="F48" s="93"/>
      <c r="G48" s="106"/>
      <c r="H48" s="50"/>
      <c r="I48" s="93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 ht="27.75" customHeight="1">
      <c r="A49" s="50"/>
      <c r="B49" s="93"/>
      <c r="C49" s="93"/>
      <c r="D49" s="106"/>
      <c r="E49" s="93"/>
      <c r="F49" s="93"/>
      <c r="G49" s="106"/>
      <c r="H49" s="50"/>
      <c r="I49" s="93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 ht="27.75" customHeight="1">
      <c r="A50" s="50"/>
      <c r="B50" s="93"/>
      <c r="C50" s="93"/>
      <c r="D50" s="106"/>
      <c r="E50" s="93"/>
      <c r="F50" s="93"/>
      <c r="G50" s="106"/>
      <c r="H50" s="50"/>
      <c r="I50" s="93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 ht="27.75" customHeight="1">
      <c r="A51" s="50"/>
      <c r="B51" s="93"/>
      <c r="C51" s="93"/>
      <c r="D51" s="106"/>
      <c r="E51" s="93"/>
      <c r="F51" s="93"/>
      <c r="G51" s="106"/>
      <c r="H51" s="50"/>
      <c r="I51" s="93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 ht="27.75" customHeight="1">
      <c r="A52" s="50"/>
      <c r="B52" s="93"/>
      <c r="C52" s="93"/>
      <c r="D52" s="106"/>
      <c r="E52" s="93"/>
      <c r="F52" s="93"/>
      <c r="G52" s="106"/>
      <c r="H52" s="50"/>
      <c r="I52" s="93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 ht="27.75" customHeight="1">
      <c r="A53" s="50"/>
      <c r="B53" s="93"/>
      <c r="C53" s="93"/>
      <c r="D53" s="106"/>
      <c r="E53" s="93"/>
      <c r="F53" s="93"/>
      <c r="G53" s="106"/>
      <c r="H53" s="50"/>
      <c r="I53" s="93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27.75" customHeight="1">
      <c r="A54" s="50"/>
      <c r="B54" s="93"/>
      <c r="C54" s="93"/>
      <c r="D54" s="106"/>
      <c r="E54" s="93"/>
      <c r="F54" s="93"/>
      <c r="G54" s="106"/>
      <c r="H54" s="50"/>
      <c r="I54" s="93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27.75" customHeight="1">
      <c r="A55" s="50"/>
      <c r="B55" s="93"/>
      <c r="C55" s="93"/>
      <c r="D55" s="106"/>
      <c r="E55" s="93"/>
      <c r="F55" s="93"/>
      <c r="G55" s="106"/>
      <c r="H55" s="50"/>
      <c r="I55" s="93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27.75" customHeight="1">
      <c r="A56" s="50"/>
      <c r="B56" s="93"/>
      <c r="C56" s="93"/>
      <c r="D56" s="106"/>
      <c r="E56" s="93"/>
      <c r="F56" s="93"/>
      <c r="G56" s="106"/>
      <c r="H56" s="50"/>
      <c r="I56" s="93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27.75" customHeight="1">
      <c r="A57" s="50"/>
      <c r="B57" s="93"/>
      <c r="C57" s="93"/>
      <c r="D57" s="106"/>
      <c r="E57" s="93"/>
      <c r="F57" s="93"/>
      <c r="G57" s="106"/>
      <c r="H57" s="50"/>
      <c r="I57" s="93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27.75" customHeight="1">
      <c r="A58" s="50"/>
      <c r="B58" s="93"/>
      <c r="C58" s="93"/>
      <c r="D58" s="106"/>
      <c r="E58" s="93"/>
      <c r="F58" s="93"/>
      <c r="G58" s="106"/>
      <c r="H58" s="50"/>
      <c r="I58" s="93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27.75" customHeight="1">
      <c r="A59" s="50"/>
      <c r="B59" s="93"/>
      <c r="C59" s="93"/>
      <c r="D59" s="106"/>
      <c r="E59" s="93"/>
      <c r="F59" s="93"/>
      <c r="G59" s="106"/>
      <c r="H59" s="50"/>
      <c r="I59" s="93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27.75" customHeight="1">
      <c r="A60" s="50"/>
      <c r="B60" s="93"/>
      <c r="C60" s="93"/>
      <c r="D60" s="106"/>
      <c r="E60" s="93"/>
      <c r="F60" s="93"/>
      <c r="G60" s="106"/>
      <c r="H60" s="50"/>
      <c r="I60" s="93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27.75" customHeight="1">
      <c r="A61" s="50"/>
      <c r="B61" s="93"/>
      <c r="C61" s="93"/>
      <c r="D61" s="106"/>
      <c r="E61" s="93"/>
      <c r="F61" s="93"/>
      <c r="G61" s="106"/>
      <c r="H61" s="50"/>
      <c r="I61" s="93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27.75" customHeight="1">
      <c r="A62" s="50"/>
      <c r="B62" s="93"/>
      <c r="C62" s="93"/>
      <c r="D62" s="106"/>
      <c r="E62" s="93"/>
      <c r="F62" s="93"/>
      <c r="G62" s="106"/>
      <c r="H62" s="50"/>
      <c r="I62" s="93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27.75" customHeight="1">
      <c r="A63" s="50"/>
      <c r="B63" s="93"/>
      <c r="C63" s="93"/>
      <c r="D63" s="106"/>
      <c r="E63" s="93"/>
      <c r="F63" s="93"/>
      <c r="G63" s="106"/>
      <c r="H63" s="50"/>
      <c r="I63" s="93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27.75" customHeight="1">
      <c r="A64" s="50"/>
      <c r="B64" s="93"/>
      <c r="C64" s="93"/>
      <c r="D64" s="106"/>
      <c r="E64" s="93"/>
      <c r="F64" s="93"/>
      <c r="G64" s="106"/>
      <c r="H64" s="50"/>
      <c r="I64" s="93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27.75" customHeight="1">
      <c r="A65" s="50"/>
      <c r="B65" s="93"/>
      <c r="C65" s="93"/>
      <c r="D65" s="106"/>
      <c r="E65" s="93"/>
      <c r="F65" s="93"/>
      <c r="G65" s="106"/>
      <c r="H65" s="50"/>
      <c r="I65" s="93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27.75" customHeight="1">
      <c r="A66" s="50"/>
      <c r="B66" s="93"/>
      <c r="C66" s="93"/>
      <c r="D66" s="106"/>
      <c r="E66" s="93"/>
      <c r="F66" s="93"/>
      <c r="G66" s="106"/>
      <c r="H66" s="50"/>
      <c r="I66" s="93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27.75" customHeight="1">
      <c r="A67" s="50"/>
      <c r="B67" s="93"/>
      <c r="C67" s="93"/>
      <c r="D67" s="106"/>
      <c r="E67" s="93"/>
      <c r="F67" s="93"/>
      <c r="G67" s="106"/>
      <c r="H67" s="50"/>
      <c r="I67" s="93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27.75" customHeight="1">
      <c r="A68" s="50"/>
      <c r="B68" s="93"/>
      <c r="C68" s="93"/>
      <c r="D68" s="106"/>
      <c r="E68" s="93"/>
      <c r="F68" s="93"/>
      <c r="G68" s="106"/>
      <c r="H68" s="50"/>
      <c r="I68" s="93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27.75" customHeight="1">
      <c r="A69" s="50"/>
      <c r="B69" s="93"/>
      <c r="C69" s="93"/>
      <c r="D69" s="106"/>
      <c r="E69" s="93"/>
      <c r="F69" s="93"/>
      <c r="G69" s="106"/>
      <c r="H69" s="50"/>
      <c r="I69" s="93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27.75" customHeight="1">
      <c r="A70" s="50"/>
      <c r="B70" s="93"/>
      <c r="C70" s="93"/>
      <c r="D70" s="106"/>
      <c r="E70" s="93"/>
      <c r="F70" s="93"/>
      <c r="G70" s="106"/>
      <c r="H70" s="50"/>
      <c r="I70" s="93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27.75" customHeight="1">
      <c r="A71" s="50"/>
      <c r="B71" s="93"/>
      <c r="C71" s="93"/>
      <c r="D71" s="106"/>
      <c r="E71" s="93"/>
      <c r="F71" s="93"/>
      <c r="G71" s="106"/>
      <c r="H71" s="50"/>
      <c r="I71" s="93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27.75" customHeight="1">
      <c r="A72" s="50"/>
      <c r="B72" s="93"/>
      <c r="C72" s="93"/>
      <c r="D72" s="106"/>
      <c r="E72" s="93"/>
      <c r="F72" s="93"/>
      <c r="G72" s="106"/>
      <c r="H72" s="50"/>
      <c r="I72" s="93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27.75" customHeight="1">
      <c r="A73" s="50"/>
      <c r="B73" s="93"/>
      <c r="C73" s="93"/>
      <c r="D73" s="106"/>
      <c r="E73" s="93"/>
      <c r="F73" s="93"/>
      <c r="G73" s="106"/>
      <c r="H73" s="50"/>
      <c r="I73" s="93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27.75" customHeight="1">
      <c r="A74" s="50"/>
      <c r="B74" s="93"/>
      <c r="C74" s="93"/>
      <c r="D74" s="106"/>
      <c r="E74" s="93"/>
      <c r="F74" s="93"/>
      <c r="G74" s="106"/>
      <c r="H74" s="50"/>
      <c r="I74" s="93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27.75" customHeight="1">
      <c r="A75" s="50"/>
      <c r="B75" s="93"/>
      <c r="C75" s="93"/>
      <c r="D75" s="106"/>
      <c r="E75" s="93"/>
      <c r="F75" s="93"/>
      <c r="G75" s="106"/>
      <c r="H75" s="50"/>
      <c r="I75" s="93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27.75" customHeight="1">
      <c r="A76" s="50"/>
      <c r="B76" s="93"/>
      <c r="C76" s="93"/>
      <c r="D76" s="106"/>
      <c r="E76" s="93"/>
      <c r="F76" s="93"/>
      <c r="G76" s="106"/>
      <c r="H76" s="50"/>
      <c r="I76" s="93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27.75" customHeight="1">
      <c r="A77" s="50"/>
      <c r="B77" s="93"/>
      <c r="C77" s="93"/>
      <c r="D77" s="106"/>
      <c r="E77" s="93"/>
      <c r="F77" s="93"/>
      <c r="G77" s="106"/>
      <c r="H77" s="50"/>
      <c r="I77" s="93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27.75" customHeight="1">
      <c r="A78" s="50"/>
      <c r="B78" s="93"/>
      <c r="C78" s="93"/>
      <c r="D78" s="106"/>
      <c r="E78" s="93"/>
      <c r="F78" s="93"/>
      <c r="G78" s="106"/>
      <c r="H78" s="50"/>
      <c r="I78" s="93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27.75" customHeight="1">
      <c r="A79" s="50"/>
      <c r="B79" s="93"/>
      <c r="C79" s="93"/>
      <c r="D79" s="106"/>
      <c r="E79" s="93"/>
      <c r="F79" s="93"/>
      <c r="G79" s="106"/>
      <c r="H79" s="50"/>
      <c r="I79" s="93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27.75" customHeight="1">
      <c r="A80" s="50"/>
      <c r="B80" s="93"/>
      <c r="C80" s="93"/>
      <c r="D80" s="106"/>
      <c r="E80" s="93"/>
      <c r="F80" s="93"/>
      <c r="G80" s="106"/>
      <c r="H80" s="50"/>
      <c r="I80" s="93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27.75" customHeight="1">
      <c r="A81" s="50"/>
      <c r="B81" s="93"/>
      <c r="C81" s="93"/>
      <c r="D81" s="106"/>
      <c r="E81" s="93"/>
      <c r="F81" s="93"/>
      <c r="G81" s="106"/>
      <c r="H81" s="50"/>
      <c r="I81" s="93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27.75" customHeight="1">
      <c r="A82" s="50"/>
      <c r="B82" s="93"/>
      <c r="C82" s="93"/>
      <c r="D82" s="106"/>
      <c r="E82" s="93"/>
      <c r="F82" s="93"/>
      <c r="G82" s="106"/>
      <c r="H82" s="50"/>
      <c r="I82" s="93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27.75" customHeight="1">
      <c r="A83" s="50"/>
      <c r="B83" s="93"/>
      <c r="C83" s="93"/>
      <c r="D83" s="106"/>
      <c r="E83" s="93"/>
      <c r="F83" s="93"/>
      <c r="G83" s="106"/>
      <c r="H83" s="50"/>
      <c r="I83" s="93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27.75" customHeight="1">
      <c r="A84" s="50"/>
      <c r="B84" s="93"/>
      <c r="C84" s="93"/>
      <c r="D84" s="106"/>
      <c r="E84" s="93"/>
      <c r="F84" s="93"/>
      <c r="G84" s="106"/>
      <c r="H84" s="50"/>
      <c r="I84" s="93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27.75" customHeight="1">
      <c r="A85" s="50"/>
      <c r="B85" s="93"/>
      <c r="C85" s="93"/>
      <c r="D85" s="106"/>
      <c r="E85" s="93"/>
      <c r="F85" s="93"/>
      <c r="G85" s="106"/>
      <c r="H85" s="50"/>
      <c r="I85" s="93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27.75" customHeight="1">
      <c r="A86" s="50"/>
      <c r="B86" s="93"/>
      <c r="C86" s="93"/>
      <c r="D86" s="106"/>
      <c r="E86" s="93"/>
      <c r="F86" s="93"/>
      <c r="G86" s="106"/>
      <c r="H86" s="50"/>
      <c r="I86" s="93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27.75" customHeight="1">
      <c r="A87" s="50"/>
      <c r="B87" s="93"/>
      <c r="C87" s="93"/>
      <c r="D87" s="106"/>
      <c r="E87" s="93"/>
      <c r="F87" s="93"/>
      <c r="G87" s="106"/>
      <c r="H87" s="50"/>
      <c r="I87" s="93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27.75" customHeight="1">
      <c r="A88" s="50"/>
      <c r="B88" s="93"/>
      <c r="C88" s="93"/>
      <c r="D88" s="106"/>
      <c r="E88" s="93"/>
      <c r="F88" s="93"/>
      <c r="G88" s="106"/>
      <c r="H88" s="50"/>
      <c r="I88" s="93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27.75" customHeight="1">
      <c r="A89" s="50"/>
      <c r="B89" s="93"/>
      <c r="C89" s="93"/>
      <c r="D89" s="106"/>
      <c r="E89" s="93"/>
      <c r="F89" s="93"/>
      <c r="G89" s="106"/>
      <c r="H89" s="50"/>
      <c r="I89" s="93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27.75" customHeight="1">
      <c r="A90" s="50"/>
      <c r="B90" s="93"/>
      <c r="C90" s="93"/>
      <c r="D90" s="106"/>
      <c r="E90" s="93"/>
      <c r="F90" s="93"/>
      <c r="G90" s="106"/>
      <c r="H90" s="50"/>
      <c r="I90" s="93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27.75" customHeight="1">
      <c r="A91" s="50"/>
      <c r="B91" s="93"/>
      <c r="C91" s="93"/>
      <c r="D91" s="106"/>
      <c r="E91" s="93"/>
      <c r="F91" s="93"/>
      <c r="G91" s="106"/>
      <c r="H91" s="50"/>
      <c r="I91" s="93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27.75" customHeight="1">
      <c r="A92" s="50"/>
      <c r="B92" s="93"/>
      <c r="C92" s="93"/>
      <c r="D92" s="106"/>
      <c r="E92" s="93"/>
      <c r="F92" s="93"/>
      <c r="G92" s="106"/>
      <c r="H92" s="50"/>
      <c r="I92" s="93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27.75" customHeight="1">
      <c r="A93" s="50"/>
      <c r="B93" s="93"/>
      <c r="C93" s="93"/>
      <c r="D93" s="106"/>
      <c r="E93" s="93"/>
      <c r="F93" s="93"/>
      <c r="G93" s="106"/>
      <c r="H93" s="50"/>
      <c r="I93" s="93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27.75" customHeight="1">
      <c r="A94" s="50"/>
      <c r="B94" s="93"/>
      <c r="C94" s="93"/>
      <c r="D94" s="106"/>
      <c r="E94" s="93"/>
      <c r="F94" s="93"/>
      <c r="G94" s="106"/>
      <c r="H94" s="50"/>
      <c r="I94" s="93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27.75" customHeight="1">
      <c r="A95" s="50"/>
      <c r="B95" s="93"/>
      <c r="C95" s="93"/>
      <c r="D95" s="106"/>
      <c r="E95" s="93"/>
      <c r="F95" s="93"/>
      <c r="G95" s="106"/>
      <c r="H95" s="50"/>
      <c r="I95" s="93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27.75" customHeight="1">
      <c r="A96" s="50"/>
      <c r="B96" s="93"/>
      <c r="C96" s="93"/>
      <c r="D96" s="106"/>
      <c r="E96" s="93"/>
      <c r="F96" s="93"/>
      <c r="G96" s="106"/>
      <c r="H96" s="50"/>
      <c r="I96" s="93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27.75" customHeight="1">
      <c r="A97" s="50"/>
      <c r="B97" s="93"/>
      <c r="C97" s="93"/>
      <c r="D97" s="106"/>
      <c r="E97" s="93"/>
      <c r="F97" s="93"/>
      <c r="G97" s="106"/>
      <c r="H97" s="50"/>
      <c r="I97" s="93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27.75" customHeight="1">
      <c r="A98" s="50"/>
      <c r="B98" s="93"/>
      <c r="C98" s="93"/>
      <c r="D98" s="106"/>
      <c r="E98" s="93"/>
      <c r="F98" s="93"/>
      <c r="G98" s="106"/>
      <c r="H98" s="50"/>
      <c r="I98" s="93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27.75" customHeight="1">
      <c r="A99" s="50"/>
      <c r="B99" s="93"/>
      <c r="C99" s="93"/>
      <c r="D99" s="106"/>
      <c r="E99" s="93"/>
      <c r="F99" s="93"/>
      <c r="G99" s="106"/>
      <c r="H99" s="50"/>
      <c r="I99" s="93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27.75" customHeight="1">
      <c r="A100" s="50"/>
      <c r="B100" s="93"/>
      <c r="C100" s="93"/>
      <c r="D100" s="106"/>
      <c r="E100" s="93"/>
      <c r="F100" s="93"/>
      <c r="G100" s="106"/>
      <c r="H100" s="50"/>
      <c r="I100" s="93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27.75" customHeight="1">
      <c r="A101" s="50"/>
      <c r="B101" s="93"/>
      <c r="C101" s="93"/>
      <c r="D101" s="106"/>
      <c r="E101" s="93"/>
      <c r="F101" s="93"/>
      <c r="G101" s="106"/>
      <c r="H101" s="50"/>
      <c r="I101" s="93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27.75" customHeight="1">
      <c r="A102" s="50"/>
      <c r="B102" s="93"/>
      <c r="C102" s="93"/>
      <c r="D102" s="106"/>
      <c r="E102" s="93"/>
      <c r="F102" s="93"/>
      <c r="G102" s="106"/>
      <c r="H102" s="50"/>
      <c r="I102" s="9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27.75" customHeight="1">
      <c r="A103" s="50"/>
      <c r="B103" s="93"/>
      <c r="C103" s="93"/>
      <c r="D103" s="106"/>
      <c r="E103" s="93"/>
      <c r="F103" s="93"/>
      <c r="G103" s="106"/>
      <c r="H103" s="50"/>
      <c r="I103" s="93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27.75" customHeight="1">
      <c r="A104" s="50"/>
      <c r="B104" s="93"/>
      <c r="C104" s="93"/>
      <c r="D104" s="106"/>
      <c r="E104" s="93"/>
      <c r="F104" s="93"/>
      <c r="G104" s="106"/>
      <c r="H104" s="50"/>
      <c r="I104" s="93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27.75" customHeight="1">
      <c r="A105" s="50"/>
      <c r="B105" s="93"/>
      <c r="C105" s="93"/>
      <c r="D105" s="106"/>
      <c r="E105" s="93"/>
      <c r="F105" s="93"/>
      <c r="G105" s="106"/>
      <c r="H105" s="50"/>
      <c r="I105" s="93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27.75" customHeight="1">
      <c r="A106" s="50"/>
      <c r="B106" s="93"/>
      <c r="C106" s="93"/>
      <c r="D106" s="106"/>
      <c r="E106" s="93"/>
      <c r="F106" s="93"/>
      <c r="G106" s="106"/>
      <c r="H106" s="50"/>
      <c r="I106" s="93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27.75" customHeight="1">
      <c r="A107" s="50"/>
      <c r="B107" s="93"/>
      <c r="C107" s="93"/>
      <c r="D107" s="106"/>
      <c r="E107" s="93"/>
      <c r="F107" s="93"/>
      <c r="G107" s="106"/>
      <c r="H107" s="50"/>
      <c r="I107" s="93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27.75" customHeight="1">
      <c r="A108" s="50"/>
      <c r="B108" s="93"/>
      <c r="C108" s="93"/>
      <c r="D108" s="106"/>
      <c r="E108" s="93"/>
      <c r="F108" s="93"/>
      <c r="G108" s="106"/>
      <c r="H108" s="50"/>
      <c r="I108" s="93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27.75" customHeight="1">
      <c r="A109" s="50"/>
      <c r="B109" s="93"/>
      <c r="C109" s="93"/>
      <c r="D109" s="106"/>
      <c r="E109" s="93"/>
      <c r="F109" s="93"/>
      <c r="G109" s="106"/>
      <c r="H109" s="50"/>
      <c r="I109" s="93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27.75" customHeight="1">
      <c r="A110" s="50"/>
      <c r="B110" s="93"/>
      <c r="C110" s="93"/>
      <c r="D110" s="106"/>
      <c r="E110" s="93"/>
      <c r="F110" s="93"/>
      <c r="G110" s="106"/>
      <c r="H110" s="50"/>
      <c r="I110" s="93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27.75" customHeight="1">
      <c r="A111" s="50"/>
      <c r="B111" s="93"/>
      <c r="C111" s="93"/>
      <c r="D111" s="106"/>
      <c r="E111" s="93"/>
      <c r="F111" s="93"/>
      <c r="G111" s="106"/>
      <c r="H111" s="50"/>
      <c r="I111" s="93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27.75" customHeight="1">
      <c r="A112" s="50"/>
      <c r="B112" s="93"/>
      <c r="C112" s="93"/>
      <c r="D112" s="106"/>
      <c r="E112" s="93"/>
      <c r="F112" s="93"/>
      <c r="G112" s="106"/>
      <c r="H112" s="50"/>
      <c r="I112" s="93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27.75" customHeight="1">
      <c r="A113" s="50"/>
      <c r="B113" s="93"/>
      <c r="C113" s="93"/>
      <c r="D113" s="106"/>
      <c r="E113" s="93"/>
      <c r="F113" s="93"/>
      <c r="G113" s="106"/>
      <c r="H113" s="50"/>
      <c r="I113" s="93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27.75" customHeight="1">
      <c r="A114" s="50"/>
      <c r="B114" s="93"/>
      <c r="C114" s="93"/>
      <c r="D114" s="106"/>
      <c r="E114" s="93"/>
      <c r="F114" s="93"/>
      <c r="G114" s="106"/>
      <c r="H114" s="50"/>
      <c r="I114" s="93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27.75" customHeight="1">
      <c r="A115" s="50"/>
      <c r="B115" s="93"/>
      <c r="C115" s="93"/>
      <c r="D115" s="106"/>
      <c r="E115" s="93"/>
      <c r="F115" s="93"/>
      <c r="G115" s="106"/>
      <c r="H115" s="50"/>
      <c r="I115" s="93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27.75" customHeight="1">
      <c r="A116" s="50"/>
      <c r="B116" s="93"/>
      <c r="C116" s="93"/>
      <c r="D116" s="106"/>
      <c r="E116" s="93"/>
      <c r="F116" s="93"/>
      <c r="G116" s="106"/>
      <c r="H116" s="50"/>
      <c r="I116" s="93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27.75" customHeight="1">
      <c r="A117" s="50"/>
      <c r="B117" s="93"/>
      <c r="C117" s="93"/>
      <c r="D117" s="106"/>
      <c r="E117" s="93"/>
      <c r="F117" s="93"/>
      <c r="G117" s="106"/>
      <c r="H117" s="50"/>
      <c r="I117" s="93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27.75" customHeight="1">
      <c r="A118" s="50"/>
      <c r="B118" s="93"/>
      <c r="C118" s="93"/>
      <c r="D118" s="106"/>
      <c r="E118" s="93"/>
      <c r="F118" s="93"/>
      <c r="G118" s="106"/>
      <c r="H118" s="50"/>
      <c r="I118" s="93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27.75" customHeight="1">
      <c r="A119" s="50"/>
      <c r="B119" s="93"/>
      <c r="C119" s="93"/>
      <c r="D119" s="106"/>
      <c r="E119" s="93"/>
      <c r="F119" s="93"/>
      <c r="G119" s="106"/>
      <c r="H119" s="50"/>
      <c r="I119" s="93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27.75" customHeight="1">
      <c r="A120" s="50"/>
      <c r="B120" s="93"/>
      <c r="C120" s="93"/>
      <c r="D120" s="106"/>
      <c r="E120" s="93"/>
      <c r="F120" s="93"/>
      <c r="G120" s="106"/>
      <c r="H120" s="50"/>
      <c r="I120" s="9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27.75" customHeight="1">
      <c r="A121" s="50"/>
      <c r="B121" s="93"/>
      <c r="C121" s="93"/>
      <c r="D121" s="106"/>
      <c r="E121" s="93"/>
      <c r="F121" s="93"/>
      <c r="G121" s="106"/>
      <c r="H121" s="50"/>
      <c r="I121" s="93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27.75" customHeight="1">
      <c r="A122" s="50"/>
      <c r="B122" s="93"/>
      <c r="C122" s="93"/>
      <c r="D122" s="106"/>
      <c r="E122" s="93"/>
      <c r="F122" s="93"/>
      <c r="G122" s="106"/>
      <c r="H122" s="50"/>
      <c r="I122" s="93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27.75" customHeight="1">
      <c r="A123" s="50"/>
      <c r="B123" s="93"/>
      <c r="C123" s="93"/>
      <c r="D123" s="106"/>
      <c r="E123" s="93"/>
      <c r="F123" s="93"/>
      <c r="G123" s="106"/>
      <c r="H123" s="50"/>
      <c r="I123" s="93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27.75" customHeight="1">
      <c r="A124" s="50"/>
      <c r="B124" s="93"/>
      <c r="C124" s="93"/>
      <c r="D124" s="106"/>
      <c r="E124" s="93"/>
      <c r="F124" s="93"/>
      <c r="G124" s="106"/>
      <c r="H124" s="50"/>
      <c r="I124" s="93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27.75" customHeight="1">
      <c r="A125" s="50"/>
      <c r="B125" s="93"/>
      <c r="C125" s="93"/>
      <c r="D125" s="106"/>
      <c r="E125" s="93"/>
      <c r="F125" s="93"/>
      <c r="G125" s="106"/>
      <c r="H125" s="50"/>
      <c r="I125" s="93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27.75" customHeight="1">
      <c r="A126" s="50"/>
      <c r="B126" s="93"/>
      <c r="C126" s="93"/>
      <c r="D126" s="106"/>
      <c r="E126" s="93"/>
      <c r="F126" s="93"/>
      <c r="G126" s="106"/>
      <c r="H126" s="50"/>
      <c r="I126" s="93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27.75" customHeight="1">
      <c r="A127" s="50"/>
      <c r="B127" s="93"/>
      <c r="C127" s="93"/>
      <c r="D127" s="106"/>
      <c r="E127" s="93"/>
      <c r="F127" s="93"/>
      <c r="G127" s="106"/>
      <c r="H127" s="50"/>
      <c r="I127" s="93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27.75" customHeight="1">
      <c r="A128" s="50"/>
      <c r="B128" s="93"/>
      <c r="C128" s="93"/>
      <c r="D128" s="106"/>
      <c r="E128" s="93"/>
      <c r="F128" s="93"/>
      <c r="G128" s="106"/>
      <c r="H128" s="50"/>
      <c r="I128" s="93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27.75" customHeight="1">
      <c r="A129" s="50"/>
      <c r="B129" s="93"/>
      <c r="C129" s="93"/>
      <c r="D129" s="106"/>
      <c r="E129" s="93"/>
      <c r="F129" s="93"/>
      <c r="G129" s="106"/>
      <c r="H129" s="50"/>
      <c r="I129" s="9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27.75" customHeight="1">
      <c r="A130" s="50"/>
      <c r="B130" s="93"/>
      <c r="C130" s="93"/>
      <c r="D130" s="106"/>
      <c r="E130" s="93"/>
      <c r="F130" s="93"/>
      <c r="G130" s="106"/>
      <c r="H130" s="50"/>
      <c r="I130" s="93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27.75" customHeight="1">
      <c r="A131" s="50"/>
      <c r="B131" s="93"/>
      <c r="C131" s="93"/>
      <c r="D131" s="106"/>
      <c r="E131" s="93"/>
      <c r="F131" s="93"/>
      <c r="G131" s="106"/>
      <c r="H131" s="50"/>
      <c r="I131" s="93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27.75" customHeight="1">
      <c r="A132" s="50"/>
      <c r="B132" s="93"/>
      <c r="C132" s="93"/>
      <c r="D132" s="106"/>
      <c r="E132" s="93"/>
      <c r="F132" s="93"/>
      <c r="G132" s="106"/>
      <c r="H132" s="50"/>
      <c r="I132" s="93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27.75" customHeight="1">
      <c r="A133" s="50"/>
      <c r="B133" s="93"/>
      <c r="C133" s="93"/>
      <c r="D133" s="106"/>
      <c r="E133" s="93"/>
      <c r="F133" s="93"/>
      <c r="G133" s="106"/>
      <c r="H133" s="50"/>
      <c r="I133" s="93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27.75" customHeight="1">
      <c r="A134" s="50"/>
      <c r="B134" s="93"/>
      <c r="C134" s="93"/>
      <c r="D134" s="106"/>
      <c r="E134" s="93"/>
      <c r="F134" s="93"/>
      <c r="G134" s="106"/>
      <c r="H134" s="50"/>
      <c r="I134" s="93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27.75" customHeight="1">
      <c r="A135" s="50"/>
      <c r="B135" s="93"/>
      <c r="C135" s="93"/>
      <c r="D135" s="106"/>
      <c r="E135" s="93"/>
      <c r="F135" s="93"/>
      <c r="G135" s="106"/>
      <c r="H135" s="50"/>
      <c r="I135" s="9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27.75" customHeight="1">
      <c r="A136" s="50"/>
      <c r="B136" s="93"/>
      <c r="C136" s="93"/>
      <c r="D136" s="106"/>
      <c r="E136" s="93"/>
      <c r="F136" s="93"/>
      <c r="G136" s="106"/>
      <c r="H136" s="50"/>
      <c r="I136" s="93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27.75" customHeight="1">
      <c r="A137" s="50"/>
      <c r="B137" s="93"/>
      <c r="C137" s="93"/>
      <c r="D137" s="106"/>
      <c r="E137" s="93"/>
      <c r="F137" s="93"/>
      <c r="G137" s="106"/>
      <c r="H137" s="50"/>
      <c r="I137" s="9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27.75" customHeight="1">
      <c r="A138" s="50"/>
      <c r="B138" s="93"/>
      <c r="C138" s="93"/>
      <c r="D138" s="106"/>
      <c r="E138" s="93"/>
      <c r="F138" s="93"/>
      <c r="G138" s="106"/>
      <c r="H138" s="50"/>
      <c r="I138" s="93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27.75" customHeight="1">
      <c r="A139" s="50"/>
      <c r="B139" s="93"/>
      <c r="C139" s="93"/>
      <c r="D139" s="106"/>
      <c r="E139" s="93"/>
      <c r="F139" s="93"/>
      <c r="G139" s="106"/>
      <c r="H139" s="50"/>
      <c r="I139" s="93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27.75" customHeight="1">
      <c r="A140" s="50"/>
      <c r="B140" s="93"/>
      <c r="C140" s="93"/>
      <c r="D140" s="106"/>
      <c r="E140" s="93"/>
      <c r="F140" s="93"/>
      <c r="G140" s="106"/>
      <c r="H140" s="50"/>
      <c r="I140" s="93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27.75" customHeight="1">
      <c r="A141" s="50"/>
      <c r="B141" s="93"/>
      <c r="C141" s="93"/>
      <c r="D141" s="106"/>
      <c r="E141" s="93"/>
      <c r="F141" s="93"/>
      <c r="G141" s="106"/>
      <c r="H141" s="50"/>
      <c r="I141" s="93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27.75" customHeight="1">
      <c r="A142" s="50"/>
      <c r="B142" s="93"/>
      <c r="C142" s="93"/>
      <c r="D142" s="106"/>
      <c r="E142" s="93"/>
      <c r="F142" s="93"/>
      <c r="G142" s="106"/>
      <c r="H142" s="50"/>
      <c r="I142" s="93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27.75" customHeight="1">
      <c r="A143" s="50"/>
      <c r="B143" s="93"/>
      <c r="C143" s="93"/>
      <c r="D143" s="106"/>
      <c r="E143" s="93"/>
      <c r="F143" s="93"/>
      <c r="G143" s="106"/>
      <c r="H143" s="50"/>
      <c r="I143" s="93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27.75" customHeight="1">
      <c r="A144" s="50"/>
      <c r="B144" s="93"/>
      <c r="C144" s="93"/>
      <c r="D144" s="106"/>
      <c r="E144" s="93"/>
      <c r="F144" s="93"/>
      <c r="G144" s="106"/>
      <c r="H144" s="50"/>
      <c r="I144" s="93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27.75" customHeight="1">
      <c r="A145" s="50"/>
      <c r="B145" s="93"/>
      <c r="C145" s="93"/>
      <c r="D145" s="106"/>
      <c r="E145" s="93"/>
      <c r="F145" s="93"/>
      <c r="G145" s="106"/>
      <c r="H145" s="50"/>
      <c r="I145" s="93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27.75" customHeight="1">
      <c r="A146" s="50"/>
      <c r="B146" s="93"/>
      <c r="C146" s="93"/>
      <c r="D146" s="106"/>
      <c r="E146" s="93"/>
      <c r="F146" s="93"/>
      <c r="G146" s="106"/>
      <c r="H146" s="50"/>
      <c r="I146" s="93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27.75" customHeight="1">
      <c r="A147" s="50"/>
      <c r="B147" s="93"/>
      <c r="C147" s="93"/>
      <c r="D147" s="106"/>
      <c r="E147" s="93"/>
      <c r="F147" s="93"/>
      <c r="G147" s="106"/>
      <c r="H147" s="50"/>
      <c r="I147" s="93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27.75" customHeight="1">
      <c r="A148" s="50"/>
      <c r="B148" s="93"/>
      <c r="C148" s="93"/>
      <c r="D148" s="106"/>
      <c r="E148" s="93"/>
      <c r="F148" s="93"/>
      <c r="G148" s="106"/>
      <c r="H148" s="50"/>
      <c r="I148" s="93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27.75" customHeight="1">
      <c r="A149" s="50"/>
      <c r="B149" s="93"/>
      <c r="C149" s="93"/>
      <c r="D149" s="106"/>
      <c r="E149" s="93"/>
      <c r="F149" s="93"/>
      <c r="G149" s="106"/>
      <c r="H149" s="50"/>
      <c r="I149" s="93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27.75" customHeight="1">
      <c r="A150" s="50"/>
      <c r="B150" s="93"/>
      <c r="C150" s="93"/>
      <c r="D150" s="106"/>
      <c r="E150" s="93"/>
      <c r="F150" s="93"/>
      <c r="G150" s="106"/>
      <c r="H150" s="50"/>
      <c r="I150" s="93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27.75" customHeight="1">
      <c r="A151" s="50"/>
      <c r="B151" s="93"/>
      <c r="C151" s="93"/>
      <c r="D151" s="106"/>
      <c r="E151" s="93"/>
      <c r="F151" s="93"/>
      <c r="G151" s="106"/>
      <c r="H151" s="50"/>
      <c r="I151" s="93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27.75" customHeight="1">
      <c r="A152" s="50"/>
      <c r="B152" s="93"/>
      <c r="C152" s="93"/>
      <c r="D152" s="106"/>
      <c r="E152" s="93"/>
      <c r="F152" s="93"/>
      <c r="G152" s="106"/>
      <c r="H152" s="50"/>
      <c r="I152" s="93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27.75" customHeight="1">
      <c r="A153" s="50"/>
      <c r="B153" s="93"/>
      <c r="C153" s="93"/>
      <c r="D153" s="106"/>
      <c r="E153" s="93"/>
      <c r="F153" s="93"/>
      <c r="G153" s="106"/>
      <c r="H153" s="50"/>
      <c r="I153" s="93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27.75" customHeight="1">
      <c r="A154" s="50"/>
      <c r="B154" s="93"/>
      <c r="C154" s="93"/>
      <c r="D154" s="106"/>
      <c r="E154" s="93"/>
      <c r="F154" s="93"/>
      <c r="G154" s="106"/>
      <c r="H154" s="50"/>
      <c r="I154" s="93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27.75" customHeight="1">
      <c r="A155" s="50"/>
      <c r="B155" s="93"/>
      <c r="C155" s="93"/>
      <c r="D155" s="106"/>
      <c r="E155" s="93"/>
      <c r="F155" s="93"/>
      <c r="G155" s="106"/>
      <c r="H155" s="50"/>
      <c r="I155" s="93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27.75" customHeight="1">
      <c r="A156" s="50"/>
      <c r="B156" s="93"/>
      <c r="C156" s="93"/>
      <c r="D156" s="106"/>
      <c r="E156" s="93"/>
      <c r="F156" s="93"/>
      <c r="G156" s="106"/>
      <c r="H156" s="50"/>
      <c r="I156" s="93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27.75" customHeight="1">
      <c r="A157" s="50"/>
      <c r="B157" s="93"/>
      <c r="C157" s="93"/>
      <c r="D157" s="106"/>
      <c r="E157" s="93"/>
      <c r="F157" s="93"/>
      <c r="G157" s="106"/>
      <c r="H157" s="50"/>
      <c r="I157" s="93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27.75" customHeight="1">
      <c r="A158" s="50"/>
      <c r="B158" s="93"/>
      <c r="C158" s="93"/>
      <c r="D158" s="106"/>
      <c r="E158" s="93"/>
      <c r="F158" s="93"/>
      <c r="G158" s="106"/>
      <c r="H158" s="50"/>
      <c r="I158" s="93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27.75" customHeight="1">
      <c r="A159" s="50"/>
      <c r="B159" s="93"/>
      <c r="C159" s="93"/>
      <c r="D159" s="106"/>
      <c r="E159" s="93"/>
      <c r="F159" s="93"/>
      <c r="G159" s="106"/>
      <c r="H159" s="50"/>
      <c r="I159" s="93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27.75" customHeight="1">
      <c r="A160" s="50"/>
      <c r="B160" s="93"/>
      <c r="C160" s="93"/>
      <c r="D160" s="106"/>
      <c r="E160" s="93"/>
      <c r="F160" s="93"/>
      <c r="G160" s="106"/>
      <c r="H160" s="50"/>
      <c r="I160" s="93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27.75" customHeight="1">
      <c r="A161" s="50"/>
      <c r="B161" s="93"/>
      <c r="C161" s="93"/>
      <c r="D161" s="106"/>
      <c r="E161" s="93"/>
      <c r="F161" s="93"/>
      <c r="G161" s="106"/>
      <c r="H161" s="50"/>
      <c r="I161" s="93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27.75" customHeight="1">
      <c r="A162" s="50"/>
      <c r="B162" s="93"/>
      <c r="C162" s="93"/>
      <c r="D162" s="106"/>
      <c r="E162" s="93"/>
      <c r="F162" s="93"/>
      <c r="G162" s="106"/>
      <c r="H162" s="50"/>
      <c r="I162" s="93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27.75" customHeight="1">
      <c r="A163" s="50"/>
      <c r="B163" s="93"/>
      <c r="C163" s="93"/>
      <c r="D163" s="106"/>
      <c r="E163" s="93"/>
      <c r="F163" s="93"/>
      <c r="G163" s="106"/>
      <c r="H163" s="50"/>
      <c r="I163" s="93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27.75" customHeight="1">
      <c r="A164" s="50"/>
      <c r="B164" s="93"/>
      <c r="C164" s="93"/>
      <c r="D164" s="106"/>
      <c r="E164" s="93"/>
      <c r="F164" s="93"/>
      <c r="G164" s="106"/>
      <c r="H164" s="50"/>
      <c r="I164" s="93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27.75" customHeight="1">
      <c r="A165" s="50"/>
      <c r="B165" s="93"/>
      <c r="C165" s="93"/>
      <c r="D165" s="106"/>
      <c r="E165" s="93"/>
      <c r="F165" s="93"/>
      <c r="G165" s="106"/>
      <c r="H165" s="50"/>
      <c r="I165" s="93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27.75" customHeight="1">
      <c r="A166" s="50"/>
      <c r="B166" s="93"/>
      <c r="C166" s="93"/>
      <c r="D166" s="106"/>
      <c r="E166" s="93"/>
      <c r="F166" s="93"/>
      <c r="G166" s="106"/>
      <c r="H166" s="50"/>
      <c r="I166" s="93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27.75" customHeight="1">
      <c r="A167" s="50"/>
      <c r="B167" s="93"/>
      <c r="C167" s="93"/>
      <c r="D167" s="106"/>
      <c r="E167" s="93"/>
      <c r="F167" s="93"/>
      <c r="G167" s="106"/>
      <c r="H167" s="50"/>
      <c r="I167" s="93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27.75" customHeight="1">
      <c r="A168" s="50"/>
      <c r="B168" s="93"/>
      <c r="C168" s="93"/>
      <c r="D168" s="106"/>
      <c r="E168" s="93"/>
      <c r="F168" s="93"/>
      <c r="G168" s="106"/>
      <c r="H168" s="50"/>
      <c r="I168" s="93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27.75" customHeight="1">
      <c r="A169" s="50"/>
      <c r="B169" s="93"/>
      <c r="C169" s="93"/>
      <c r="D169" s="106"/>
      <c r="E169" s="93"/>
      <c r="F169" s="93"/>
      <c r="G169" s="106"/>
      <c r="H169" s="50"/>
      <c r="I169" s="93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27.75" customHeight="1">
      <c r="A170" s="50"/>
      <c r="B170" s="93"/>
      <c r="C170" s="93"/>
      <c r="D170" s="106"/>
      <c r="E170" s="93"/>
      <c r="F170" s="93"/>
      <c r="G170" s="106"/>
      <c r="H170" s="50"/>
      <c r="I170" s="93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27.75" customHeight="1">
      <c r="A171" s="50"/>
      <c r="B171" s="93"/>
      <c r="C171" s="93"/>
      <c r="D171" s="106"/>
      <c r="E171" s="93"/>
      <c r="F171" s="93"/>
      <c r="G171" s="106"/>
      <c r="H171" s="50"/>
      <c r="I171" s="93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27.75" customHeight="1">
      <c r="A172" s="50"/>
      <c r="B172" s="93"/>
      <c r="C172" s="93"/>
      <c r="D172" s="106"/>
      <c r="E172" s="93"/>
      <c r="F172" s="93"/>
      <c r="G172" s="106"/>
      <c r="H172" s="50"/>
      <c r="I172" s="93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27.75" customHeight="1">
      <c r="A173" s="50"/>
      <c r="B173" s="93"/>
      <c r="C173" s="93"/>
      <c r="D173" s="106"/>
      <c r="E173" s="93"/>
      <c r="F173" s="93"/>
      <c r="G173" s="106"/>
      <c r="H173" s="50"/>
      <c r="I173" s="93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27.75" customHeight="1">
      <c r="A174" s="50"/>
      <c r="B174" s="93"/>
      <c r="C174" s="93"/>
      <c r="D174" s="106"/>
      <c r="E174" s="93"/>
      <c r="F174" s="93"/>
      <c r="G174" s="106"/>
      <c r="H174" s="50"/>
      <c r="I174" s="93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27.75" customHeight="1">
      <c r="A175" s="50"/>
      <c r="B175" s="93"/>
      <c r="C175" s="93"/>
      <c r="D175" s="106"/>
      <c r="E175" s="93"/>
      <c r="F175" s="93"/>
      <c r="G175" s="106"/>
      <c r="H175" s="50"/>
      <c r="I175" s="93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27.75" customHeight="1">
      <c r="A176" s="50"/>
      <c r="B176" s="93"/>
      <c r="C176" s="93"/>
      <c r="D176" s="106"/>
      <c r="E176" s="93"/>
      <c r="F176" s="93"/>
      <c r="G176" s="106"/>
      <c r="H176" s="50"/>
      <c r="I176" s="93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27.75" customHeight="1">
      <c r="A177" s="50"/>
      <c r="B177" s="93"/>
      <c r="C177" s="93"/>
      <c r="D177" s="106"/>
      <c r="E177" s="93"/>
      <c r="F177" s="93"/>
      <c r="G177" s="106"/>
      <c r="H177" s="50"/>
      <c r="I177" s="93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27.75" customHeight="1">
      <c r="A178" s="50"/>
      <c r="B178" s="93"/>
      <c r="C178" s="93"/>
      <c r="D178" s="106"/>
      <c r="E178" s="93"/>
      <c r="F178" s="93"/>
      <c r="G178" s="106"/>
      <c r="H178" s="50"/>
      <c r="I178" s="93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27.75" customHeight="1">
      <c r="A179" s="50"/>
      <c r="B179" s="93"/>
      <c r="C179" s="93"/>
      <c r="D179" s="106"/>
      <c r="E179" s="93"/>
      <c r="F179" s="93"/>
      <c r="G179" s="106"/>
      <c r="H179" s="50"/>
      <c r="I179" s="93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27.75" customHeight="1">
      <c r="A180" s="50"/>
      <c r="B180" s="93"/>
      <c r="C180" s="93"/>
      <c r="D180" s="106"/>
      <c r="E180" s="93"/>
      <c r="F180" s="93"/>
      <c r="G180" s="106"/>
      <c r="H180" s="50"/>
      <c r="I180" s="93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27.75" customHeight="1">
      <c r="A181" s="50"/>
      <c r="B181" s="93"/>
      <c r="C181" s="93"/>
      <c r="D181" s="106"/>
      <c r="E181" s="93"/>
      <c r="F181" s="93"/>
      <c r="G181" s="106"/>
      <c r="H181" s="50"/>
      <c r="I181" s="93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27.75" customHeight="1">
      <c r="A182" s="50"/>
      <c r="B182" s="93"/>
      <c r="C182" s="93"/>
      <c r="D182" s="106"/>
      <c r="E182" s="93"/>
      <c r="F182" s="93"/>
      <c r="G182" s="106"/>
      <c r="H182" s="50"/>
      <c r="I182" s="93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27.75" customHeight="1">
      <c r="A183" s="50"/>
      <c r="B183" s="93"/>
      <c r="C183" s="93"/>
      <c r="D183" s="106"/>
      <c r="E183" s="93"/>
      <c r="F183" s="93"/>
      <c r="G183" s="106"/>
      <c r="H183" s="50"/>
      <c r="I183" s="93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27.75" customHeight="1">
      <c r="A184" s="50"/>
      <c r="B184" s="93"/>
      <c r="C184" s="93"/>
      <c r="D184" s="106"/>
      <c r="E184" s="93"/>
      <c r="F184" s="93"/>
      <c r="G184" s="106"/>
      <c r="H184" s="50"/>
      <c r="I184" s="93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27.75" customHeight="1">
      <c r="A185" s="50"/>
      <c r="B185" s="93"/>
      <c r="C185" s="93"/>
      <c r="D185" s="106"/>
      <c r="E185" s="93"/>
      <c r="F185" s="93"/>
      <c r="G185" s="106"/>
      <c r="H185" s="50"/>
      <c r="I185" s="93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27.75" customHeight="1">
      <c r="A186" s="50"/>
      <c r="B186" s="93"/>
      <c r="C186" s="93"/>
      <c r="D186" s="106"/>
      <c r="E186" s="93"/>
      <c r="F186" s="93"/>
      <c r="G186" s="106"/>
      <c r="H186" s="50"/>
      <c r="I186" s="93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27.75" customHeight="1">
      <c r="A187" s="50"/>
      <c r="B187" s="93"/>
      <c r="C187" s="93"/>
      <c r="D187" s="106"/>
      <c r="E187" s="93"/>
      <c r="F187" s="93"/>
      <c r="G187" s="106"/>
      <c r="H187" s="50"/>
      <c r="I187" s="93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27.75" customHeight="1">
      <c r="A188" s="50"/>
      <c r="B188" s="93"/>
      <c r="C188" s="93"/>
      <c r="D188" s="106"/>
      <c r="E188" s="93"/>
      <c r="F188" s="93"/>
      <c r="G188" s="106"/>
      <c r="H188" s="50"/>
      <c r="I188" s="93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27.75" customHeight="1">
      <c r="A189" s="50"/>
      <c r="B189" s="93"/>
      <c r="C189" s="93"/>
      <c r="D189" s="106"/>
      <c r="E189" s="93"/>
      <c r="F189" s="93"/>
      <c r="G189" s="106"/>
      <c r="H189" s="50"/>
      <c r="I189" s="93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27.75" customHeight="1">
      <c r="A190" s="50"/>
      <c r="B190" s="93"/>
      <c r="C190" s="93"/>
      <c r="D190" s="106"/>
      <c r="E190" s="93"/>
      <c r="F190" s="93"/>
      <c r="G190" s="106"/>
      <c r="H190" s="50"/>
      <c r="I190" s="93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27.75" customHeight="1">
      <c r="A191" s="50"/>
      <c r="B191" s="93"/>
      <c r="C191" s="93"/>
      <c r="D191" s="106"/>
      <c r="E191" s="93"/>
      <c r="F191" s="93"/>
      <c r="G191" s="106"/>
      <c r="H191" s="50"/>
      <c r="I191" s="93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27.75" customHeight="1">
      <c r="A192" s="50"/>
      <c r="B192" s="93"/>
      <c r="C192" s="93"/>
      <c r="D192" s="106"/>
      <c r="E192" s="93"/>
      <c r="F192" s="93"/>
      <c r="G192" s="106"/>
      <c r="H192" s="50"/>
      <c r="I192" s="93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27.75" customHeight="1">
      <c r="A193" s="50"/>
      <c r="B193" s="93"/>
      <c r="C193" s="93"/>
      <c r="D193" s="106"/>
      <c r="E193" s="93"/>
      <c r="F193" s="93"/>
      <c r="G193" s="106"/>
      <c r="H193" s="50"/>
      <c r="I193" s="93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27.75" customHeight="1">
      <c r="A194" s="50"/>
      <c r="B194" s="93"/>
      <c r="C194" s="93"/>
      <c r="D194" s="106"/>
      <c r="E194" s="93"/>
      <c r="F194" s="93"/>
      <c r="G194" s="106"/>
      <c r="H194" s="50"/>
      <c r="I194" s="93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27.75" customHeight="1">
      <c r="A195" s="50"/>
      <c r="B195" s="93"/>
      <c r="C195" s="93"/>
      <c r="D195" s="106"/>
      <c r="E195" s="93"/>
      <c r="F195" s="93"/>
      <c r="G195" s="106"/>
      <c r="H195" s="50"/>
      <c r="I195" s="93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27.75" customHeight="1">
      <c r="A196" s="50"/>
      <c r="B196" s="93"/>
      <c r="C196" s="93"/>
      <c r="D196" s="106"/>
      <c r="E196" s="93"/>
      <c r="F196" s="93"/>
      <c r="G196" s="106"/>
      <c r="H196" s="50"/>
      <c r="I196" s="93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27.75" customHeight="1">
      <c r="A197" s="50"/>
      <c r="B197" s="93"/>
      <c r="C197" s="93"/>
      <c r="D197" s="106"/>
      <c r="E197" s="93"/>
      <c r="F197" s="93"/>
      <c r="G197" s="106"/>
      <c r="H197" s="50"/>
      <c r="I197" s="93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27.75" customHeight="1">
      <c r="A198" s="50"/>
      <c r="B198" s="93"/>
      <c r="C198" s="93"/>
      <c r="D198" s="106"/>
      <c r="E198" s="93"/>
      <c r="F198" s="93"/>
      <c r="G198" s="106"/>
      <c r="H198" s="50"/>
      <c r="I198" s="93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27.75" customHeight="1">
      <c r="A199" s="50"/>
      <c r="B199" s="93"/>
      <c r="C199" s="93"/>
      <c r="D199" s="106"/>
      <c r="E199" s="93"/>
      <c r="F199" s="93"/>
      <c r="G199" s="106"/>
      <c r="H199" s="50"/>
      <c r="I199" s="93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27.75" customHeight="1">
      <c r="A200" s="50"/>
      <c r="B200" s="93"/>
      <c r="C200" s="93"/>
      <c r="D200" s="106"/>
      <c r="E200" s="93"/>
      <c r="F200" s="93"/>
      <c r="G200" s="106"/>
      <c r="H200" s="50"/>
      <c r="I200" s="93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27.75" customHeight="1">
      <c r="A201" s="50"/>
      <c r="B201" s="93"/>
      <c r="C201" s="93"/>
      <c r="D201" s="106"/>
      <c r="E201" s="93"/>
      <c r="F201" s="93"/>
      <c r="G201" s="106"/>
      <c r="H201" s="50"/>
      <c r="I201" s="93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27.75" customHeight="1">
      <c r="A202" s="50"/>
      <c r="B202" s="93"/>
      <c r="C202" s="93"/>
      <c r="D202" s="106"/>
      <c r="E202" s="93"/>
      <c r="F202" s="93"/>
      <c r="G202" s="106"/>
      <c r="H202" s="50"/>
      <c r="I202" s="93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27.75" customHeight="1">
      <c r="A203" s="50"/>
      <c r="B203" s="93"/>
      <c r="C203" s="93"/>
      <c r="D203" s="106"/>
      <c r="E203" s="93"/>
      <c r="F203" s="93"/>
      <c r="G203" s="106"/>
      <c r="H203" s="50"/>
      <c r="I203" s="93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27.75" customHeight="1">
      <c r="A204" s="50"/>
      <c r="B204" s="93"/>
      <c r="C204" s="93"/>
      <c r="D204" s="106"/>
      <c r="E204" s="93"/>
      <c r="F204" s="93"/>
      <c r="G204" s="106"/>
      <c r="H204" s="50"/>
      <c r="I204" s="93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27.75" customHeight="1">
      <c r="A205" s="50"/>
      <c r="B205" s="93"/>
      <c r="C205" s="93"/>
      <c r="D205" s="106"/>
      <c r="E205" s="93"/>
      <c r="F205" s="93"/>
      <c r="G205" s="106"/>
      <c r="H205" s="50"/>
      <c r="I205" s="93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27.75" customHeight="1">
      <c r="A206" s="50"/>
      <c r="B206" s="93"/>
      <c r="C206" s="93"/>
      <c r="D206" s="106"/>
      <c r="E206" s="93"/>
      <c r="F206" s="93"/>
      <c r="G206" s="106"/>
      <c r="H206" s="50"/>
      <c r="I206" s="93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27.75" customHeight="1">
      <c r="A207" s="50"/>
      <c r="B207" s="93"/>
      <c r="C207" s="93"/>
      <c r="D207" s="106"/>
      <c r="E207" s="93"/>
      <c r="F207" s="93"/>
      <c r="G207" s="106"/>
      <c r="H207" s="50"/>
      <c r="I207" s="93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27.75" customHeight="1">
      <c r="A208" s="50"/>
      <c r="B208" s="93"/>
      <c r="C208" s="93"/>
      <c r="D208" s="106"/>
      <c r="E208" s="93"/>
      <c r="F208" s="93"/>
      <c r="G208" s="106"/>
      <c r="H208" s="50"/>
      <c r="I208" s="93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27.75" customHeight="1">
      <c r="A209" s="50"/>
      <c r="B209" s="93"/>
      <c r="C209" s="93"/>
      <c r="D209" s="106"/>
      <c r="E209" s="93"/>
      <c r="F209" s="93"/>
      <c r="G209" s="106"/>
      <c r="H209" s="50"/>
      <c r="I209" s="93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27.75" customHeight="1">
      <c r="A210" s="50"/>
      <c r="B210" s="93"/>
      <c r="C210" s="93"/>
      <c r="D210" s="106"/>
      <c r="E210" s="93"/>
      <c r="F210" s="93"/>
      <c r="G210" s="106"/>
      <c r="H210" s="50"/>
      <c r="I210" s="93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27.75" customHeight="1">
      <c r="A211" s="50"/>
      <c r="B211" s="93"/>
      <c r="C211" s="93"/>
      <c r="D211" s="106"/>
      <c r="E211" s="93"/>
      <c r="F211" s="93"/>
      <c r="G211" s="106"/>
      <c r="H211" s="50"/>
      <c r="I211" s="93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27.75" customHeight="1">
      <c r="A212" s="50"/>
      <c r="B212" s="93"/>
      <c r="C212" s="93"/>
      <c r="D212" s="106"/>
      <c r="E212" s="93"/>
      <c r="F212" s="93"/>
      <c r="G212" s="106"/>
      <c r="H212" s="50"/>
      <c r="I212" s="93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27.75" customHeight="1">
      <c r="A213" s="50"/>
      <c r="B213" s="93"/>
      <c r="C213" s="93"/>
      <c r="D213" s="106"/>
      <c r="E213" s="93"/>
      <c r="F213" s="93"/>
      <c r="G213" s="106"/>
      <c r="H213" s="50"/>
      <c r="I213" s="93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27.75" customHeight="1">
      <c r="A214" s="50"/>
      <c r="B214" s="93"/>
      <c r="C214" s="93"/>
      <c r="D214" s="106"/>
      <c r="E214" s="93"/>
      <c r="F214" s="93"/>
      <c r="G214" s="106"/>
      <c r="H214" s="50"/>
      <c r="I214" s="93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27.75" customHeight="1">
      <c r="A215" s="50"/>
      <c r="B215" s="93"/>
      <c r="C215" s="93"/>
      <c r="D215" s="106"/>
      <c r="E215" s="93"/>
      <c r="F215" s="93"/>
      <c r="G215" s="106"/>
      <c r="H215" s="50"/>
      <c r="I215" s="93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27.75" customHeight="1">
      <c r="A216" s="50"/>
      <c r="B216" s="93"/>
      <c r="C216" s="93"/>
      <c r="D216" s="106"/>
      <c r="E216" s="93"/>
      <c r="F216" s="93"/>
      <c r="G216" s="106"/>
      <c r="H216" s="50"/>
      <c r="I216" s="93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27.75" customHeight="1">
      <c r="A217" s="50"/>
      <c r="B217" s="93"/>
      <c r="C217" s="93"/>
      <c r="D217" s="106"/>
      <c r="E217" s="93"/>
      <c r="F217" s="93"/>
      <c r="G217" s="106"/>
      <c r="H217" s="50"/>
      <c r="I217" s="93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27.75" customHeight="1">
      <c r="A218" s="50"/>
      <c r="B218" s="93"/>
      <c r="C218" s="93"/>
      <c r="D218" s="106"/>
      <c r="E218" s="93"/>
      <c r="F218" s="93"/>
      <c r="G218" s="106"/>
      <c r="H218" s="50"/>
      <c r="I218" s="93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27.75" customHeight="1">
      <c r="A219" s="50"/>
      <c r="B219" s="93"/>
      <c r="C219" s="93"/>
      <c r="D219" s="106"/>
      <c r="E219" s="93"/>
      <c r="F219" s="93"/>
      <c r="G219" s="106"/>
      <c r="H219" s="50"/>
      <c r="I219" s="93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27.75" customHeight="1">
      <c r="A220" s="50"/>
      <c r="B220" s="93"/>
      <c r="C220" s="93"/>
      <c r="D220" s="106"/>
      <c r="E220" s="93"/>
      <c r="F220" s="93"/>
      <c r="G220" s="106"/>
      <c r="H220" s="50"/>
      <c r="I220" s="93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27.75" customHeight="1">
      <c r="A221" s="50"/>
      <c r="B221" s="93"/>
      <c r="C221" s="93"/>
      <c r="D221" s="106"/>
      <c r="E221" s="93"/>
      <c r="F221" s="93"/>
      <c r="G221" s="106"/>
      <c r="H221" s="50"/>
      <c r="I221" s="93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27.75" customHeight="1">
      <c r="A222" s="50"/>
      <c r="B222" s="93"/>
      <c r="C222" s="93"/>
      <c r="D222" s="106"/>
      <c r="E222" s="93"/>
      <c r="F222" s="93"/>
      <c r="G222" s="106"/>
      <c r="H222" s="50"/>
      <c r="I222" s="93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27.75" customHeight="1">
      <c r="A223" s="50"/>
      <c r="B223" s="93"/>
      <c r="C223" s="93"/>
      <c r="D223" s="106"/>
      <c r="E223" s="93"/>
      <c r="F223" s="93"/>
      <c r="G223" s="106"/>
      <c r="H223" s="50"/>
      <c r="I223" s="93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27.75" customHeight="1">
      <c r="A224" s="50"/>
      <c r="B224" s="93"/>
      <c r="C224" s="93"/>
      <c r="D224" s="106"/>
      <c r="E224" s="93"/>
      <c r="F224" s="93"/>
      <c r="G224" s="106"/>
      <c r="H224" s="50"/>
      <c r="I224" s="93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27.75" customHeight="1">
      <c r="A225" s="50"/>
      <c r="B225" s="93"/>
      <c r="C225" s="93"/>
      <c r="D225" s="106"/>
      <c r="E225" s="93"/>
      <c r="F225" s="93"/>
      <c r="G225" s="106"/>
      <c r="H225" s="50"/>
      <c r="I225" s="93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27.75" customHeight="1">
      <c r="A226" s="50"/>
      <c r="B226" s="93"/>
      <c r="C226" s="93"/>
      <c r="D226" s="106"/>
      <c r="E226" s="93"/>
      <c r="F226" s="93"/>
      <c r="G226" s="106"/>
      <c r="H226" s="50"/>
      <c r="I226" s="93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27.75" customHeight="1">
      <c r="A227" s="50"/>
      <c r="B227" s="93"/>
      <c r="C227" s="93"/>
      <c r="D227" s="106"/>
      <c r="E227" s="93"/>
      <c r="F227" s="93"/>
      <c r="G227" s="106"/>
      <c r="H227" s="50"/>
      <c r="I227" s="93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27.75" customHeight="1">
      <c r="A228" s="50"/>
      <c r="B228" s="93"/>
      <c r="C228" s="93"/>
      <c r="D228" s="106"/>
      <c r="E228" s="93"/>
      <c r="F228" s="93"/>
      <c r="G228" s="106"/>
      <c r="H228" s="50"/>
      <c r="I228" s="93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27.75" customHeight="1">
      <c r="A229" s="50"/>
      <c r="B229" s="93"/>
      <c r="C229" s="93"/>
      <c r="D229" s="106"/>
      <c r="E229" s="93"/>
      <c r="F229" s="93"/>
      <c r="G229" s="106"/>
      <c r="H229" s="50"/>
      <c r="I229" s="93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27.75" customHeight="1">
      <c r="A230" s="50"/>
      <c r="B230" s="93"/>
      <c r="C230" s="93"/>
      <c r="D230" s="106"/>
      <c r="E230" s="93"/>
      <c r="F230" s="93"/>
      <c r="G230" s="106"/>
      <c r="H230" s="50"/>
      <c r="I230" s="93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27.75" customHeight="1">
      <c r="A231" s="50"/>
      <c r="B231" s="93"/>
      <c r="C231" s="93"/>
      <c r="D231" s="106"/>
      <c r="E231" s="93"/>
      <c r="F231" s="93"/>
      <c r="G231" s="106"/>
      <c r="H231" s="50"/>
      <c r="I231" s="93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27.75" customHeight="1">
      <c r="A232" s="50"/>
      <c r="B232" s="93"/>
      <c r="C232" s="93"/>
      <c r="D232" s="106"/>
      <c r="E232" s="93"/>
      <c r="F232" s="93"/>
      <c r="G232" s="106"/>
      <c r="H232" s="50"/>
      <c r="I232" s="93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27.75" customHeight="1">
      <c r="A233" s="50"/>
      <c r="B233" s="93"/>
      <c r="C233" s="93"/>
      <c r="D233" s="106"/>
      <c r="E233" s="93"/>
      <c r="F233" s="93"/>
      <c r="G233" s="106"/>
      <c r="H233" s="50"/>
      <c r="I233" s="93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27.75" customHeight="1">
      <c r="A234" s="50"/>
      <c r="B234" s="93"/>
      <c r="C234" s="93"/>
      <c r="D234" s="106"/>
      <c r="E234" s="93"/>
      <c r="F234" s="93"/>
      <c r="G234" s="106"/>
      <c r="H234" s="50"/>
      <c r="I234" s="93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27.75" customHeight="1">
      <c r="A235" s="50"/>
      <c r="B235" s="93"/>
      <c r="C235" s="93"/>
      <c r="D235" s="106"/>
      <c r="E235" s="93"/>
      <c r="F235" s="93"/>
      <c r="G235" s="106"/>
      <c r="H235" s="50"/>
      <c r="I235" s="93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27.75" customHeight="1">
      <c r="A236" s="50"/>
      <c r="B236" s="93"/>
      <c r="C236" s="93"/>
      <c r="D236" s="106"/>
      <c r="E236" s="93"/>
      <c r="F236" s="93"/>
      <c r="G236" s="106"/>
      <c r="H236" s="50"/>
      <c r="I236" s="93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27.75" customHeight="1">
      <c r="A237" s="50"/>
      <c r="B237" s="93"/>
      <c r="C237" s="93"/>
      <c r="D237" s="106"/>
      <c r="E237" s="93"/>
      <c r="F237" s="93"/>
      <c r="G237" s="106"/>
      <c r="H237" s="50"/>
      <c r="I237" s="93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27.75" customHeight="1">
      <c r="A238" s="50"/>
      <c r="B238" s="93"/>
      <c r="C238" s="93"/>
      <c r="D238" s="106"/>
      <c r="E238" s="93"/>
      <c r="F238" s="93"/>
      <c r="G238" s="106"/>
      <c r="H238" s="50"/>
      <c r="I238" s="93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27.75" customHeight="1">
      <c r="A239" s="50"/>
      <c r="B239" s="93"/>
      <c r="C239" s="93"/>
      <c r="D239" s="106"/>
      <c r="E239" s="93"/>
      <c r="F239" s="93"/>
      <c r="G239" s="106"/>
      <c r="H239" s="50"/>
      <c r="I239" s="93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27.75" customHeight="1">
      <c r="A240" s="50"/>
      <c r="B240" s="93"/>
      <c r="C240" s="93"/>
      <c r="D240" s="106"/>
      <c r="E240" s="93"/>
      <c r="F240" s="93"/>
      <c r="G240" s="106"/>
      <c r="H240" s="50"/>
      <c r="I240" s="93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27.75" customHeight="1">
      <c r="A241" s="50"/>
      <c r="B241" s="93"/>
      <c r="C241" s="93"/>
      <c r="D241" s="106"/>
      <c r="E241" s="93"/>
      <c r="F241" s="93"/>
      <c r="G241" s="106"/>
      <c r="H241" s="50"/>
      <c r="I241" s="93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27.75" customHeight="1">
      <c r="A242" s="50"/>
      <c r="B242" s="93"/>
      <c r="C242" s="93"/>
      <c r="D242" s="106"/>
      <c r="E242" s="93"/>
      <c r="F242" s="93"/>
      <c r="G242" s="106"/>
      <c r="H242" s="50"/>
      <c r="I242" s="93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27.75" customHeight="1">
      <c r="A243" s="50"/>
      <c r="B243" s="93"/>
      <c r="C243" s="93"/>
      <c r="D243" s="106"/>
      <c r="E243" s="93"/>
      <c r="F243" s="93"/>
      <c r="G243" s="106"/>
      <c r="H243" s="50"/>
      <c r="I243" s="93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27.75" customHeight="1">
      <c r="A244" s="50"/>
      <c r="B244" s="93"/>
      <c r="C244" s="93"/>
      <c r="D244" s="106"/>
      <c r="E244" s="93"/>
      <c r="F244" s="93"/>
      <c r="G244" s="106"/>
      <c r="H244" s="50"/>
      <c r="I244" s="93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27.75" customHeight="1">
      <c r="A245" s="50"/>
      <c r="B245" s="93"/>
      <c r="C245" s="93"/>
      <c r="D245" s="106"/>
      <c r="E245" s="93"/>
      <c r="F245" s="93"/>
      <c r="G245" s="106"/>
      <c r="H245" s="50"/>
      <c r="I245" s="93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27.75" customHeight="1">
      <c r="A246" s="50"/>
      <c r="B246" s="93"/>
      <c r="C246" s="93"/>
      <c r="D246" s="106"/>
      <c r="E246" s="93"/>
      <c r="F246" s="93"/>
      <c r="G246" s="106"/>
      <c r="H246" s="50"/>
      <c r="I246" s="93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27.75" customHeight="1">
      <c r="A247" s="50"/>
      <c r="B247" s="93"/>
      <c r="C247" s="93"/>
      <c r="D247" s="106"/>
      <c r="E247" s="93"/>
      <c r="F247" s="93"/>
      <c r="G247" s="106"/>
      <c r="H247" s="50"/>
      <c r="I247" s="93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27.75" customHeight="1">
      <c r="A248" s="50"/>
      <c r="B248" s="93"/>
      <c r="C248" s="93"/>
      <c r="D248" s="106"/>
      <c r="E248" s="93"/>
      <c r="F248" s="93"/>
      <c r="G248" s="106"/>
      <c r="H248" s="50"/>
      <c r="I248" s="93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27.75" customHeight="1">
      <c r="A249" s="50"/>
      <c r="B249" s="93"/>
      <c r="C249" s="93"/>
      <c r="D249" s="106"/>
      <c r="E249" s="93"/>
      <c r="F249" s="93"/>
      <c r="G249" s="106"/>
      <c r="H249" s="50"/>
      <c r="I249" s="93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27.75" customHeight="1">
      <c r="A250" s="50"/>
      <c r="B250" s="93"/>
      <c r="C250" s="93"/>
      <c r="D250" s="106"/>
      <c r="E250" s="93"/>
      <c r="F250" s="93"/>
      <c r="G250" s="106"/>
      <c r="H250" s="50"/>
      <c r="I250" s="93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27.75" customHeight="1">
      <c r="A251" s="50"/>
      <c r="B251" s="93"/>
      <c r="C251" s="93"/>
      <c r="D251" s="106"/>
      <c r="E251" s="93"/>
      <c r="F251" s="93"/>
      <c r="G251" s="106"/>
      <c r="H251" s="50"/>
      <c r="I251" s="93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27.75" customHeight="1">
      <c r="A252" s="50"/>
      <c r="B252" s="93"/>
      <c r="C252" s="93"/>
      <c r="D252" s="106"/>
      <c r="E252" s="93"/>
      <c r="F252" s="93"/>
      <c r="G252" s="106"/>
      <c r="H252" s="50"/>
      <c r="I252" s="93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27.75" customHeight="1">
      <c r="A253" s="50"/>
      <c r="B253" s="93"/>
      <c r="C253" s="93"/>
      <c r="D253" s="106"/>
      <c r="E253" s="93"/>
      <c r="F253" s="93"/>
      <c r="G253" s="106"/>
      <c r="H253" s="50"/>
      <c r="I253" s="93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27.75" customHeight="1">
      <c r="A254" s="50"/>
      <c r="B254" s="93"/>
      <c r="C254" s="93"/>
      <c r="D254" s="106"/>
      <c r="E254" s="93"/>
      <c r="F254" s="93"/>
      <c r="G254" s="106"/>
      <c r="H254" s="50"/>
      <c r="I254" s="93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27.75" customHeight="1">
      <c r="A255" s="50"/>
      <c r="B255" s="93"/>
      <c r="C255" s="93"/>
      <c r="D255" s="106"/>
      <c r="E255" s="93"/>
      <c r="F255" s="93"/>
      <c r="G255" s="106"/>
      <c r="H255" s="50"/>
      <c r="I255" s="93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27.75" customHeight="1">
      <c r="A256" s="50"/>
      <c r="B256" s="93"/>
      <c r="C256" s="93"/>
      <c r="D256" s="106"/>
      <c r="E256" s="93"/>
      <c r="F256" s="93"/>
      <c r="G256" s="106"/>
      <c r="H256" s="50"/>
      <c r="I256" s="93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27.75" customHeight="1">
      <c r="A257" s="50"/>
      <c r="B257" s="93"/>
      <c r="C257" s="93"/>
      <c r="D257" s="106"/>
      <c r="E257" s="93"/>
      <c r="F257" s="93"/>
      <c r="G257" s="106"/>
      <c r="H257" s="50"/>
      <c r="I257" s="93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27.75" customHeight="1">
      <c r="A258" s="50"/>
      <c r="B258" s="93"/>
      <c r="C258" s="93"/>
      <c r="D258" s="106"/>
      <c r="E258" s="93"/>
      <c r="F258" s="93"/>
      <c r="G258" s="106"/>
      <c r="H258" s="50"/>
      <c r="I258" s="93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27.75" customHeight="1">
      <c r="A259" s="50"/>
      <c r="B259" s="93"/>
      <c r="C259" s="93"/>
      <c r="D259" s="106"/>
      <c r="E259" s="93"/>
      <c r="F259" s="93"/>
      <c r="G259" s="106"/>
      <c r="H259" s="50"/>
      <c r="I259" s="93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27.75" customHeight="1">
      <c r="A260" s="50"/>
      <c r="B260" s="93"/>
      <c r="C260" s="93"/>
      <c r="D260" s="106"/>
      <c r="E260" s="93"/>
      <c r="F260" s="93"/>
      <c r="G260" s="106"/>
      <c r="H260" s="50"/>
      <c r="I260" s="93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27.75" customHeight="1">
      <c r="A261" s="50"/>
      <c r="B261" s="93"/>
      <c r="C261" s="93"/>
      <c r="D261" s="106"/>
      <c r="E261" s="93"/>
      <c r="F261" s="93"/>
      <c r="G261" s="106"/>
      <c r="H261" s="50"/>
      <c r="I261" s="93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27.75" customHeight="1">
      <c r="A262" s="50"/>
      <c r="B262" s="93"/>
      <c r="C262" s="93"/>
      <c r="D262" s="106"/>
      <c r="E262" s="93"/>
      <c r="F262" s="93"/>
      <c r="G262" s="106"/>
      <c r="H262" s="50"/>
      <c r="I262" s="93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27.75" customHeight="1">
      <c r="A263" s="50"/>
      <c r="B263" s="93"/>
      <c r="C263" s="93"/>
      <c r="D263" s="106"/>
      <c r="E263" s="93"/>
      <c r="F263" s="93"/>
      <c r="G263" s="106"/>
      <c r="H263" s="50"/>
      <c r="I263" s="93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27.75" customHeight="1">
      <c r="A264" s="50"/>
      <c r="B264" s="93"/>
      <c r="C264" s="93"/>
      <c r="D264" s="106"/>
      <c r="E264" s="93"/>
      <c r="F264" s="93"/>
      <c r="G264" s="106"/>
      <c r="H264" s="50"/>
      <c r="I264" s="93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27.75" customHeight="1">
      <c r="A265" s="50"/>
      <c r="B265" s="93"/>
      <c r="C265" s="93"/>
      <c r="D265" s="106"/>
      <c r="E265" s="93"/>
      <c r="F265" s="93"/>
      <c r="G265" s="106"/>
      <c r="H265" s="50"/>
      <c r="I265" s="93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27.75" customHeight="1">
      <c r="A266" s="50"/>
      <c r="B266" s="93"/>
      <c r="C266" s="93"/>
      <c r="D266" s="106"/>
      <c r="E266" s="93"/>
      <c r="F266" s="93"/>
      <c r="G266" s="106"/>
      <c r="H266" s="50"/>
      <c r="I266" s="93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27.75" customHeight="1">
      <c r="A267" s="50"/>
      <c r="B267" s="93"/>
      <c r="C267" s="93"/>
      <c r="D267" s="106"/>
      <c r="E267" s="93"/>
      <c r="F267" s="93"/>
      <c r="G267" s="106"/>
      <c r="H267" s="50"/>
      <c r="I267" s="93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27.75" customHeight="1">
      <c r="A268" s="50"/>
      <c r="B268" s="93"/>
      <c r="C268" s="93"/>
      <c r="D268" s="106"/>
      <c r="E268" s="93"/>
      <c r="F268" s="93"/>
      <c r="G268" s="106"/>
      <c r="H268" s="50"/>
      <c r="I268" s="93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27.75" customHeight="1">
      <c r="A269" s="50"/>
      <c r="B269" s="93"/>
      <c r="C269" s="93"/>
      <c r="D269" s="106"/>
      <c r="E269" s="93"/>
      <c r="F269" s="93"/>
      <c r="G269" s="106"/>
      <c r="H269" s="50"/>
      <c r="I269" s="93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27.75" customHeight="1">
      <c r="A270" s="50"/>
      <c r="B270" s="93"/>
      <c r="C270" s="93"/>
      <c r="D270" s="106"/>
      <c r="E270" s="93"/>
      <c r="F270" s="93"/>
      <c r="G270" s="106"/>
      <c r="H270" s="50"/>
      <c r="I270" s="93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27.75" customHeight="1">
      <c r="A271" s="50"/>
      <c r="B271" s="93"/>
      <c r="C271" s="93"/>
      <c r="D271" s="106"/>
      <c r="E271" s="93"/>
      <c r="F271" s="93"/>
      <c r="G271" s="106"/>
      <c r="H271" s="50"/>
      <c r="I271" s="93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27.75" customHeight="1">
      <c r="A272" s="50"/>
      <c r="B272" s="93"/>
      <c r="C272" s="93"/>
      <c r="D272" s="106"/>
      <c r="E272" s="93"/>
      <c r="F272" s="93"/>
      <c r="G272" s="106"/>
      <c r="H272" s="50"/>
      <c r="I272" s="93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27.75" customHeight="1">
      <c r="A273" s="50"/>
      <c r="B273" s="93"/>
      <c r="C273" s="93"/>
      <c r="D273" s="106"/>
      <c r="E273" s="93"/>
      <c r="F273" s="93"/>
      <c r="G273" s="106"/>
      <c r="H273" s="50"/>
      <c r="I273" s="93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27.75" customHeight="1">
      <c r="A274" s="50"/>
      <c r="B274" s="93"/>
      <c r="C274" s="93"/>
      <c r="D274" s="106"/>
      <c r="E274" s="93"/>
      <c r="F274" s="93"/>
      <c r="G274" s="106"/>
      <c r="H274" s="50"/>
      <c r="I274" s="93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27.75" customHeight="1">
      <c r="A275" s="50"/>
      <c r="B275" s="93"/>
      <c r="C275" s="93"/>
      <c r="D275" s="106"/>
      <c r="E275" s="93"/>
      <c r="F275" s="93"/>
      <c r="G275" s="106"/>
      <c r="H275" s="50"/>
      <c r="I275" s="93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27.75" customHeight="1">
      <c r="A276" s="50"/>
      <c r="B276" s="93"/>
      <c r="C276" s="93"/>
      <c r="D276" s="106"/>
      <c r="E276" s="93"/>
      <c r="F276" s="93"/>
      <c r="G276" s="106"/>
      <c r="H276" s="50"/>
      <c r="I276" s="93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27.75" customHeight="1">
      <c r="A277" s="50"/>
      <c r="B277" s="93"/>
      <c r="C277" s="93"/>
      <c r="D277" s="106"/>
      <c r="E277" s="93"/>
      <c r="F277" s="93"/>
      <c r="G277" s="106"/>
      <c r="H277" s="50"/>
      <c r="I277" s="93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27.75" customHeight="1">
      <c r="A278" s="50"/>
      <c r="B278" s="93"/>
      <c r="C278" s="93"/>
      <c r="D278" s="106"/>
      <c r="E278" s="93"/>
      <c r="F278" s="93"/>
      <c r="G278" s="106"/>
      <c r="H278" s="50"/>
      <c r="I278" s="93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27.75" customHeight="1">
      <c r="A279" s="50"/>
      <c r="B279" s="93"/>
      <c r="C279" s="93"/>
      <c r="D279" s="106"/>
      <c r="E279" s="93"/>
      <c r="F279" s="93"/>
      <c r="G279" s="106"/>
      <c r="H279" s="50"/>
      <c r="I279" s="93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27.75" customHeight="1">
      <c r="A280" s="50"/>
      <c r="B280" s="93"/>
      <c r="C280" s="93"/>
      <c r="D280" s="106"/>
      <c r="E280" s="93"/>
      <c r="F280" s="93"/>
      <c r="G280" s="106"/>
      <c r="H280" s="50"/>
      <c r="I280" s="93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27.75" customHeight="1">
      <c r="A281" s="50"/>
      <c r="B281" s="93"/>
      <c r="C281" s="93"/>
      <c r="D281" s="106"/>
      <c r="E281" s="93"/>
      <c r="F281" s="93"/>
      <c r="G281" s="106"/>
      <c r="H281" s="50"/>
      <c r="I281" s="93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27.75" customHeight="1">
      <c r="A282" s="50"/>
      <c r="B282" s="93"/>
      <c r="C282" s="93"/>
      <c r="D282" s="106"/>
      <c r="E282" s="93"/>
      <c r="F282" s="93"/>
      <c r="G282" s="106"/>
      <c r="H282" s="50"/>
      <c r="I282" s="93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27.75" customHeight="1">
      <c r="A283" s="50"/>
      <c r="B283" s="93"/>
      <c r="C283" s="93"/>
      <c r="D283" s="106"/>
      <c r="E283" s="93"/>
      <c r="F283" s="93"/>
      <c r="G283" s="106"/>
      <c r="H283" s="50"/>
      <c r="I283" s="93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27.75" customHeight="1">
      <c r="A284" s="50"/>
      <c r="B284" s="93"/>
      <c r="C284" s="93"/>
      <c r="D284" s="106"/>
      <c r="E284" s="93"/>
      <c r="F284" s="93"/>
      <c r="G284" s="106"/>
      <c r="H284" s="50"/>
      <c r="I284" s="93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27.75" customHeight="1">
      <c r="A285" s="50"/>
      <c r="B285" s="93"/>
      <c r="C285" s="93"/>
      <c r="D285" s="106"/>
      <c r="E285" s="93"/>
      <c r="F285" s="93"/>
      <c r="G285" s="106"/>
      <c r="H285" s="50"/>
      <c r="I285" s="93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27.75" customHeight="1">
      <c r="A286" s="50"/>
      <c r="B286" s="93"/>
      <c r="C286" s="93"/>
      <c r="D286" s="106"/>
      <c r="E286" s="93"/>
      <c r="F286" s="93"/>
      <c r="G286" s="106"/>
      <c r="H286" s="50"/>
      <c r="I286" s="93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27.75" customHeight="1">
      <c r="A287" s="50"/>
      <c r="B287" s="93"/>
      <c r="C287" s="93"/>
      <c r="D287" s="106"/>
      <c r="E287" s="93"/>
      <c r="F287" s="93"/>
      <c r="G287" s="106"/>
      <c r="H287" s="50"/>
      <c r="I287" s="93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27.75" customHeight="1">
      <c r="A288" s="50"/>
      <c r="B288" s="93"/>
      <c r="C288" s="93"/>
      <c r="D288" s="106"/>
      <c r="E288" s="93"/>
      <c r="F288" s="93"/>
      <c r="G288" s="106"/>
      <c r="H288" s="50"/>
      <c r="I288" s="93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27.75" customHeight="1">
      <c r="A289" s="50"/>
      <c r="B289" s="93"/>
      <c r="C289" s="93"/>
      <c r="D289" s="106"/>
      <c r="E289" s="93"/>
      <c r="F289" s="93"/>
      <c r="G289" s="106"/>
      <c r="H289" s="50"/>
      <c r="I289" s="93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27.75" customHeight="1">
      <c r="A290" s="50"/>
      <c r="B290" s="93"/>
      <c r="C290" s="93"/>
      <c r="D290" s="106"/>
      <c r="E290" s="93"/>
      <c r="F290" s="93"/>
      <c r="G290" s="106"/>
      <c r="H290" s="50"/>
      <c r="I290" s="93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27.75" customHeight="1">
      <c r="A291" s="50"/>
      <c r="B291" s="93"/>
      <c r="C291" s="93"/>
      <c r="D291" s="106"/>
      <c r="E291" s="93"/>
      <c r="F291" s="93"/>
      <c r="G291" s="106"/>
      <c r="H291" s="50"/>
      <c r="I291" s="93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27.75" customHeight="1">
      <c r="A292" s="50"/>
      <c r="B292" s="93"/>
      <c r="C292" s="93"/>
      <c r="D292" s="106"/>
      <c r="E292" s="93"/>
      <c r="F292" s="93"/>
      <c r="G292" s="106"/>
      <c r="H292" s="50"/>
      <c r="I292" s="93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27.75" customHeight="1">
      <c r="A293" s="50"/>
      <c r="B293" s="93"/>
      <c r="C293" s="93"/>
      <c r="D293" s="106"/>
      <c r="E293" s="93"/>
      <c r="F293" s="93"/>
      <c r="G293" s="106"/>
      <c r="H293" s="50"/>
      <c r="I293" s="93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27.75" customHeight="1">
      <c r="A294" s="50"/>
      <c r="B294" s="93"/>
      <c r="C294" s="93"/>
      <c r="D294" s="106"/>
      <c r="E294" s="93"/>
      <c r="F294" s="93"/>
      <c r="G294" s="106"/>
      <c r="H294" s="50"/>
      <c r="I294" s="93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27.75" customHeight="1">
      <c r="A295" s="50"/>
      <c r="B295" s="93"/>
      <c r="C295" s="93"/>
      <c r="D295" s="106"/>
      <c r="E295" s="93"/>
      <c r="F295" s="93"/>
      <c r="G295" s="106"/>
      <c r="H295" s="50"/>
      <c r="I295" s="93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27.75" customHeight="1">
      <c r="A296" s="50"/>
      <c r="B296" s="93"/>
      <c r="C296" s="93"/>
      <c r="D296" s="106"/>
      <c r="E296" s="93"/>
      <c r="F296" s="93"/>
      <c r="G296" s="106"/>
      <c r="H296" s="50"/>
      <c r="I296" s="93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27.75" customHeight="1">
      <c r="A297" s="50"/>
      <c r="B297" s="93"/>
      <c r="C297" s="93"/>
      <c r="D297" s="106"/>
      <c r="E297" s="93"/>
      <c r="F297" s="93"/>
      <c r="G297" s="106"/>
      <c r="H297" s="50"/>
      <c r="I297" s="93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27.75" customHeight="1">
      <c r="A298" s="50"/>
      <c r="B298" s="93"/>
      <c r="C298" s="93"/>
      <c r="D298" s="106"/>
      <c r="E298" s="93"/>
      <c r="F298" s="93"/>
      <c r="G298" s="106"/>
      <c r="H298" s="50"/>
      <c r="I298" s="93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27.75" customHeight="1">
      <c r="A299" s="50"/>
      <c r="B299" s="93"/>
      <c r="C299" s="93"/>
      <c r="D299" s="106"/>
      <c r="E299" s="93"/>
      <c r="F299" s="93"/>
      <c r="G299" s="106"/>
      <c r="H299" s="50"/>
      <c r="I299" s="93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27.75" customHeight="1">
      <c r="A300" s="50"/>
      <c r="B300" s="93"/>
      <c r="C300" s="93"/>
      <c r="D300" s="106"/>
      <c r="E300" s="93"/>
      <c r="F300" s="93"/>
      <c r="G300" s="106"/>
      <c r="H300" s="50"/>
      <c r="I300" s="93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27.75" customHeight="1">
      <c r="A301" s="50"/>
      <c r="B301" s="93"/>
      <c r="C301" s="93"/>
      <c r="D301" s="106"/>
      <c r="E301" s="93"/>
      <c r="F301" s="93"/>
      <c r="G301" s="106"/>
      <c r="H301" s="50"/>
      <c r="I301" s="93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27.75" customHeight="1">
      <c r="A302" s="50"/>
      <c r="B302" s="93"/>
      <c r="C302" s="93"/>
      <c r="D302" s="106"/>
      <c r="E302" s="93"/>
      <c r="F302" s="93"/>
      <c r="G302" s="106"/>
      <c r="H302" s="50"/>
      <c r="I302" s="93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27.75" customHeight="1">
      <c r="A303" s="50"/>
      <c r="B303" s="93"/>
      <c r="C303" s="93"/>
      <c r="D303" s="106"/>
      <c r="E303" s="93"/>
      <c r="F303" s="93"/>
      <c r="G303" s="106"/>
      <c r="H303" s="50"/>
      <c r="I303" s="93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27.75" customHeight="1">
      <c r="A304" s="50"/>
      <c r="B304" s="93"/>
      <c r="C304" s="93"/>
      <c r="D304" s="106"/>
      <c r="E304" s="93"/>
      <c r="F304" s="93"/>
      <c r="G304" s="106"/>
      <c r="H304" s="50"/>
      <c r="I304" s="93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27.75" customHeight="1">
      <c r="A305" s="50"/>
      <c r="B305" s="93"/>
      <c r="C305" s="93"/>
      <c r="D305" s="106"/>
      <c r="E305" s="93"/>
      <c r="F305" s="93"/>
      <c r="G305" s="106"/>
      <c r="H305" s="50"/>
      <c r="I305" s="93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27.75" customHeight="1">
      <c r="A306" s="50"/>
      <c r="B306" s="93"/>
      <c r="C306" s="93"/>
      <c r="D306" s="106"/>
      <c r="E306" s="93"/>
      <c r="F306" s="93"/>
      <c r="G306" s="106"/>
      <c r="H306" s="50"/>
      <c r="I306" s="93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27.75" customHeight="1">
      <c r="A307" s="50"/>
      <c r="B307" s="93"/>
      <c r="C307" s="93"/>
      <c r="D307" s="106"/>
      <c r="E307" s="93"/>
      <c r="F307" s="93"/>
      <c r="G307" s="106"/>
      <c r="H307" s="50"/>
      <c r="I307" s="93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27.75" customHeight="1">
      <c r="A308" s="50"/>
      <c r="B308" s="93"/>
      <c r="C308" s="93"/>
      <c r="D308" s="106"/>
      <c r="E308" s="93"/>
      <c r="F308" s="93"/>
      <c r="G308" s="106"/>
      <c r="H308" s="50"/>
      <c r="I308" s="93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27.75" customHeight="1">
      <c r="A309" s="50"/>
      <c r="B309" s="93"/>
      <c r="C309" s="93"/>
      <c r="D309" s="106"/>
      <c r="E309" s="93"/>
      <c r="F309" s="93"/>
      <c r="G309" s="106"/>
      <c r="H309" s="50"/>
      <c r="I309" s="93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27.75" customHeight="1">
      <c r="A310" s="50"/>
      <c r="B310" s="93"/>
      <c r="C310" s="93"/>
      <c r="D310" s="106"/>
      <c r="E310" s="93"/>
      <c r="F310" s="93"/>
      <c r="G310" s="106"/>
      <c r="H310" s="50"/>
      <c r="I310" s="93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27.75" customHeight="1">
      <c r="A311" s="50"/>
      <c r="B311" s="93"/>
      <c r="C311" s="93"/>
      <c r="D311" s="106"/>
      <c r="E311" s="93"/>
      <c r="F311" s="93"/>
      <c r="G311" s="106"/>
      <c r="H311" s="50"/>
      <c r="I311" s="93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27.75" customHeight="1">
      <c r="A312" s="50"/>
      <c r="B312" s="93"/>
      <c r="C312" s="93"/>
      <c r="D312" s="106"/>
      <c r="E312" s="93"/>
      <c r="F312" s="93"/>
      <c r="G312" s="106"/>
      <c r="H312" s="50"/>
      <c r="I312" s="93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27.75" customHeight="1">
      <c r="A313" s="50"/>
      <c r="B313" s="93"/>
      <c r="C313" s="93"/>
      <c r="D313" s="106"/>
      <c r="E313" s="93"/>
      <c r="F313" s="93"/>
      <c r="G313" s="106"/>
      <c r="H313" s="50"/>
      <c r="I313" s="93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27.75" customHeight="1">
      <c r="A314" s="50"/>
      <c r="B314" s="93"/>
      <c r="C314" s="93"/>
      <c r="D314" s="106"/>
      <c r="E314" s="93"/>
      <c r="F314" s="93"/>
      <c r="G314" s="106"/>
      <c r="H314" s="50"/>
      <c r="I314" s="93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27.75" customHeight="1">
      <c r="A315" s="50"/>
      <c r="B315" s="93"/>
      <c r="C315" s="93"/>
      <c r="D315" s="106"/>
      <c r="E315" s="93"/>
      <c r="F315" s="93"/>
      <c r="G315" s="106"/>
      <c r="H315" s="50"/>
      <c r="I315" s="93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27.75" customHeight="1">
      <c r="A316" s="50"/>
      <c r="B316" s="93"/>
      <c r="C316" s="93"/>
      <c r="D316" s="106"/>
      <c r="E316" s="93"/>
      <c r="F316" s="93"/>
      <c r="G316" s="106"/>
      <c r="H316" s="50"/>
      <c r="I316" s="93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27.75" customHeight="1">
      <c r="A317" s="50"/>
      <c r="B317" s="93"/>
      <c r="C317" s="93"/>
      <c r="D317" s="106"/>
      <c r="E317" s="93"/>
      <c r="F317" s="93"/>
      <c r="G317" s="106"/>
      <c r="H317" s="50"/>
      <c r="I317" s="93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27.75" customHeight="1">
      <c r="A318" s="50"/>
      <c r="B318" s="93"/>
      <c r="C318" s="93"/>
      <c r="D318" s="106"/>
      <c r="E318" s="93"/>
      <c r="F318" s="93"/>
      <c r="G318" s="106"/>
      <c r="H318" s="50"/>
      <c r="I318" s="93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27.75" customHeight="1">
      <c r="A319" s="50"/>
      <c r="B319" s="93"/>
      <c r="C319" s="93"/>
      <c r="D319" s="106"/>
      <c r="E319" s="93"/>
      <c r="F319" s="93"/>
      <c r="G319" s="106"/>
      <c r="H319" s="50"/>
      <c r="I319" s="93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27.75" customHeight="1">
      <c r="A320" s="50"/>
      <c r="B320" s="93"/>
      <c r="C320" s="93"/>
      <c r="D320" s="106"/>
      <c r="E320" s="93"/>
      <c r="F320" s="93"/>
      <c r="G320" s="106"/>
      <c r="H320" s="50"/>
      <c r="I320" s="93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27.75" customHeight="1">
      <c r="A321" s="50"/>
      <c r="B321" s="93"/>
      <c r="C321" s="93"/>
      <c r="D321" s="106"/>
      <c r="E321" s="93"/>
      <c r="F321" s="93"/>
      <c r="G321" s="106"/>
      <c r="H321" s="50"/>
      <c r="I321" s="93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27.75" customHeight="1">
      <c r="A322" s="50"/>
      <c r="B322" s="93"/>
      <c r="C322" s="93"/>
      <c r="D322" s="106"/>
      <c r="E322" s="93"/>
      <c r="F322" s="93"/>
      <c r="G322" s="106"/>
      <c r="H322" s="50"/>
      <c r="I322" s="93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27.75" customHeight="1">
      <c r="A323" s="50"/>
      <c r="B323" s="93"/>
      <c r="C323" s="93"/>
      <c r="D323" s="106"/>
      <c r="E323" s="93"/>
      <c r="F323" s="93"/>
      <c r="G323" s="106"/>
      <c r="H323" s="50"/>
      <c r="I323" s="93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27.75" customHeight="1">
      <c r="A324" s="50"/>
      <c r="B324" s="93"/>
      <c r="C324" s="93"/>
      <c r="D324" s="106"/>
      <c r="E324" s="93"/>
      <c r="F324" s="93"/>
      <c r="G324" s="106"/>
      <c r="H324" s="50"/>
      <c r="I324" s="93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27.75" customHeight="1">
      <c r="A325" s="50"/>
      <c r="B325" s="93"/>
      <c r="C325" s="93"/>
      <c r="D325" s="106"/>
      <c r="E325" s="93"/>
      <c r="F325" s="93"/>
      <c r="G325" s="106"/>
      <c r="H325" s="50"/>
      <c r="I325" s="93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27.75" customHeight="1">
      <c r="A326" s="50"/>
      <c r="B326" s="93"/>
      <c r="C326" s="93"/>
      <c r="D326" s="106"/>
      <c r="E326" s="93"/>
      <c r="F326" s="93"/>
      <c r="G326" s="106"/>
      <c r="H326" s="50"/>
      <c r="I326" s="93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27.75" customHeight="1">
      <c r="A327" s="50"/>
      <c r="B327" s="93"/>
      <c r="C327" s="93"/>
      <c r="D327" s="106"/>
      <c r="E327" s="93"/>
      <c r="F327" s="93"/>
      <c r="G327" s="106"/>
      <c r="H327" s="50"/>
      <c r="I327" s="93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27.75" customHeight="1">
      <c r="A328" s="50"/>
      <c r="B328" s="93"/>
      <c r="C328" s="93"/>
      <c r="D328" s="106"/>
      <c r="E328" s="93"/>
      <c r="F328" s="93"/>
      <c r="G328" s="106"/>
      <c r="H328" s="50"/>
      <c r="I328" s="93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27.75" customHeight="1">
      <c r="A329" s="50"/>
      <c r="B329" s="93"/>
      <c r="C329" s="93"/>
      <c r="D329" s="106"/>
      <c r="E329" s="93"/>
      <c r="F329" s="93"/>
      <c r="G329" s="106"/>
      <c r="H329" s="50"/>
      <c r="I329" s="93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27.75" customHeight="1">
      <c r="A330" s="50"/>
      <c r="B330" s="93"/>
      <c r="C330" s="93"/>
      <c r="D330" s="106"/>
      <c r="E330" s="93"/>
      <c r="F330" s="93"/>
      <c r="G330" s="106"/>
      <c r="H330" s="50"/>
      <c r="I330" s="93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27.75" customHeight="1">
      <c r="A331" s="50"/>
      <c r="B331" s="93"/>
      <c r="C331" s="93"/>
      <c r="D331" s="106"/>
      <c r="E331" s="93"/>
      <c r="F331" s="93"/>
      <c r="G331" s="106"/>
      <c r="H331" s="50"/>
      <c r="I331" s="93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27.75" customHeight="1">
      <c r="A332" s="50"/>
      <c r="B332" s="93"/>
      <c r="C332" s="93"/>
      <c r="D332" s="106"/>
      <c r="E332" s="93"/>
      <c r="F332" s="93"/>
      <c r="G332" s="106"/>
      <c r="H332" s="50"/>
      <c r="I332" s="93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27.75" customHeight="1">
      <c r="A333" s="50"/>
      <c r="B333" s="93"/>
      <c r="C333" s="93"/>
      <c r="D333" s="106"/>
      <c r="E333" s="93"/>
      <c r="F333" s="93"/>
      <c r="G333" s="106"/>
      <c r="H333" s="50"/>
      <c r="I333" s="93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27.75" customHeight="1">
      <c r="A334" s="50"/>
      <c r="B334" s="93"/>
      <c r="C334" s="93"/>
      <c r="D334" s="106"/>
      <c r="E334" s="93"/>
      <c r="F334" s="93"/>
      <c r="G334" s="106"/>
      <c r="H334" s="50"/>
      <c r="I334" s="93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27.75" customHeight="1">
      <c r="A335" s="50"/>
      <c r="B335" s="93"/>
      <c r="C335" s="93"/>
      <c r="D335" s="106"/>
      <c r="E335" s="93"/>
      <c r="F335" s="93"/>
      <c r="G335" s="106"/>
      <c r="H335" s="50"/>
      <c r="I335" s="93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27.75" customHeight="1">
      <c r="A336" s="50"/>
      <c r="B336" s="93"/>
      <c r="C336" s="93"/>
      <c r="D336" s="106"/>
      <c r="E336" s="93"/>
      <c r="F336" s="93"/>
      <c r="G336" s="106"/>
      <c r="H336" s="50"/>
      <c r="I336" s="93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27.75" customHeight="1">
      <c r="A337" s="50"/>
      <c r="B337" s="93"/>
      <c r="C337" s="93"/>
      <c r="D337" s="106"/>
      <c r="E337" s="93"/>
      <c r="F337" s="93"/>
      <c r="G337" s="106"/>
      <c r="H337" s="50"/>
      <c r="I337" s="93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27.75" customHeight="1">
      <c r="A338" s="50"/>
      <c r="B338" s="93"/>
      <c r="C338" s="93"/>
      <c r="D338" s="106"/>
      <c r="E338" s="93"/>
      <c r="F338" s="93"/>
      <c r="G338" s="106"/>
      <c r="H338" s="50"/>
      <c r="I338" s="93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27.75" customHeight="1">
      <c r="A339" s="50"/>
      <c r="B339" s="93"/>
      <c r="C339" s="93"/>
      <c r="D339" s="106"/>
      <c r="E339" s="93"/>
      <c r="F339" s="93"/>
      <c r="G339" s="106"/>
      <c r="H339" s="50"/>
      <c r="I339" s="93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27.75" customHeight="1">
      <c r="A340" s="50"/>
      <c r="B340" s="93"/>
      <c r="C340" s="93"/>
      <c r="D340" s="106"/>
      <c r="E340" s="93"/>
      <c r="F340" s="93"/>
      <c r="G340" s="106"/>
      <c r="H340" s="50"/>
      <c r="I340" s="93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27.75" customHeight="1">
      <c r="A341" s="50"/>
      <c r="B341" s="93"/>
      <c r="C341" s="93"/>
      <c r="D341" s="106"/>
      <c r="E341" s="93"/>
      <c r="F341" s="93"/>
      <c r="G341" s="106"/>
      <c r="H341" s="50"/>
      <c r="I341" s="93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27.75" customHeight="1">
      <c r="A342" s="50"/>
      <c r="B342" s="93"/>
      <c r="C342" s="93"/>
      <c r="D342" s="106"/>
      <c r="E342" s="93"/>
      <c r="F342" s="93"/>
      <c r="G342" s="106"/>
      <c r="H342" s="50"/>
      <c r="I342" s="93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27.75" customHeight="1">
      <c r="A343" s="50"/>
      <c r="B343" s="93"/>
      <c r="C343" s="93"/>
      <c r="D343" s="106"/>
      <c r="E343" s="93"/>
      <c r="F343" s="93"/>
      <c r="G343" s="106"/>
      <c r="H343" s="50"/>
      <c r="I343" s="93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27.75" customHeight="1">
      <c r="A344" s="50"/>
      <c r="B344" s="93"/>
      <c r="C344" s="93"/>
      <c r="D344" s="106"/>
      <c r="E344" s="93"/>
      <c r="F344" s="93"/>
      <c r="G344" s="106"/>
      <c r="H344" s="50"/>
      <c r="I344" s="93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27.75" customHeight="1">
      <c r="A345" s="50"/>
      <c r="B345" s="93"/>
      <c r="C345" s="93"/>
      <c r="D345" s="106"/>
      <c r="E345" s="93"/>
      <c r="F345" s="93"/>
      <c r="G345" s="106"/>
      <c r="H345" s="50"/>
      <c r="I345" s="93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27.75" customHeight="1">
      <c r="A346" s="50"/>
      <c r="B346" s="93"/>
      <c r="C346" s="93"/>
      <c r="D346" s="106"/>
      <c r="E346" s="93"/>
      <c r="F346" s="93"/>
      <c r="G346" s="106"/>
      <c r="H346" s="50"/>
      <c r="I346" s="93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27.75" customHeight="1">
      <c r="A347" s="50"/>
      <c r="B347" s="93"/>
      <c r="C347" s="93"/>
      <c r="D347" s="106"/>
      <c r="E347" s="93"/>
      <c r="F347" s="93"/>
      <c r="G347" s="106"/>
      <c r="H347" s="50"/>
      <c r="I347" s="93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27.75" customHeight="1">
      <c r="A348" s="50"/>
      <c r="B348" s="93"/>
      <c r="C348" s="93"/>
      <c r="D348" s="106"/>
      <c r="E348" s="93"/>
      <c r="F348" s="93"/>
      <c r="G348" s="106"/>
      <c r="H348" s="50"/>
      <c r="I348" s="93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27.75" customHeight="1">
      <c r="A349" s="50"/>
      <c r="B349" s="93"/>
      <c r="C349" s="93"/>
      <c r="D349" s="106"/>
      <c r="E349" s="93"/>
      <c r="F349" s="93"/>
      <c r="G349" s="106"/>
      <c r="H349" s="50"/>
      <c r="I349" s="93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27.75" customHeight="1">
      <c r="A350" s="50"/>
      <c r="B350" s="93"/>
      <c r="C350" s="93"/>
      <c r="D350" s="106"/>
      <c r="E350" s="93"/>
      <c r="F350" s="93"/>
      <c r="G350" s="106"/>
      <c r="H350" s="50"/>
      <c r="I350" s="93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27.75" customHeight="1">
      <c r="A351" s="50"/>
      <c r="B351" s="93"/>
      <c r="C351" s="93"/>
      <c r="D351" s="106"/>
      <c r="E351" s="93"/>
      <c r="F351" s="93"/>
      <c r="G351" s="106"/>
      <c r="H351" s="50"/>
      <c r="I351" s="93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27.75" customHeight="1">
      <c r="A352" s="50"/>
      <c r="B352" s="93"/>
      <c r="C352" s="93"/>
      <c r="D352" s="106"/>
      <c r="E352" s="93"/>
      <c r="F352" s="93"/>
      <c r="G352" s="106"/>
      <c r="H352" s="50"/>
      <c r="I352" s="93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27.75" customHeight="1">
      <c r="A353" s="50"/>
      <c r="B353" s="93"/>
      <c r="C353" s="93"/>
      <c r="D353" s="106"/>
      <c r="E353" s="93"/>
      <c r="F353" s="93"/>
      <c r="G353" s="106"/>
      <c r="H353" s="50"/>
      <c r="I353" s="93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27.75" customHeight="1">
      <c r="A354" s="50"/>
      <c r="B354" s="93"/>
      <c r="C354" s="93"/>
      <c r="D354" s="106"/>
      <c r="E354" s="93"/>
      <c r="F354" s="93"/>
      <c r="G354" s="106"/>
      <c r="H354" s="50"/>
      <c r="I354" s="93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27.75" customHeight="1">
      <c r="A355" s="50"/>
      <c r="B355" s="93"/>
      <c r="C355" s="93"/>
      <c r="D355" s="106"/>
      <c r="E355" s="93"/>
      <c r="F355" s="93"/>
      <c r="G355" s="106"/>
      <c r="H355" s="50"/>
      <c r="I355" s="93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27.75" customHeight="1">
      <c r="A356" s="50"/>
      <c r="B356" s="93"/>
      <c r="C356" s="93"/>
      <c r="D356" s="106"/>
      <c r="E356" s="93"/>
      <c r="F356" s="93"/>
      <c r="G356" s="106"/>
      <c r="H356" s="50"/>
      <c r="I356" s="93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27.75" customHeight="1">
      <c r="A357" s="50"/>
      <c r="B357" s="93"/>
      <c r="C357" s="93"/>
      <c r="D357" s="106"/>
      <c r="E357" s="93"/>
      <c r="F357" s="93"/>
      <c r="G357" s="106"/>
      <c r="H357" s="50"/>
      <c r="I357" s="93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27.75" customHeight="1">
      <c r="A358" s="50"/>
      <c r="B358" s="93"/>
      <c r="C358" s="93"/>
      <c r="D358" s="106"/>
      <c r="E358" s="93"/>
      <c r="F358" s="93"/>
      <c r="G358" s="106"/>
      <c r="H358" s="50"/>
      <c r="I358" s="93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27.75" customHeight="1">
      <c r="A359" s="50"/>
      <c r="B359" s="93"/>
      <c r="C359" s="93"/>
      <c r="D359" s="106"/>
      <c r="E359" s="93"/>
      <c r="F359" s="93"/>
      <c r="G359" s="106"/>
      <c r="H359" s="50"/>
      <c r="I359" s="93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27.75" customHeight="1">
      <c r="A360" s="50"/>
      <c r="B360" s="93"/>
      <c r="C360" s="93"/>
      <c r="D360" s="106"/>
      <c r="E360" s="93"/>
      <c r="F360" s="93"/>
      <c r="G360" s="106"/>
      <c r="H360" s="50"/>
      <c r="I360" s="93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27.75" customHeight="1">
      <c r="A361" s="50"/>
      <c r="B361" s="93"/>
      <c r="C361" s="93"/>
      <c r="D361" s="106"/>
      <c r="E361" s="93"/>
      <c r="F361" s="93"/>
      <c r="G361" s="106"/>
      <c r="H361" s="50"/>
      <c r="I361" s="93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27.75" customHeight="1">
      <c r="A362" s="50"/>
      <c r="B362" s="93"/>
      <c r="C362" s="93"/>
      <c r="D362" s="106"/>
      <c r="E362" s="93"/>
      <c r="F362" s="93"/>
      <c r="G362" s="106"/>
      <c r="H362" s="50"/>
      <c r="I362" s="93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27.75" customHeight="1">
      <c r="A363" s="50"/>
      <c r="B363" s="93"/>
      <c r="C363" s="93"/>
      <c r="D363" s="106"/>
      <c r="E363" s="93"/>
      <c r="F363" s="93"/>
      <c r="G363" s="106"/>
      <c r="H363" s="50"/>
      <c r="I363" s="93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27.75" customHeight="1">
      <c r="A364" s="50"/>
      <c r="B364" s="93"/>
      <c r="C364" s="93"/>
      <c r="D364" s="106"/>
      <c r="E364" s="93"/>
      <c r="F364" s="93"/>
      <c r="G364" s="106"/>
      <c r="H364" s="50"/>
      <c r="I364" s="93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27.75" customHeight="1">
      <c r="A365" s="50"/>
      <c r="B365" s="93"/>
      <c r="C365" s="93"/>
      <c r="D365" s="106"/>
      <c r="E365" s="93"/>
      <c r="F365" s="93"/>
      <c r="G365" s="106"/>
      <c r="H365" s="50"/>
      <c r="I365" s="93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27.75" customHeight="1">
      <c r="A366" s="50"/>
      <c r="B366" s="93"/>
      <c r="C366" s="93"/>
      <c r="D366" s="106"/>
      <c r="E366" s="93"/>
      <c r="F366" s="93"/>
      <c r="G366" s="106"/>
      <c r="H366" s="50"/>
      <c r="I366" s="93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27.75" customHeight="1">
      <c r="A367" s="50"/>
      <c r="B367" s="93"/>
      <c r="C367" s="93"/>
      <c r="D367" s="106"/>
      <c r="E367" s="93"/>
      <c r="F367" s="93"/>
      <c r="G367" s="106"/>
      <c r="H367" s="50"/>
      <c r="I367" s="93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27.75" customHeight="1">
      <c r="A368" s="50"/>
      <c r="B368" s="93"/>
      <c r="C368" s="93"/>
      <c r="D368" s="106"/>
      <c r="E368" s="93"/>
      <c r="F368" s="93"/>
      <c r="G368" s="106"/>
      <c r="H368" s="50"/>
      <c r="I368" s="93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27.75" customHeight="1">
      <c r="A369" s="50"/>
      <c r="B369" s="93"/>
      <c r="C369" s="93"/>
      <c r="D369" s="106"/>
      <c r="E369" s="93"/>
      <c r="F369" s="93"/>
      <c r="G369" s="106"/>
      <c r="H369" s="50"/>
      <c r="I369" s="93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27.75" customHeight="1">
      <c r="A370" s="50"/>
      <c r="B370" s="93"/>
      <c r="C370" s="93"/>
      <c r="D370" s="106"/>
      <c r="E370" s="93"/>
      <c r="F370" s="93"/>
      <c r="G370" s="106"/>
      <c r="H370" s="50"/>
      <c r="I370" s="93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27.75" customHeight="1">
      <c r="A371" s="50"/>
      <c r="B371" s="93"/>
      <c r="C371" s="93"/>
      <c r="D371" s="106"/>
      <c r="E371" s="93"/>
      <c r="F371" s="93"/>
      <c r="G371" s="106"/>
      <c r="H371" s="50"/>
      <c r="I371" s="93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27.75" customHeight="1">
      <c r="A372" s="50"/>
      <c r="B372" s="93"/>
      <c r="C372" s="93"/>
      <c r="D372" s="106"/>
      <c r="E372" s="93"/>
      <c r="F372" s="93"/>
      <c r="G372" s="106"/>
      <c r="H372" s="50"/>
      <c r="I372" s="93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27.75" customHeight="1">
      <c r="A373" s="50"/>
      <c r="B373" s="93"/>
      <c r="C373" s="93"/>
      <c r="D373" s="106"/>
      <c r="E373" s="93"/>
      <c r="F373" s="93"/>
      <c r="G373" s="106"/>
      <c r="H373" s="50"/>
      <c r="I373" s="93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27.75" customHeight="1">
      <c r="A374" s="50"/>
      <c r="B374" s="93"/>
      <c r="C374" s="93"/>
      <c r="D374" s="106"/>
      <c r="E374" s="93"/>
      <c r="F374" s="93"/>
      <c r="G374" s="106"/>
      <c r="H374" s="50"/>
      <c r="I374" s="93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27.75" customHeight="1">
      <c r="A375" s="50"/>
      <c r="B375" s="93"/>
      <c r="C375" s="93"/>
      <c r="D375" s="106"/>
      <c r="E375" s="93"/>
      <c r="F375" s="93"/>
      <c r="G375" s="106"/>
      <c r="H375" s="50"/>
      <c r="I375" s="93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27.75" customHeight="1">
      <c r="A376" s="50"/>
      <c r="B376" s="93"/>
      <c r="C376" s="93"/>
      <c r="D376" s="106"/>
      <c r="E376" s="93"/>
      <c r="F376" s="93"/>
      <c r="G376" s="106"/>
      <c r="H376" s="50"/>
      <c r="I376" s="93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27.75" customHeight="1">
      <c r="A377" s="50"/>
      <c r="B377" s="93"/>
      <c r="C377" s="93"/>
      <c r="D377" s="106"/>
      <c r="E377" s="93"/>
      <c r="F377" s="93"/>
      <c r="G377" s="106"/>
      <c r="H377" s="50"/>
      <c r="I377" s="93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27.75" customHeight="1">
      <c r="A378" s="50"/>
      <c r="B378" s="93"/>
      <c r="C378" s="93"/>
      <c r="D378" s="106"/>
      <c r="E378" s="93"/>
      <c r="F378" s="93"/>
      <c r="G378" s="106"/>
      <c r="H378" s="50"/>
      <c r="I378" s="93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27.75" customHeight="1">
      <c r="A379" s="50"/>
      <c r="B379" s="93"/>
      <c r="C379" s="93"/>
      <c r="D379" s="106"/>
      <c r="E379" s="93"/>
      <c r="F379" s="93"/>
      <c r="G379" s="106"/>
      <c r="H379" s="50"/>
      <c r="I379" s="93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27.75" customHeight="1">
      <c r="A380" s="50"/>
      <c r="B380" s="93"/>
      <c r="C380" s="93"/>
      <c r="D380" s="106"/>
      <c r="E380" s="93"/>
      <c r="F380" s="93"/>
      <c r="G380" s="106"/>
      <c r="H380" s="50"/>
      <c r="I380" s="93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27.75" customHeight="1">
      <c r="A381" s="50"/>
      <c r="B381" s="93"/>
      <c r="C381" s="93"/>
      <c r="D381" s="106"/>
      <c r="E381" s="93"/>
      <c r="F381" s="93"/>
      <c r="G381" s="106"/>
      <c r="H381" s="50"/>
      <c r="I381" s="93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27.75" customHeight="1">
      <c r="A382" s="50"/>
      <c r="B382" s="93"/>
      <c r="C382" s="93"/>
      <c r="D382" s="106"/>
      <c r="E382" s="93"/>
      <c r="F382" s="93"/>
      <c r="G382" s="106"/>
      <c r="H382" s="50"/>
      <c r="I382" s="93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27.75" customHeight="1">
      <c r="A383" s="50"/>
      <c r="B383" s="93"/>
      <c r="C383" s="93"/>
      <c r="D383" s="106"/>
      <c r="E383" s="93"/>
      <c r="F383" s="93"/>
      <c r="G383" s="106"/>
      <c r="H383" s="50"/>
      <c r="I383" s="93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27.75" customHeight="1">
      <c r="A384" s="50"/>
      <c r="B384" s="93"/>
      <c r="C384" s="93"/>
      <c r="D384" s="106"/>
      <c r="E384" s="93"/>
      <c r="F384" s="93"/>
      <c r="G384" s="106"/>
      <c r="H384" s="50"/>
      <c r="I384" s="93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27.75" customHeight="1">
      <c r="A385" s="50"/>
      <c r="B385" s="93"/>
      <c r="C385" s="93"/>
      <c r="D385" s="106"/>
      <c r="E385" s="93"/>
      <c r="F385" s="93"/>
      <c r="G385" s="106"/>
      <c r="H385" s="50"/>
      <c r="I385" s="93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27.75" customHeight="1">
      <c r="A386" s="50"/>
      <c r="B386" s="93"/>
      <c r="C386" s="93"/>
      <c r="D386" s="106"/>
      <c r="E386" s="93"/>
      <c r="F386" s="93"/>
      <c r="G386" s="106"/>
      <c r="H386" s="50"/>
      <c r="I386" s="93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27.75" customHeight="1">
      <c r="A387" s="50"/>
      <c r="B387" s="93"/>
      <c r="C387" s="93"/>
      <c r="D387" s="106"/>
      <c r="E387" s="93"/>
      <c r="F387" s="93"/>
      <c r="G387" s="106"/>
      <c r="H387" s="50"/>
      <c r="I387" s="93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27.75" customHeight="1">
      <c r="A388" s="50"/>
      <c r="B388" s="93"/>
      <c r="C388" s="93"/>
      <c r="D388" s="106"/>
      <c r="E388" s="93"/>
      <c r="F388" s="93"/>
      <c r="G388" s="106"/>
      <c r="H388" s="50"/>
      <c r="I388" s="93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27.75" customHeight="1">
      <c r="A389" s="50"/>
      <c r="B389" s="93"/>
      <c r="C389" s="93"/>
      <c r="D389" s="106"/>
      <c r="E389" s="93"/>
      <c r="F389" s="93"/>
      <c r="G389" s="106"/>
      <c r="H389" s="50"/>
      <c r="I389" s="93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27.75" customHeight="1">
      <c r="A390" s="50"/>
      <c r="B390" s="93"/>
      <c r="C390" s="93"/>
      <c r="D390" s="106"/>
      <c r="E390" s="93"/>
      <c r="F390" s="93"/>
      <c r="G390" s="106"/>
      <c r="H390" s="50"/>
      <c r="I390" s="93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27.75" customHeight="1">
      <c r="A391" s="50"/>
      <c r="B391" s="93"/>
      <c r="C391" s="93"/>
      <c r="D391" s="106"/>
      <c r="E391" s="93"/>
      <c r="F391" s="93"/>
      <c r="G391" s="106"/>
      <c r="H391" s="50"/>
      <c r="I391" s="93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27.75" customHeight="1">
      <c r="A392" s="50"/>
      <c r="B392" s="93"/>
      <c r="C392" s="93"/>
      <c r="D392" s="106"/>
      <c r="E392" s="93"/>
      <c r="F392" s="93"/>
      <c r="G392" s="106"/>
      <c r="H392" s="50"/>
      <c r="I392" s="93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27.75" customHeight="1">
      <c r="A393" s="50"/>
      <c r="B393" s="93"/>
      <c r="C393" s="93"/>
      <c r="D393" s="106"/>
      <c r="E393" s="93"/>
      <c r="F393" s="93"/>
      <c r="G393" s="106"/>
      <c r="H393" s="50"/>
      <c r="I393" s="93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27.75" customHeight="1">
      <c r="A394" s="50"/>
      <c r="B394" s="93"/>
      <c r="C394" s="93"/>
      <c r="D394" s="106"/>
      <c r="E394" s="93"/>
      <c r="F394" s="93"/>
      <c r="G394" s="106"/>
      <c r="H394" s="50"/>
      <c r="I394" s="93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27.75" customHeight="1">
      <c r="A395" s="50"/>
      <c r="B395" s="93"/>
      <c r="C395" s="93"/>
      <c r="D395" s="106"/>
      <c r="E395" s="93"/>
      <c r="F395" s="93"/>
      <c r="G395" s="106"/>
      <c r="H395" s="50"/>
      <c r="I395" s="93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27.75" customHeight="1">
      <c r="A396" s="50"/>
      <c r="B396" s="93"/>
      <c r="C396" s="93"/>
      <c r="D396" s="106"/>
      <c r="E396" s="93"/>
      <c r="F396" s="93"/>
      <c r="G396" s="106"/>
      <c r="H396" s="50"/>
      <c r="I396" s="93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27.75" customHeight="1">
      <c r="A397" s="50"/>
      <c r="B397" s="93"/>
      <c r="C397" s="93"/>
      <c r="D397" s="106"/>
      <c r="E397" s="93"/>
      <c r="F397" s="93"/>
      <c r="G397" s="106"/>
      <c r="H397" s="50"/>
      <c r="I397" s="93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27.75" customHeight="1">
      <c r="A398" s="50"/>
      <c r="B398" s="93"/>
      <c r="C398" s="93"/>
      <c r="D398" s="106"/>
      <c r="E398" s="93"/>
      <c r="F398" s="93"/>
      <c r="G398" s="106"/>
      <c r="H398" s="50"/>
      <c r="I398" s="93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27.75" customHeight="1">
      <c r="A399" s="50"/>
      <c r="B399" s="93"/>
      <c r="C399" s="93"/>
      <c r="D399" s="106"/>
      <c r="E399" s="93"/>
      <c r="F399" s="93"/>
      <c r="G399" s="106"/>
      <c r="H399" s="50"/>
      <c r="I399" s="93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27.75" customHeight="1">
      <c r="A400" s="50"/>
      <c r="B400" s="93"/>
      <c r="C400" s="93"/>
      <c r="D400" s="106"/>
      <c r="E400" s="93"/>
      <c r="F400" s="93"/>
      <c r="G400" s="106"/>
      <c r="H400" s="50"/>
      <c r="I400" s="93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27.75" customHeight="1">
      <c r="A401" s="50"/>
      <c r="B401" s="93"/>
      <c r="C401" s="93"/>
      <c r="D401" s="106"/>
      <c r="E401" s="93"/>
      <c r="F401" s="93"/>
      <c r="G401" s="106"/>
      <c r="H401" s="50"/>
      <c r="I401" s="93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27.75" customHeight="1">
      <c r="A402" s="50"/>
      <c r="B402" s="93"/>
      <c r="C402" s="93"/>
      <c r="D402" s="106"/>
      <c r="E402" s="93"/>
      <c r="F402" s="93"/>
      <c r="G402" s="106"/>
      <c r="H402" s="50"/>
      <c r="I402" s="93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27.75" customHeight="1">
      <c r="A403" s="50"/>
      <c r="B403" s="93"/>
      <c r="C403" s="93"/>
      <c r="D403" s="106"/>
      <c r="E403" s="93"/>
      <c r="F403" s="93"/>
      <c r="G403" s="106"/>
      <c r="H403" s="50"/>
      <c r="I403" s="93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27.75" customHeight="1">
      <c r="A404" s="50"/>
      <c r="B404" s="93"/>
      <c r="C404" s="93"/>
      <c r="D404" s="106"/>
      <c r="E404" s="93"/>
      <c r="F404" s="93"/>
      <c r="G404" s="106"/>
      <c r="H404" s="50"/>
      <c r="I404" s="93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27.75" customHeight="1">
      <c r="A405" s="50"/>
      <c r="B405" s="93"/>
      <c r="C405" s="93"/>
      <c r="D405" s="106"/>
      <c r="E405" s="93"/>
      <c r="F405" s="93"/>
      <c r="G405" s="106"/>
      <c r="H405" s="50"/>
      <c r="I405" s="93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27.75" customHeight="1">
      <c r="A406" s="50"/>
      <c r="B406" s="93"/>
      <c r="C406" s="93"/>
      <c r="D406" s="106"/>
      <c r="E406" s="93"/>
      <c r="F406" s="93"/>
      <c r="G406" s="106"/>
      <c r="H406" s="50"/>
      <c r="I406" s="93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27.75" customHeight="1">
      <c r="A407" s="50"/>
      <c r="B407" s="93"/>
      <c r="C407" s="93"/>
      <c r="D407" s="106"/>
      <c r="E407" s="93"/>
      <c r="F407" s="93"/>
      <c r="G407" s="106"/>
      <c r="H407" s="50"/>
      <c r="I407" s="93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27.75" customHeight="1">
      <c r="A408" s="50"/>
      <c r="B408" s="93"/>
      <c r="C408" s="93"/>
      <c r="D408" s="106"/>
      <c r="E408" s="93"/>
      <c r="F408" s="93"/>
      <c r="G408" s="106"/>
      <c r="H408" s="50"/>
      <c r="I408" s="93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27.75" customHeight="1">
      <c r="A409" s="50"/>
      <c r="B409" s="93"/>
      <c r="C409" s="93"/>
      <c r="D409" s="106"/>
      <c r="E409" s="93"/>
      <c r="F409" s="93"/>
      <c r="G409" s="106"/>
      <c r="H409" s="50"/>
      <c r="I409" s="93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27.75" customHeight="1">
      <c r="A410" s="50"/>
      <c r="B410" s="93"/>
      <c r="C410" s="93"/>
      <c r="D410" s="106"/>
      <c r="E410" s="93"/>
      <c r="F410" s="93"/>
      <c r="G410" s="106"/>
      <c r="H410" s="50"/>
      <c r="I410" s="93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27.75" customHeight="1">
      <c r="A411" s="50"/>
      <c r="B411" s="93"/>
      <c r="C411" s="93"/>
      <c r="D411" s="106"/>
      <c r="E411" s="93"/>
      <c r="F411" s="93"/>
      <c r="G411" s="106"/>
      <c r="H411" s="50"/>
      <c r="I411" s="93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27.75" customHeight="1">
      <c r="A412" s="50"/>
      <c r="B412" s="93"/>
      <c r="C412" s="93"/>
      <c r="D412" s="106"/>
      <c r="E412" s="93"/>
      <c r="F412" s="93"/>
      <c r="G412" s="106"/>
      <c r="H412" s="50"/>
      <c r="I412" s="93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27.75" customHeight="1">
      <c r="A413" s="50"/>
      <c r="B413" s="93"/>
      <c r="C413" s="93"/>
      <c r="D413" s="106"/>
      <c r="E413" s="93"/>
      <c r="F413" s="93"/>
      <c r="G413" s="106"/>
      <c r="H413" s="50"/>
      <c r="I413" s="93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27.75" customHeight="1">
      <c r="A414" s="50"/>
      <c r="B414" s="93"/>
      <c r="C414" s="93"/>
      <c r="D414" s="106"/>
      <c r="E414" s="93"/>
      <c r="F414" s="93"/>
      <c r="G414" s="106"/>
      <c r="H414" s="50"/>
      <c r="I414" s="93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27.75" customHeight="1">
      <c r="A415" s="50"/>
      <c r="B415" s="93"/>
      <c r="C415" s="93"/>
      <c r="D415" s="106"/>
      <c r="E415" s="93"/>
      <c r="F415" s="93"/>
      <c r="G415" s="106"/>
      <c r="H415" s="50"/>
      <c r="I415" s="93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27.75" customHeight="1">
      <c r="A416" s="50"/>
      <c r="B416" s="93"/>
      <c r="C416" s="93"/>
      <c r="D416" s="106"/>
      <c r="E416" s="93"/>
      <c r="F416" s="93"/>
      <c r="G416" s="106"/>
      <c r="H416" s="50"/>
      <c r="I416" s="93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27.75" customHeight="1">
      <c r="A417" s="50"/>
      <c r="B417" s="93"/>
      <c r="C417" s="93"/>
      <c r="D417" s="106"/>
      <c r="E417" s="93"/>
      <c r="F417" s="93"/>
      <c r="G417" s="106"/>
      <c r="H417" s="50"/>
      <c r="I417" s="93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27.75" customHeight="1">
      <c r="A418" s="50"/>
      <c r="B418" s="93"/>
      <c r="C418" s="93"/>
      <c r="D418" s="106"/>
      <c r="E418" s="93"/>
      <c r="F418" s="93"/>
      <c r="G418" s="106"/>
      <c r="H418" s="50"/>
      <c r="I418" s="93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27.75" customHeight="1">
      <c r="A419" s="50"/>
      <c r="B419" s="93"/>
      <c r="C419" s="93"/>
      <c r="D419" s="106"/>
      <c r="E419" s="93"/>
      <c r="F419" s="93"/>
      <c r="G419" s="106"/>
      <c r="H419" s="50"/>
      <c r="I419" s="9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27.75" customHeight="1">
      <c r="A420" s="50"/>
      <c r="B420" s="93"/>
      <c r="C420" s="93"/>
      <c r="D420" s="106"/>
      <c r="E420" s="93"/>
      <c r="F420" s="93"/>
      <c r="G420" s="106"/>
      <c r="H420" s="50"/>
      <c r="I420" s="9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27.75" customHeight="1">
      <c r="A421" s="50"/>
      <c r="B421" s="93"/>
      <c r="C421" s="93"/>
      <c r="D421" s="106"/>
      <c r="E421" s="93"/>
      <c r="F421" s="93"/>
      <c r="G421" s="106"/>
      <c r="H421" s="50"/>
      <c r="I421" s="9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27.75" customHeight="1">
      <c r="A422" s="50"/>
      <c r="B422" s="93"/>
      <c r="C422" s="93"/>
      <c r="D422" s="106"/>
      <c r="E422" s="93"/>
      <c r="F422" s="93"/>
      <c r="G422" s="106"/>
      <c r="H422" s="50"/>
      <c r="I422" s="9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27.75" customHeight="1">
      <c r="A423" s="50"/>
      <c r="B423" s="93"/>
      <c r="C423" s="93"/>
      <c r="D423" s="106"/>
      <c r="E423" s="93"/>
      <c r="F423" s="93"/>
      <c r="G423" s="106"/>
      <c r="H423" s="50"/>
      <c r="I423" s="9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27.75" customHeight="1">
      <c r="A424" s="50"/>
      <c r="B424" s="93"/>
      <c r="C424" s="93"/>
      <c r="D424" s="106"/>
      <c r="E424" s="93"/>
      <c r="F424" s="93"/>
      <c r="G424" s="106"/>
      <c r="H424" s="50"/>
      <c r="I424" s="9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27.75" customHeight="1">
      <c r="A425" s="50"/>
      <c r="B425" s="93"/>
      <c r="C425" s="93"/>
      <c r="D425" s="106"/>
      <c r="E425" s="93"/>
      <c r="F425" s="93"/>
      <c r="G425" s="106"/>
      <c r="H425" s="50"/>
      <c r="I425" s="9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27.75" customHeight="1">
      <c r="A426" s="50"/>
      <c r="B426" s="93"/>
      <c r="C426" s="93"/>
      <c r="D426" s="106"/>
      <c r="E426" s="93"/>
      <c r="F426" s="93"/>
      <c r="G426" s="106"/>
      <c r="H426" s="50"/>
      <c r="I426" s="9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27.75" customHeight="1">
      <c r="A427" s="50"/>
      <c r="B427" s="93"/>
      <c r="C427" s="93"/>
      <c r="D427" s="106"/>
      <c r="E427" s="93"/>
      <c r="F427" s="93"/>
      <c r="G427" s="106"/>
      <c r="H427" s="50"/>
      <c r="I427" s="9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27.75" customHeight="1">
      <c r="A428" s="50"/>
      <c r="B428" s="93"/>
      <c r="C428" s="93"/>
      <c r="D428" s="106"/>
      <c r="E428" s="93"/>
      <c r="F428" s="93"/>
      <c r="G428" s="106"/>
      <c r="H428" s="50"/>
      <c r="I428" s="9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27.75" customHeight="1">
      <c r="A429" s="50"/>
      <c r="B429" s="93"/>
      <c r="C429" s="93"/>
      <c r="D429" s="106"/>
      <c r="E429" s="93"/>
      <c r="F429" s="93"/>
      <c r="G429" s="106"/>
      <c r="H429" s="50"/>
      <c r="I429" s="9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27.75" customHeight="1">
      <c r="A430" s="50"/>
      <c r="B430" s="93"/>
      <c r="C430" s="93"/>
      <c r="D430" s="106"/>
      <c r="E430" s="93"/>
      <c r="F430" s="93"/>
      <c r="G430" s="106"/>
      <c r="H430" s="50"/>
      <c r="I430" s="9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27.75" customHeight="1">
      <c r="A431" s="50"/>
      <c r="B431" s="93"/>
      <c r="C431" s="93"/>
      <c r="D431" s="106"/>
      <c r="E431" s="93"/>
      <c r="F431" s="93"/>
      <c r="G431" s="106"/>
      <c r="H431" s="50"/>
      <c r="I431" s="9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27.75" customHeight="1">
      <c r="A432" s="50"/>
      <c r="B432" s="93"/>
      <c r="C432" s="93"/>
      <c r="D432" s="106"/>
      <c r="E432" s="93"/>
      <c r="F432" s="93"/>
      <c r="G432" s="106"/>
      <c r="H432" s="50"/>
      <c r="I432" s="9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27.75" customHeight="1">
      <c r="A433" s="50"/>
      <c r="B433" s="93"/>
      <c r="C433" s="93"/>
      <c r="D433" s="106"/>
      <c r="E433" s="93"/>
      <c r="F433" s="93"/>
      <c r="G433" s="106"/>
      <c r="H433" s="50"/>
      <c r="I433" s="9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27.75" customHeight="1">
      <c r="A434" s="50"/>
      <c r="B434" s="93"/>
      <c r="C434" s="93"/>
      <c r="D434" s="106"/>
      <c r="E434" s="93"/>
      <c r="F434" s="93"/>
      <c r="G434" s="106"/>
      <c r="H434" s="50"/>
      <c r="I434" s="9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27.75" customHeight="1">
      <c r="A435" s="50"/>
      <c r="B435" s="93"/>
      <c r="C435" s="93"/>
      <c r="D435" s="106"/>
      <c r="E435" s="93"/>
      <c r="F435" s="93"/>
      <c r="G435" s="106"/>
      <c r="H435" s="50"/>
      <c r="I435" s="9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27.75" customHeight="1">
      <c r="A436" s="50"/>
      <c r="B436" s="93"/>
      <c r="C436" s="93"/>
      <c r="D436" s="106"/>
      <c r="E436" s="93"/>
      <c r="F436" s="93"/>
      <c r="G436" s="106"/>
      <c r="H436" s="50"/>
      <c r="I436" s="9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27.75" customHeight="1">
      <c r="A437" s="50"/>
      <c r="B437" s="93"/>
      <c r="C437" s="93"/>
      <c r="D437" s="106"/>
      <c r="E437" s="93"/>
      <c r="F437" s="93"/>
      <c r="G437" s="106"/>
      <c r="H437" s="50"/>
      <c r="I437" s="9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27.75" customHeight="1">
      <c r="A438" s="50"/>
      <c r="B438" s="93"/>
      <c r="C438" s="93"/>
      <c r="D438" s="106"/>
      <c r="E438" s="93"/>
      <c r="F438" s="93"/>
      <c r="G438" s="106"/>
      <c r="H438" s="50"/>
      <c r="I438" s="9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27.75" customHeight="1">
      <c r="A439" s="50"/>
      <c r="B439" s="93"/>
      <c r="C439" s="93"/>
      <c r="D439" s="106"/>
      <c r="E439" s="93"/>
      <c r="F439" s="93"/>
      <c r="G439" s="106"/>
      <c r="H439" s="50"/>
      <c r="I439" s="9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27.75" customHeight="1">
      <c r="A440" s="50"/>
      <c r="B440" s="93"/>
      <c r="C440" s="93"/>
      <c r="D440" s="106"/>
      <c r="E440" s="93"/>
      <c r="F440" s="93"/>
      <c r="G440" s="106"/>
      <c r="H440" s="50"/>
      <c r="I440" s="9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27.75" customHeight="1">
      <c r="A441" s="50"/>
      <c r="B441" s="93"/>
      <c r="C441" s="93"/>
      <c r="D441" s="106"/>
      <c r="E441" s="93"/>
      <c r="F441" s="93"/>
      <c r="G441" s="106"/>
      <c r="H441" s="50"/>
      <c r="I441" s="9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27.75" customHeight="1">
      <c r="A442" s="50"/>
      <c r="B442" s="93"/>
      <c r="C442" s="93"/>
      <c r="D442" s="106"/>
      <c r="E442" s="93"/>
      <c r="F442" s="93"/>
      <c r="G442" s="106"/>
      <c r="H442" s="50"/>
      <c r="I442" s="9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27.75" customHeight="1">
      <c r="A443" s="50"/>
      <c r="B443" s="93"/>
      <c r="C443" s="93"/>
      <c r="D443" s="106"/>
      <c r="E443" s="93"/>
      <c r="F443" s="93"/>
      <c r="G443" s="106"/>
      <c r="H443" s="50"/>
      <c r="I443" s="9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27.75" customHeight="1">
      <c r="A444" s="50"/>
      <c r="B444" s="93"/>
      <c r="C444" s="93"/>
      <c r="D444" s="106"/>
      <c r="E444" s="93"/>
      <c r="F444" s="93"/>
      <c r="G444" s="106"/>
      <c r="H444" s="50"/>
      <c r="I444" s="9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27.75" customHeight="1">
      <c r="A445" s="50"/>
      <c r="B445" s="93"/>
      <c r="C445" s="93"/>
      <c r="D445" s="106"/>
      <c r="E445" s="93"/>
      <c r="F445" s="93"/>
      <c r="G445" s="106"/>
      <c r="H445" s="50"/>
      <c r="I445" s="9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27.75" customHeight="1">
      <c r="A446" s="50"/>
      <c r="B446" s="93"/>
      <c r="C446" s="93"/>
      <c r="D446" s="106"/>
      <c r="E446" s="93"/>
      <c r="F446" s="93"/>
      <c r="G446" s="106"/>
      <c r="H446" s="50"/>
      <c r="I446" s="9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27.75" customHeight="1">
      <c r="A447" s="50"/>
      <c r="B447" s="93"/>
      <c r="C447" s="93"/>
      <c r="D447" s="106"/>
      <c r="E447" s="93"/>
      <c r="F447" s="93"/>
      <c r="G447" s="106"/>
      <c r="H447" s="50"/>
      <c r="I447" s="9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27.75" customHeight="1">
      <c r="A448" s="50"/>
      <c r="B448" s="93"/>
      <c r="C448" s="93"/>
      <c r="D448" s="106"/>
      <c r="E448" s="93"/>
      <c r="F448" s="93"/>
      <c r="G448" s="106"/>
      <c r="H448" s="50"/>
      <c r="I448" s="9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27.75" customHeight="1">
      <c r="A449" s="50"/>
      <c r="B449" s="93"/>
      <c r="C449" s="93"/>
      <c r="D449" s="106"/>
      <c r="E449" s="93"/>
      <c r="F449" s="93"/>
      <c r="G449" s="106"/>
      <c r="H449" s="50"/>
      <c r="I449" s="9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27.75" customHeight="1">
      <c r="A450" s="50"/>
      <c r="B450" s="93"/>
      <c r="C450" s="93"/>
      <c r="D450" s="106"/>
      <c r="E450" s="93"/>
      <c r="F450" s="93"/>
      <c r="G450" s="106"/>
      <c r="H450" s="50"/>
      <c r="I450" s="9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27.75" customHeight="1">
      <c r="A451" s="50"/>
      <c r="B451" s="93"/>
      <c r="C451" s="93"/>
      <c r="D451" s="106"/>
      <c r="E451" s="93"/>
      <c r="F451" s="93"/>
      <c r="G451" s="106"/>
      <c r="H451" s="50"/>
      <c r="I451" s="9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27.75" customHeight="1">
      <c r="A452" s="50"/>
      <c r="B452" s="93"/>
      <c r="C452" s="93"/>
      <c r="D452" s="106"/>
      <c r="E452" s="93"/>
      <c r="F452" s="93"/>
      <c r="G452" s="106"/>
      <c r="H452" s="50"/>
      <c r="I452" s="9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27.75" customHeight="1">
      <c r="A453" s="50"/>
      <c r="B453" s="93"/>
      <c r="C453" s="93"/>
      <c r="D453" s="106"/>
      <c r="E453" s="93"/>
      <c r="F453" s="93"/>
      <c r="G453" s="106"/>
      <c r="H453" s="50"/>
      <c r="I453" s="9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27.75" customHeight="1">
      <c r="A454" s="50"/>
      <c r="B454" s="93"/>
      <c r="C454" s="93"/>
      <c r="D454" s="106"/>
      <c r="E454" s="93"/>
      <c r="F454" s="93"/>
      <c r="G454" s="106"/>
      <c r="H454" s="50"/>
      <c r="I454" s="9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27.75" customHeight="1">
      <c r="A455" s="50"/>
      <c r="B455" s="93"/>
      <c r="C455" s="93"/>
      <c r="D455" s="106"/>
      <c r="E455" s="93"/>
      <c r="F455" s="93"/>
      <c r="G455" s="106"/>
      <c r="H455" s="50"/>
      <c r="I455" s="9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27.75" customHeight="1">
      <c r="A456" s="50"/>
      <c r="B456" s="93"/>
      <c r="C456" s="93"/>
      <c r="D456" s="106"/>
      <c r="E456" s="93"/>
      <c r="F456" s="93"/>
      <c r="G456" s="106"/>
      <c r="H456" s="50"/>
      <c r="I456" s="9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27.75" customHeight="1">
      <c r="A457" s="50"/>
      <c r="B457" s="93"/>
      <c r="C457" s="93"/>
      <c r="D457" s="106"/>
      <c r="E457" s="93"/>
      <c r="F457" s="93"/>
      <c r="G457" s="106"/>
      <c r="H457" s="50"/>
      <c r="I457" s="9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27.75" customHeight="1">
      <c r="A458" s="50"/>
      <c r="B458" s="93"/>
      <c r="C458" s="93"/>
      <c r="D458" s="106"/>
      <c r="E458" s="93"/>
      <c r="F458" s="93"/>
      <c r="G458" s="106"/>
      <c r="H458" s="50"/>
      <c r="I458" s="9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27.75" customHeight="1">
      <c r="A459" s="50"/>
      <c r="B459" s="93"/>
      <c r="C459" s="93"/>
      <c r="D459" s="106"/>
      <c r="E459" s="93"/>
      <c r="F459" s="93"/>
      <c r="G459" s="106"/>
      <c r="H459" s="50"/>
      <c r="I459" s="9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27.75" customHeight="1">
      <c r="A460" s="50"/>
      <c r="B460" s="93"/>
      <c r="C460" s="93"/>
      <c r="D460" s="106"/>
      <c r="E460" s="93"/>
      <c r="F460" s="93"/>
      <c r="G460" s="106"/>
      <c r="H460" s="50"/>
      <c r="I460" s="9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27.75" customHeight="1">
      <c r="A461" s="50"/>
      <c r="B461" s="93"/>
      <c r="C461" s="93"/>
      <c r="D461" s="106"/>
      <c r="E461" s="93"/>
      <c r="F461" s="93"/>
      <c r="G461" s="106"/>
      <c r="H461" s="50"/>
      <c r="I461" s="9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27.75" customHeight="1">
      <c r="A462" s="50"/>
      <c r="B462" s="93"/>
      <c r="C462" s="93"/>
      <c r="D462" s="106"/>
      <c r="E462" s="93"/>
      <c r="F462" s="93"/>
      <c r="G462" s="106"/>
      <c r="H462" s="50"/>
      <c r="I462" s="9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27.75" customHeight="1">
      <c r="A463" s="50"/>
      <c r="B463" s="93"/>
      <c r="C463" s="93"/>
      <c r="D463" s="106"/>
      <c r="E463" s="93"/>
      <c r="F463" s="93"/>
      <c r="G463" s="106"/>
      <c r="H463" s="50"/>
      <c r="I463" s="9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27.75" customHeight="1">
      <c r="A464" s="50"/>
      <c r="B464" s="93"/>
      <c r="C464" s="93"/>
      <c r="D464" s="106"/>
      <c r="E464" s="93"/>
      <c r="F464" s="93"/>
      <c r="G464" s="106"/>
      <c r="H464" s="50"/>
      <c r="I464" s="9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27.75" customHeight="1">
      <c r="A465" s="50"/>
      <c r="B465" s="93"/>
      <c r="C465" s="93"/>
      <c r="D465" s="106"/>
      <c r="E465" s="93"/>
      <c r="F465" s="93"/>
      <c r="G465" s="106"/>
      <c r="H465" s="50"/>
      <c r="I465" s="9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27.75" customHeight="1">
      <c r="A466" s="50"/>
      <c r="B466" s="93"/>
      <c r="C466" s="93"/>
      <c r="D466" s="106"/>
      <c r="E466" s="93"/>
      <c r="F466" s="93"/>
      <c r="G466" s="106"/>
      <c r="H466" s="50"/>
      <c r="I466" s="9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27.75" customHeight="1">
      <c r="A467" s="50"/>
      <c r="B467" s="93"/>
      <c r="C467" s="93"/>
      <c r="D467" s="106"/>
      <c r="E467" s="93"/>
      <c r="F467" s="93"/>
      <c r="G467" s="106"/>
      <c r="H467" s="50"/>
      <c r="I467" s="9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27.75" customHeight="1">
      <c r="A468" s="50"/>
      <c r="B468" s="93"/>
      <c r="C468" s="93"/>
      <c r="D468" s="106"/>
      <c r="E468" s="93"/>
      <c r="F468" s="93"/>
      <c r="G468" s="106"/>
      <c r="H468" s="50"/>
      <c r="I468" s="9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27.75" customHeight="1">
      <c r="A469" s="50"/>
      <c r="B469" s="93"/>
      <c r="C469" s="93"/>
      <c r="D469" s="106"/>
      <c r="E469" s="93"/>
      <c r="F469" s="93"/>
      <c r="G469" s="106"/>
      <c r="H469" s="50"/>
      <c r="I469" s="9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27.75" customHeight="1">
      <c r="A470" s="50"/>
      <c r="B470" s="93"/>
      <c r="C470" s="93"/>
      <c r="D470" s="106"/>
      <c r="E470" s="93"/>
      <c r="F470" s="93"/>
      <c r="G470" s="106"/>
      <c r="H470" s="50"/>
      <c r="I470" s="9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27.75" customHeight="1">
      <c r="A471" s="50"/>
      <c r="B471" s="93"/>
      <c r="C471" s="93"/>
      <c r="D471" s="106"/>
      <c r="E471" s="93"/>
      <c r="F471" s="93"/>
      <c r="G471" s="106"/>
      <c r="H471" s="50"/>
      <c r="I471" s="9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27.75" customHeight="1">
      <c r="A472" s="50"/>
      <c r="B472" s="93"/>
      <c r="C472" s="93"/>
      <c r="D472" s="106"/>
      <c r="E472" s="93"/>
      <c r="F472" s="93"/>
      <c r="G472" s="106"/>
      <c r="H472" s="50"/>
      <c r="I472" s="9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27.75" customHeight="1">
      <c r="A473" s="50"/>
      <c r="B473" s="93"/>
      <c r="C473" s="93"/>
      <c r="D473" s="106"/>
      <c r="E473" s="93"/>
      <c r="F473" s="93"/>
      <c r="G473" s="106"/>
      <c r="H473" s="50"/>
      <c r="I473" s="9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27.75" customHeight="1">
      <c r="A474" s="50"/>
      <c r="B474" s="93"/>
      <c r="C474" s="93"/>
      <c r="D474" s="106"/>
      <c r="E474" s="93"/>
      <c r="F474" s="93"/>
      <c r="G474" s="106"/>
      <c r="H474" s="50"/>
      <c r="I474" s="9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27.75" customHeight="1">
      <c r="A475" s="50"/>
      <c r="B475" s="93"/>
      <c r="C475" s="93"/>
      <c r="D475" s="106"/>
      <c r="E475" s="93"/>
      <c r="F475" s="93"/>
      <c r="G475" s="106"/>
      <c r="H475" s="50"/>
      <c r="I475" s="9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27.75" customHeight="1">
      <c r="A476" s="50"/>
      <c r="B476" s="93"/>
      <c r="C476" s="93"/>
      <c r="D476" s="106"/>
      <c r="E476" s="93"/>
      <c r="F476" s="93"/>
      <c r="G476" s="106"/>
      <c r="H476" s="50"/>
      <c r="I476" s="9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27.75" customHeight="1">
      <c r="A477" s="50"/>
      <c r="B477" s="93"/>
      <c r="C477" s="93"/>
      <c r="D477" s="106"/>
      <c r="E477" s="93"/>
      <c r="F477" s="93"/>
      <c r="G477" s="106"/>
      <c r="H477" s="50"/>
      <c r="I477" s="9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27.75" customHeight="1">
      <c r="A478" s="50"/>
      <c r="B478" s="93"/>
      <c r="C478" s="93"/>
      <c r="D478" s="106"/>
      <c r="E478" s="93"/>
      <c r="F478" s="93"/>
      <c r="G478" s="106"/>
      <c r="H478" s="50"/>
      <c r="I478" s="9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27.75" customHeight="1">
      <c r="A479" s="50"/>
      <c r="B479" s="93"/>
      <c r="C479" s="93"/>
      <c r="D479" s="106"/>
      <c r="E479" s="93"/>
      <c r="F479" s="93"/>
      <c r="G479" s="106"/>
      <c r="H479" s="50"/>
      <c r="I479" s="9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27.75" customHeight="1">
      <c r="A480" s="50"/>
      <c r="B480" s="93"/>
      <c r="C480" s="93"/>
      <c r="D480" s="106"/>
      <c r="E480" s="93"/>
      <c r="F480" s="93"/>
      <c r="G480" s="106"/>
      <c r="H480" s="50"/>
      <c r="I480" s="9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27.75" customHeight="1">
      <c r="A481" s="50"/>
      <c r="B481" s="93"/>
      <c r="C481" s="93"/>
      <c r="D481" s="106"/>
      <c r="E481" s="93"/>
      <c r="F481" s="93"/>
      <c r="G481" s="106"/>
      <c r="H481" s="50"/>
      <c r="I481" s="9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27.75" customHeight="1">
      <c r="A482" s="50"/>
      <c r="B482" s="93"/>
      <c r="C482" s="93"/>
      <c r="D482" s="106"/>
      <c r="E482" s="93"/>
      <c r="F482" s="93"/>
      <c r="G482" s="106"/>
      <c r="H482" s="50"/>
      <c r="I482" s="9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27.75" customHeight="1">
      <c r="A483" s="50"/>
      <c r="B483" s="93"/>
      <c r="C483" s="93"/>
      <c r="D483" s="106"/>
      <c r="E483" s="93"/>
      <c r="F483" s="93"/>
      <c r="G483" s="106"/>
      <c r="H483" s="50"/>
      <c r="I483" s="9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27.75" customHeight="1">
      <c r="A484" s="50"/>
      <c r="B484" s="93"/>
      <c r="C484" s="93"/>
      <c r="D484" s="106"/>
      <c r="E484" s="93"/>
      <c r="F484" s="93"/>
      <c r="G484" s="106"/>
      <c r="H484" s="50"/>
      <c r="I484" s="9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27.75" customHeight="1">
      <c r="A485" s="50"/>
      <c r="B485" s="93"/>
      <c r="C485" s="93"/>
      <c r="D485" s="106"/>
      <c r="E485" s="93"/>
      <c r="F485" s="93"/>
      <c r="G485" s="106"/>
      <c r="H485" s="50"/>
      <c r="I485" s="9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27.75" customHeight="1">
      <c r="A486" s="50"/>
      <c r="B486" s="93"/>
      <c r="C486" s="93"/>
      <c r="D486" s="106"/>
      <c r="E486" s="93"/>
      <c r="F486" s="93"/>
      <c r="G486" s="106"/>
      <c r="H486" s="50"/>
      <c r="I486" s="9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27.75" customHeight="1">
      <c r="A487" s="50"/>
      <c r="B487" s="93"/>
      <c r="C487" s="93"/>
      <c r="D487" s="106"/>
      <c r="E487" s="93"/>
      <c r="F487" s="93"/>
      <c r="G487" s="106"/>
      <c r="H487" s="50"/>
      <c r="I487" s="9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27.75" customHeight="1">
      <c r="A488" s="50"/>
      <c r="B488" s="93"/>
      <c r="C488" s="93"/>
      <c r="D488" s="106"/>
      <c r="E488" s="93"/>
      <c r="F488" s="93"/>
      <c r="G488" s="106"/>
      <c r="H488" s="50"/>
      <c r="I488" s="9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27.75" customHeight="1">
      <c r="A489" s="50"/>
      <c r="B489" s="93"/>
      <c r="C489" s="93"/>
      <c r="D489" s="106"/>
      <c r="E489" s="93"/>
      <c r="F489" s="93"/>
      <c r="G489" s="106"/>
      <c r="H489" s="50"/>
      <c r="I489" s="9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27.75" customHeight="1">
      <c r="A490" s="50"/>
      <c r="B490" s="93"/>
      <c r="C490" s="93"/>
      <c r="D490" s="106"/>
      <c r="E490" s="93"/>
      <c r="F490" s="93"/>
      <c r="G490" s="106"/>
      <c r="H490" s="50"/>
      <c r="I490" s="9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27.75" customHeight="1">
      <c r="A491" s="50"/>
      <c r="B491" s="93"/>
      <c r="C491" s="93"/>
      <c r="D491" s="106"/>
      <c r="E491" s="93"/>
      <c r="F491" s="93"/>
      <c r="G491" s="106"/>
      <c r="H491" s="50"/>
      <c r="I491" s="9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27.75" customHeight="1">
      <c r="A492" s="50"/>
      <c r="B492" s="93"/>
      <c r="C492" s="93"/>
      <c r="D492" s="106"/>
      <c r="E492" s="93"/>
      <c r="F492" s="93"/>
      <c r="G492" s="106"/>
      <c r="H492" s="50"/>
      <c r="I492" s="9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27.75" customHeight="1">
      <c r="A493" s="50"/>
      <c r="B493" s="93"/>
      <c r="C493" s="93"/>
      <c r="D493" s="106"/>
      <c r="E493" s="93"/>
      <c r="F493" s="93"/>
      <c r="G493" s="106"/>
      <c r="H493" s="50"/>
      <c r="I493" s="9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27.75" customHeight="1">
      <c r="A494" s="50"/>
      <c r="B494" s="93"/>
      <c r="C494" s="93"/>
      <c r="D494" s="106"/>
      <c r="E494" s="93"/>
      <c r="F494" s="93"/>
      <c r="G494" s="106"/>
      <c r="H494" s="50"/>
      <c r="I494" s="9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27.75" customHeight="1">
      <c r="A495" s="50"/>
      <c r="B495" s="93"/>
      <c r="C495" s="93"/>
      <c r="D495" s="106"/>
      <c r="E495" s="93"/>
      <c r="F495" s="93"/>
      <c r="G495" s="106"/>
      <c r="H495" s="50"/>
      <c r="I495" s="9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27.75" customHeight="1">
      <c r="A496" s="50"/>
      <c r="B496" s="93"/>
      <c r="C496" s="93"/>
      <c r="D496" s="106"/>
      <c r="E496" s="93"/>
      <c r="F496" s="93"/>
      <c r="G496" s="106"/>
      <c r="H496" s="50"/>
      <c r="I496" s="9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27.75" customHeight="1">
      <c r="A497" s="50"/>
      <c r="B497" s="93"/>
      <c r="C497" s="93"/>
      <c r="D497" s="106"/>
      <c r="E497" s="93"/>
      <c r="F497" s="93"/>
      <c r="G497" s="106"/>
      <c r="H497" s="50"/>
      <c r="I497" s="9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27.75" customHeight="1">
      <c r="A498" s="50"/>
      <c r="B498" s="93"/>
      <c r="C498" s="93"/>
      <c r="D498" s="106"/>
      <c r="E498" s="93"/>
      <c r="F498" s="93"/>
      <c r="G498" s="106"/>
      <c r="H498" s="50"/>
      <c r="I498" s="9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27.75" customHeight="1">
      <c r="A499" s="50"/>
      <c r="B499" s="93"/>
      <c r="C499" s="93"/>
      <c r="D499" s="106"/>
      <c r="E499" s="93"/>
      <c r="F499" s="93"/>
      <c r="G499" s="106"/>
      <c r="H499" s="50"/>
      <c r="I499" s="9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27.75" customHeight="1">
      <c r="A500" s="50"/>
      <c r="B500" s="93"/>
      <c r="C500" s="93"/>
      <c r="D500" s="106"/>
      <c r="E500" s="93"/>
      <c r="F500" s="93"/>
      <c r="G500" s="106"/>
      <c r="H500" s="50"/>
      <c r="I500" s="9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27.75" customHeight="1">
      <c r="A501" s="50"/>
      <c r="B501" s="93"/>
      <c r="C501" s="93"/>
      <c r="D501" s="106"/>
      <c r="E501" s="93"/>
      <c r="F501" s="93"/>
      <c r="G501" s="106"/>
      <c r="H501" s="50"/>
      <c r="I501" s="9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27.75" customHeight="1">
      <c r="A502" s="50"/>
      <c r="B502" s="93"/>
      <c r="C502" s="93"/>
      <c r="D502" s="106"/>
      <c r="E502" s="93"/>
      <c r="F502" s="93"/>
      <c r="G502" s="106"/>
      <c r="H502" s="50"/>
      <c r="I502" s="9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27.75" customHeight="1">
      <c r="A503" s="50"/>
      <c r="B503" s="93"/>
      <c r="C503" s="93"/>
      <c r="D503" s="106"/>
      <c r="E503" s="93"/>
      <c r="F503" s="93"/>
      <c r="G503" s="106"/>
      <c r="H503" s="50"/>
      <c r="I503" s="9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27.75" customHeight="1">
      <c r="A504" s="50"/>
      <c r="B504" s="93"/>
      <c r="C504" s="93"/>
      <c r="D504" s="106"/>
      <c r="E504" s="93"/>
      <c r="F504" s="93"/>
      <c r="G504" s="106"/>
      <c r="H504" s="50"/>
      <c r="I504" s="9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27.75" customHeight="1">
      <c r="A505" s="50"/>
      <c r="B505" s="93"/>
      <c r="C505" s="93"/>
      <c r="D505" s="106"/>
      <c r="E505" s="93"/>
      <c r="F505" s="93"/>
      <c r="G505" s="106"/>
      <c r="H505" s="50"/>
      <c r="I505" s="9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27.75" customHeight="1">
      <c r="A506" s="50"/>
      <c r="B506" s="93"/>
      <c r="C506" s="93"/>
      <c r="D506" s="106"/>
      <c r="E506" s="93"/>
      <c r="F506" s="93"/>
      <c r="G506" s="106"/>
      <c r="H506" s="50"/>
      <c r="I506" s="9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27.75" customHeight="1">
      <c r="A507" s="50"/>
      <c r="B507" s="93"/>
      <c r="C507" s="93"/>
      <c r="D507" s="106"/>
      <c r="E507" s="93"/>
      <c r="F507" s="93"/>
      <c r="G507" s="106"/>
      <c r="H507" s="50"/>
      <c r="I507" s="9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27.75" customHeight="1">
      <c r="A508" s="50"/>
      <c r="B508" s="93"/>
      <c r="C508" s="93"/>
      <c r="D508" s="106"/>
      <c r="E508" s="93"/>
      <c r="F508" s="93"/>
      <c r="G508" s="106"/>
      <c r="H508" s="50"/>
      <c r="I508" s="9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27.75" customHeight="1">
      <c r="A509" s="50"/>
      <c r="B509" s="93"/>
      <c r="C509" s="93"/>
      <c r="D509" s="106"/>
      <c r="E509" s="93"/>
      <c r="F509" s="93"/>
      <c r="G509" s="106"/>
      <c r="H509" s="50"/>
      <c r="I509" s="9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27.75" customHeight="1">
      <c r="A510" s="50"/>
      <c r="B510" s="93"/>
      <c r="C510" s="93"/>
      <c r="D510" s="106"/>
      <c r="E510" s="93"/>
      <c r="F510" s="93"/>
      <c r="G510" s="106"/>
      <c r="H510" s="50"/>
      <c r="I510" s="9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27.75" customHeight="1">
      <c r="A511" s="50"/>
      <c r="B511" s="93"/>
      <c r="C511" s="93"/>
      <c r="D511" s="106"/>
      <c r="E511" s="93"/>
      <c r="F511" s="93"/>
      <c r="G511" s="106"/>
      <c r="H511" s="50"/>
      <c r="I511" s="9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27.75" customHeight="1">
      <c r="A512" s="50"/>
      <c r="B512" s="93"/>
      <c r="C512" s="93"/>
      <c r="D512" s="106"/>
      <c r="E512" s="93"/>
      <c r="F512" s="93"/>
      <c r="G512" s="106"/>
      <c r="H512" s="50"/>
      <c r="I512" s="9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27.75" customHeight="1">
      <c r="A513" s="50"/>
      <c r="B513" s="93"/>
      <c r="C513" s="93"/>
      <c r="D513" s="106"/>
      <c r="E513" s="93"/>
      <c r="F513" s="93"/>
      <c r="G513" s="106"/>
      <c r="H513" s="50"/>
      <c r="I513" s="9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27.75" customHeight="1">
      <c r="A514" s="50"/>
      <c r="B514" s="93"/>
      <c r="C514" s="93"/>
      <c r="D514" s="106"/>
      <c r="E514" s="93"/>
      <c r="F514" s="93"/>
      <c r="G514" s="106"/>
      <c r="H514" s="50"/>
      <c r="I514" s="9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27.75" customHeight="1">
      <c r="A515" s="50"/>
      <c r="B515" s="93"/>
      <c r="C515" s="93"/>
      <c r="D515" s="106"/>
      <c r="E515" s="93"/>
      <c r="F515" s="93"/>
      <c r="G515" s="106"/>
      <c r="H515" s="50"/>
      <c r="I515" s="9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27.75" customHeight="1">
      <c r="A516" s="50"/>
      <c r="B516" s="93"/>
      <c r="C516" s="93"/>
      <c r="D516" s="106"/>
      <c r="E516" s="93"/>
      <c r="F516" s="93"/>
      <c r="G516" s="106"/>
      <c r="H516" s="50"/>
      <c r="I516" s="9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27.75" customHeight="1">
      <c r="A517" s="50"/>
      <c r="B517" s="93"/>
      <c r="C517" s="93"/>
      <c r="D517" s="106"/>
      <c r="E517" s="93"/>
      <c r="F517" s="93"/>
      <c r="G517" s="106"/>
      <c r="H517" s="50"/>
      <c r="I517" s="9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27.75" customHeight="1">
      <c r="A518" s="50"/>
      <c r="B518" s="93"/>
      <c r="C518" s="93"/>
      <c r="D518" s="106"/>
      <c r="E518" s="93"/>
      <c r="F518" s="93"/>
      <c r="G518" s="106"/>
      <c r="H518" s="50"/>
      <c r="I518" s="9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27.75" customHeight="1">
      <c r="A519" s="50"/>
      <c r="B519" s="93"/>
      <c r="C519" s="93"/>
      <c r="D519" s="106"/>
      <c r="E519" s="93"/>
      <c r="F519" s="93"/>
      <c r="G519" s="106"/>
      <c r="H519" s="50"/>
      <c r="I519" s="9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27.75" customHeight="1">
      <c r="A520" s="50"/>
      <c r="B520" s="93"/>
      <c r="C520" s="93"/>
      <c r="D520" s="106"/>
      <c r="E520" s="93"/>
      <c r="F520" s="93"/>
      <c r="G520" s="106"/>
      <c r="H520" s="50"/>
      <c r="I520" s="9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27.75" customHeight="1">
      <c r="A521" s="50"/>
      <c r="B521" s="93"/>
      <c r="C521" s="93"/>
      <c r="D521" s="106"/>
      <c r="E521" s="93"/>
      <c r="F521" s="93"/>
      <c r="G521" s="106"/>
      <c r="H521" s="50"/>
      <c r="I521" s="9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27.75" customHeight="1">
      <c r="A522" s="50"/>
      <c r="B522" s="93"/>
      <c r="C522" s="93"/>
      <c r="D522" s="106"/>
      <c r="E522" s="93"/>
      <c r="F522" s="93"/>
      <c r="G522" s="106"/>
      <c r="H522" s="50"/>
      <c r="I522" s="9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27.75" customHeight="1">
      <c r="A523" s="50"/>
      <c r="B523" s="93"/>
      <c r="C523" s="93"/>
      <c r="D523" s="106"/>
      <c r="E523" s="93"/>
      <c r="F523" s="93"/>
      <c r="G523" s="106"/>
      <c r="H523" s="50"/>
      <c r="I523" s="9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27.75" customHeight="1">
      <c r="A524" s="50"/>
      <c r="B524" s="93"/>
      <c r="C524" s="93"/>
      <c r="D524" s="106"/>
      <c r="E524" s="93"/>
      <c r="F524" s="93"/>
      <c r="G524" s="106"/>
      <c r="H524" s="50"/>
      <c r="I524" s="9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27.75" customHeight="1">
      <c r="A525" s="50"/>
      <c r="B525" s="93"/>
      <c r="C525" s="93"/>
      <c r="D525" s="106"/>
      <c r="E525" s="93"/>
      <c r="F525" s="93"/>
      <c r="G525" s="106"/>
      <c r="H525" s="50"/>
      <c r="I525" s="9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27.75" customHeight="1">
      <c r="A526" s="50"/>
      <c r="B526" s="93"/>
      <c r="C526" s="93"/>
      <c r="D526" s="106"/>
      <c r="E526" s="93"/>
      <c r="F526" s="93"/>
      <c r="G526" s="106"/>
      <c r="H526" s="50"/>
      <c r="I526" s="9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27.75" customHeight="1">
      <c r="A527" s="50"/>
      <c r="B527" s="93"/>
      <c r="C527" s="93"/>
      <c r="D527" s="106"/>
      <c r="E527" s="93"/>
      <c r="F527" s="93"/>
      <c r="G527" s="106"/>
      <c r="H527" s="50"/>
      <c r="I527" s="9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27.75" customHeight="1">
      <c r="A528" s="50"/>
      <c r="B528" s="93"/>
      <c r="C528" s="93"/>
      <c r="D528" s="106"/>
      <c r="E528" s="93"/>
      <c r="F528" s="93"/>
      <c r="G528" s="106"/>
      <c r="H528" s="50"/>
      <c r="I528" s="9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27.75" customHeight="1">
      <c r="A529" s="50"/>
      <c r="B529" s="93"/>
      <c r="C529" s="93"/>
      <c r="D529" s="106"/>
      <c r="E529" s="93"/>
      <c r="F529" s="93"/>
      <c r="G529" s="106"/>
      <c r="H529" s="50"/>
      <c r="I529" s="9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27.75" customHeight="1">
      <c r="A530" s="50"/>
      <c r="B530" s="93"/>
      <c r="C530" s="93"/>
      <c r="D530" s="106"/>
      <c r="E530" s="93"/>
      <c r="F530" s="93"/>
      <c r="G530" s="106"/>
      <c r="H530" s="50"/>
      <c r="I530" s="9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27.75" customHeight="1">
      <c r="A531" s="50"/>
      <c r="B531" s="93"/>
      <c r="C531" s="93"/>
      <c r="D531" s="106"/>
      <c r="E531" s="93"/>
      <c r="F531" s="93"/>
      <c r="G531" s="106"/>
      <c r="H531" s="50"/>
      <c r="I531" s="9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27.75" customHeight="1">
      <c r="A532" s="50"/>
      <c r="B532" s="93"/>
      <c r="C532" s="93"/>
      <c r="D532" s="106"/>
      <c r="E532" s="93"/>
      <c r="F532" s="93"/>
      <c r="G532" s="106"/>
      <c r="H532" s="50"/>
      <c r="I532" s="9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27.75" customHeight="1">
      <c r="A533" s="50"/>
      <c r="B533" s="93"/>
      <c r="C533" s="93"/>
      <c r="D533" s="106"/>
      <c r="E533" s="93"/>
      <c r="F533" s="93"/>
      <c r="G533" s="106"/>
      <c r="H533" s="50"/>
      <c r="I533" s="9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27.75" customHeight="1">
      <c r="A534" s="50"/>
      <c r="B534" s="93"/>
      <c r="C534" s="93"/>
      <c r="D534" s="106"/>
      <c r="E534" s="93"/>
      <c r="F534" s="93"/>
      <c r="G534" s="106"/>
      <c r="H534" s="50"/>
      <c r="I534" s="9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27.75" customHeight="1">
      <c r="A535" s="50"/>
      <c r="B535" s="93"/>
      <c r="C535" s="93"/>
      <c r="D535" s="106"/>
      <c r="E535" s="93"/>
      <c r="F535" s="93"/>
      <c r="G535" s="106"/>
      <c r="H535" s="50"/>
      <c r="I535" s="9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27.75" customHeight="1">
      <c r="A536" s="50"/>
      <c r="B536" s="93"/>
      <c r="C536" s="93"/>
      <c r="D536" s="106"/>
      <c r="E536" s="93"/>
      <c r="F536" s="93"/>
      <c r="G536" s="106"/>
      <c r="H536" s="50"/>
      <c r="I536" s="9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27.75" customHeight="1">
      <c r="A537" s="50"/>
      <c r="B537" s="93"/>
      <c r="C537" s="93"/>
      <c r="D537" s="106"/>
      <c r="E537" s="93"/>
      <c r="F537" s="93"/>
      <c r="G537" s="106"/>
      <c r="H537" s="50"/>
      <c r="I537" s="9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27.75" customHeight="1">
      <c r="A538" s="50"/>
      <c r="B538" s="93"/>
      <c r="C538" s="93"/>
      <c r="D538" s="106"/>
      <c r="E538" s="93"/>
      <c r="F538" s="93"/>
      <c r="G538" s="106"/>
      <c r="H538" s="50"/>
      <c r="I538" s="9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27.75" customHeight="1">
      <c r="A539" s="50"/>
      <c r="B539" s="93"/>
      <c r="C539" s="93"/>
      <c r="D539" s="106"/>
      <c r="E539" s="93"/>
      <c r="F539" s="93"/>
      <c r="G539" s="106"/>
      <c r="H539" s="50"/>
      <c r="I539" s="9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27.75" customHeight="1">
      <c r="A540" s="50"/>
      <c r="B540" s="93"/>
      <c r="C540" s="93"/>
      <c r="D540" s="106"/>
      <c r="E540" s="93"/>
      <c r="F540" s="93"/>
      <c r="G540" s="106"/>
      <c r="H540" s="50"/>
      <c r="I540" s="9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27.75" customHeight="1">
      <c r="A541" s="50"/>
      <c r="B541" s="93"/>
      <c r="C541" s="93"/>
      <c r="D541" s="106"/>
      <c r="E541" s="93"/>
      <c r="F541" s="93"/>
      <c r="G541" s="106"/>
      <c r="H541" s="50"/>
      <c r="I541" s="9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27.75" customHeight="1">
      <c r="A542" s="50"/>
      <c r="B542" s="93"/>
      <c r="C542" s="93"/>
      <c r="D542" s="106"/>
      <c r="E542" s="93"/>
      <c r="F542" s="93"/>
      <c r="G542" s="106"/>
      <c r="H542" s="50"/>
      <c r="I542" s="9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27.75" customHeight="1">
      <c r="A543" s="50"/>
      <c r="B543" s="93"/>
      <c r="C543" s="93"/>
      <c r="D543" s="106"/>
      <c r="E543" s="93"/>
      <c r="F543" s="93"/>
      <c r="G543" s="106"/>
      <c r="H543" s="50"/>
      <c r="I543" s="9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27.75" customHeight="1">
      <c r="A544" s="50"/>
      <c r="B544" s="93"/>
      <c r="C544" s="93"/>
      <c r="D544" s="106"/>
      <c r="E544" s="93"/>
      <c r="F544" s="93"/>
      <c r="G544" s="106"/>
      <c r="H544" s="50"/>
      <c r="I544" s="9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27.75" customHeight="1">
      <c r="A545" s="50"/>
      <c r="B545" s="93"/>
      <c r="C545" s="93"/>
      <c r="D545" s="106"/>
      <c r="E545" s="93"/>
      <c r="F545" s="93"/>
      <c r="G545" s="106"/>
      <c r="H545" s="50"/>
      <c r="I545" s="9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27.75" customHeight="1">
      <c r="A546" s="50"/>
      <c r="B546" s="93"/>
      <c r="C546" s="93"/>
      <c r="D546" s="106"/>
      <c r="E546" s="93"/>
      <c r="F546" s="93"/>
      <c r="G546" s="106"/>
      <c r="H546" s="50"/>
      <c r="I546" s="9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27.75" customHeight="1">
      <c r="A547" s="50"/>
      <c r="B547" s="93"/>
      <c r="C547" s="93"/>
      <c r="D547" s="106"/>
      <c r="E547" s="93"/>
      <c r="F547" s="93"/>
      <c r="G547" s="106"/>
      <c r="H547" s="50"/>
      <c r="I547" s="9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27.75" customHeight="1">
      <c r="A548" s="50"/>
      <c r="B548" s="93"/>
      <c r="C548" s="93"/>
      <c r="D548" s="106"/>
      <c r="E548" s="93"/>
      <c r="F548" s="93"/>
      <c r="G548" s="106"/>
      <c r="H548" s="50"/>
      <c r="I548" s="9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27.75" customHeight="1">
      <c r="A549" s="50"/>
      <c r="B549" s="93"/>
      <c r="C549" s="93"/>
      <c r="D549" s="106"/>
      <c r="E549" s="93"/>
      <c r="F549" s="93"/>
      <c r="G549" s="106"/>
      <c r="H549" s="50"/>
      <c r="I549" s="9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27.75" customHeight="1">
      <c r="A550" s="50"/>
      <c r="B550" s="93"/>
      <c r="C550" s="93"/>
      <c r="D550" s="106"/>
      <c r="E550" s="93"/>
      <c r="F550" s="93"/>
      <c r="G550" s="106"/>
      <c r="H550" s="50"/>
      <c r="I550" s="9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27.75" customHeight="1">
      <c r="A551" s="50"/>
      <c r="B551" s="93"/>
      <c r="C551" s="93"/>
      <c r="D551" s="106"/>
      <c r="E551" s="93"/>
      <c r="F551" s="93"/>
      <c r="G551" s="106"/>
      <c r="H551" s="50"/>
      <c r="I551" s="9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27.75" customHeight="1">
      <c r="A552" s="50"/>
      <c r="B552" s="93"/>
      <c r="C552" s="93"/>
      <c r="D552" s="106"/>
      <c r="E552" s="93"/>
      <c r="F552" s="93"/>
      <c r="G552" s="106"/>
      <c r="H552" s="50"/>
      <c r="I552" s="9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27.75" customHeight="1">
      <c r="A553" s="50"/>
      <c r="B553" s="93"/>
      <c r="C553" s="93"/>
      <c r="D553" s="106"/>
      <c r="E553" s="93"/>
      <c r="F553" s="93"/>
      <c r="G553" s="106"/>
      <c r="H553" s="50"/>
      <c r="I553" s="9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27.75" customHeight="1">
      <c r="A554" s="50"/>
      <c r="B554" s="93"/>
      <c r="C554" s="93"/>
      <c r="D554" s="106"/>
      <c r="E554" s="93"/>
      <c r="F554" s="93"/>
      <c r="G554" s="106"/>
      <c r="H554" s="50"/>
      <c r="I554" s="9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27.75" customHeight="1">
      <c r="A555" s="50"/>
      <c r="B555" s="93"/>
      <c r="C555" s="93"/>
      <c r="D555" s="106"/>
      <c r="E555" s="93"/>
      <c r="F555" s="93"/>
      <c r="G555" s="106"/>
      <c r="H555" s="50"/>
      <c r="I555" s="9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27.75" customHeight="1">
      <c r="A556" s="50"/>
      <c r="B556" s="93"/>
      <c r="C556" s="93"/>
      <c r="D556" s="106"/>
      <c r="E556" s="93"/>
      <c r="F556" s="93"/>
      <c r="G556" s="106"/>
      <c r="H556" s="50"/>
      <c r="I556" s="9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27.75" customHeight="1">
      <c r="A557" s="50"/>
      <c r="B557" s="93"/>
      <c r="C557" s="93"/>
      <c r="D557" s="106"/>
      <c r="E557" s="93"/>
      <c r="F557" s="93"/>
      <c r="G557" s="106"/>
      <c r="H557" s="50"/>
      <c r="I557" s="9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27.75" customHeight="1">
      <c r="A558" s="50"/>
      <c r="B558" s="93"/>
      <c r="C558" s="93"/>
      <c r="D558" s="106"/>
      <c r="E558" s="93"/>
      <c r="F558" s="93"/>
      <c r="G558" s="106"/>
      <c r="H558" s="50"/>
      <c r="I558" s="9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27.75" customHeight="1">
      <c r="A559" s="50"/>
      <c r="B559" s="93"/>
      <c r="C559" s="93"/>
      <c r="D559" s="106"/>
      <c r="E559" s="93"/>
      <c r="F559" s="93"/>
      <c r="G559" s="106"/>
      <c r="H559" s="50"/>
      <c r="I559" s="9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27.75" customHeight="1">
      <c r="A560" s="50"/>
      <c r="B560" s="93"/>
      <c r="C560" s="93"/>
      <c r="D560" s="106"/>
      <c r="E560" s="93"/>
      <c r="F560" s="93"/>
      <c r="G560" s="106"/>
      <c r="H560" s="50"/>
      <c r="I560" s="9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27.75" customHeight="1">
      <c r="A561" s="50"/>
      <c r="B561" s="93"/>
      <c r="C561" s="93"/>
      <c r="D561" s="106"/>
      <c r="E561" s="93"/>
      <c r="F561" s="93"/>
      <c r="G561" s="106"/>
      <c r="H561" s="50"/>
      <c r="I561" s="9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27.75" customHeight="1">
      <c r="A562" s="50"/>
      <c r="B562" s="93"/>
      <c r="C562" s="93"/>
      <c r="D562" s="106"/>
      <c r="E562" s="93"/>
      <c r="F562" s="93"/>
      <c r="G562" s="106"/>
      <c r="H562" s="50"/>
      <c r="I562" s="9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27.75" customHeight="1">
      <c r="A563" s="50"/>
      <c r="B563" s="93"/>
      <c r="C563" s="93"/>
      <c r="D563" s="106"/>
      <c r="E563" s="93"/>
      <c r="F563" s="93"/>
      <c r="G563" s="106"/>
      <c r="H563" s="50"/>
      <c r="I563" s="9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27.75" customHeight="1">
      <c r="A564" s="50"/>
      <c r="B564" s="93"/>
      <c r="C564" s="93"/>
      <c r="D564" s="106"/>
      <c r="E564" s="93"/>
      <c r="F564" s="93"/>
      <c r="G564" s="106"/>
      <c r="H564" s="50"/>
      <c r="I564" s="9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27.75" customHeight="1">
      <c r="A565" s="50"/>
      <c r="B565" s="93"/>
      <c r="C565" s="93"/>
      <c r="D565" s="106"/>
      <c r="E565" s="93"/>
      <c r="F565" s="93"/>
      <c r="G565" s="106"/>
      <c r="H565" s="50"/>
      <c r="I565" s="9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27.75" customHeight="1">
      <c r="A566" s="50"/>
      <c r="B566" s="93"/>
      <c r="C566" s="93"/>
      <c r="D566" s="106"/>
      <c r="E566" s="93"/>
      <c r="F566" s="93"/>
      <c r="G566" s="106"/>
      <c r="H566" s="50"/>
      <c r="I566" s="9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27.75" customHeight="1">
      <c r="A567" s="50"/>
      <c r="B567" s="93"/>
      <c r="C567" s="93"/>
      <c r="D567" s="106"/>
      <c r="E567" s="93"/>
      <c r="F567" s="93"/>
      <c r="G567" s="106"/>
      <c r="H567" s="50"/>
      <c r="I567" s="9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27.75" customHeight="1">
      <c r="A568" s="50"/>
      <c r="B568" s="93"/>
      <c r="C568" s="93"/>
      <c r="D568" s="106"/>
      <c r="E568" s="93"/>
      <c r="F568" s="93"/>
      <c r="G568" s="106"/>
      <c r="H568" s="50"/>
      <c r="I568" s="9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27.75" customHeight="1">
      <c r="A569" s="50"/>
      <c r="B569" s="93"/>
      <c r="C569" s="93"/>
      <c r="D569" s="106"/>
      <c r="E569" s="93"/>
      <c r="F569" s="93"/>
      <c r="G569" s="106"/>
      <c r="H569" s="50"/>
      <c r="I569" s="9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27.75" customHeight="1">
      <c r="A570" s="50"/>
      <c r="B570" s="93"/>
      <c r="C570" s="93"/>
      <c r="D570" s="106"/>
      <c r="E570" s="93"/>
      <c r="F570" s="93"/>
      <c r="G570" s="106"/>
      <c r="H570" s="50"/>
      <c r="I570" s="9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27.75" customHeight="1">
      <c r="A571" s="50"/>
      <c r="B571" s="93"/>
      <c r="C571" s="93"/>
      <c r="D571" s="106"/>
      <c r="E571" s="93"/>
      <c r="F571" s="93"/>
      <c r="G571" s="106"/>
      <c r="H571" s="50"/>
      <c r="I571" s="9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27.75" customHeight="1">
      <c r="A572" s="50"/>
      <c r="B572" s="93"/>
      <c r="C572" s="93"/>
      <c r="D572" s="106"/>
      <c r="E572" s="93"/>
      <c r="F572" s="93"/>
      <c r="G572" s="106"/>
      <c r="H572" s="50"/>
      <c r="I572" s="9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27.75" customHeight="1">
      <c r="A573" s="50"/>
      <c r="B573" s="93"/>
      <c r="C573" s="93"/>
      <c r="D573" s="106"/>
      <c r="E573" s="93"/>
      <c r="F573" s="93"/>
      <c r="G573" s="106"/>
      <c r="H573" s="50"/>
      <c r="I573" s="9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27.75" customHeight="1">
      <c r="A574" s="50"/>
      <c r="B574" s="93"/>
      <c r="C574" s="93"/>
      <c r="D574" s="106"/>
      <c r="E574" s="93"/>
      <c r="F574" s="93"/>
      <c r="G574" s="106"/>
      <c r="H574" s="50"/>
      <c r="I574" s="9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27.75" customHeight="1">
      <c r="A575" s="50"/>
      <c r="B575" s="93"/>
      <c r="C575" s="93"/>
      <c r="D575" s="106"/>
      <c r="E575" s="93"/>
      <c r="F575" s="93"/>
      <c r="G575" s="106"/>
      <c r="H575" s="50"/>
      <c r="I575" s="9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27.75" customHeight="1">
      <c r="A576" s="50"/>
      <c r="B576" s="93"/>
      <c r="C576" s="93"/>
      <c r="D576" s="106"/>
      <c r="E576" s="93"/>
      <c r="F576" s="93"/>
      <c r="G576" s="106"/>
      <c r="H576" s="50"/>
      <c r="I576" s="9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27.75" customHeight="1">
      <c r="A577" s="50"/>
      <c r="B577" s="93"/>
      <c r="C577" s="93"/>
      <c r="D577" s="106"/>
      <c r="E577" s="93"/>
      <c r="F577" s="93"/>
      <c r="G577" s="106"/>
      <c r="H577" s="50"/>
      <c r="I577" s="9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27.75" customHeight="1">
      <c r="A578" s="50"/>
      <c r="B578" s="93"/>
      <c r="C578" s="93"/>
      <c r="D578" s="106"/>
      <c r="E578" s="93"/>
      <c r="F578" s="93"/>
      <c r="G578" s="106"/>
      <c r="H578" s="50"/>
      <c r="I578" s="9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27.75" customHeight="1">
      <c r="A579" s="50"/>
      <c r="B579" s="93"/>
      <c r="C579" s="93"/>
      <c r="D579" s="106"/>
      <c r="E579" s="93"/>
      <c r="F579" s="93"/>
      <c r="G579" s="106"/>
      <c r="H579" s="50"/>
      <c r="I579" s="9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27.75" customHeight="1">
      <c r="A580" s="50"/>
      <c r="B580" s="93"/>
      <c r="C580" s="93"/>
      <c r="D580" s="106"/>
      <c r="E580" s="93"/>
      <c r="F580" s="93"/>
      <c r="G580" s="106"/>
      <c r="H580" s="50"/>
      <c r="I580" s="9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27.75" customHeight="1">
      <c r="A581" s="50"/>
      <c r="B581" s="93"/>
      <c r="C581" s="93"/>
      <c r="D581" s="106"/>
      <c r="E581" s="93"/>
      <c r="F581" s="93"/>
      <c r="G581" s="106"/>
      <c r="H581" s="50"/>
      <c r="I581" s="9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27.75" customHeight="1">
      <c r="A582" s="50"/>
      <c r="B582" s="93"/>
      <c r="C582" s="93"/>
      <c r="D582" s="106"/>
      <c r="E582" s="93"/>
      <c r="F582" s="93"/>
      <c r="G582" s="106"/>
      <c r="H582" s="50"/>
      <c r="I582" s="9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27.75" customHeight="1">
      <c r="A583" s="50"/>
      <c r="B583" s="93"/>
      <c r="C583" s="93"/>
      <c r="D583" s="106"/>
      <c r="E583" s="93"/>
      <c r="F583" s="93"/>
      <c r="G583" s="106"/>
      <c r="H583" s="50"/>
      <c r="I583" s="9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27.75" customHeight="1">
      <c r="A584" s="50"/>
      <c r="B584" s="93"/>
      <c r="C584" s="93"/>
      <c r="D584" s="106"/>
      <c r="E584" s="93"/>
      <c r="F584" s="93"/>
      <c r="G584" s="106"/>
      <c r="H584" s="50"/>
      <c r="I584" s="9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27.75" customHeight="1">
      <c r="A585" s="50"/>
      <c r="B585" s="93"/>
      <c r="C585" s="93"/>
      <c r="D585" s="106"/>
      <c r="E585" s="93"/>
      <c r="F585" s="93"/>
      <c r="G585" s="106"/>
      <c r="H585" s="50"/>
      <c r="I585" s="9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27.75" customHeight="1">
      <c r="A586" s="50"/>
      <c r="B586" s="93"/>
      <c r="C586" s="93"/>
      <c r="D586" s="106"/>
      <c r="E586" s="93"/>
      <c r="F586" s="93"/>
      <c r="G586" s="106"/>
      <c r="H586" s="50"/>
      <c r="I586" s="9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27.75" customHeight="1">
      <c r="A587" s="50"/>
      <c r="B587" s="93"/>
      <c r="C587" s="93"/>
      <c r="D587" s="106"/>
      <c r="E587" s="93"/>
      <c r="F587" s="93"/>
      <c r="G587" s="106"/>
      <c r="H587" s="50"/>
      <c r="I587" s="9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27.75" customHeight="1">
      <c r="A588" s="50"/>
      <c r="B588" s="93"/>
      <c r="C588" s="93"/>
      <c r="D588" s="106"/>
      <c r="E588" s="93"/>
      <c r="F588" s="93"/>
      <c r="G588" s="106"/>
      <c r="H588" s="50"/>
      <c r="I588" s="9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27.75" customHeight="1">
      <c r="A589" s="50"/>
      <c r="B589" s="93"/>
      <c r="C589" s="93"/>
      <c r="D589" s="106"/>
      <c r="E589" s="93"/>
      <c r="F589" s="93"/>
      <c r="G589" s="106"/>
      <c r="H589" s="50"/>
      <c r="I589" s="9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27.75" customHeight="1">
      <c r="A590" s="50"/>
      <c r="B590" s="93"/>
      <c r="C590" s="93"/>
      <c r="D590" s="106"/>
      <c r="E590" s="93"/>
      <c r="F590" s="93"/>
      <c r="G590" s="106"/>
      <c r="H590" s="50"/>
      <c r="I590" s="9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27.75" customHeight="1">
      <c r="A591" s="50"/>
      <c r="B591" s="93"/>
      <c r="C591" s="93"/>
      <c r="D591" s="106"/>
      <c r="E591" s="93"/>
      <c r="F591" s="93"/>
      <c r="G591" s="106"/>
      <c r="H591" s="50"/>
      <c r="I591" s="9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27.75" customHeight="1">
      <c r="A592" s="50"/>
      <c r="B592" s="93"/>
      <c r="C592" s="93"/>
      <c r="D592" s="106"/>
      <c r="E592" s="93"/>
      <c r="F592" s="93"/>
      <c r="G592" s="106"/>
      <c r="H592" s="50"/>
      <c r="I592" s="9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27.75" customHeight="1">
      <c r="A593" s="50"/>
      <c r="B593" s="93"/>
      <c r="C593" s="93"/>
      <c r="D593" s="106"/>
      <c r="E593" s="93"/>
      <c r="F593" s="93"/>
      <c r="G593" s="106"/>
      <c r="H593" s="50"/>
      <c r="I593" s="9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27.75" customHeight="1">
      <c r="A594" s="50"/>
      <c r="B594" s="93"/>
      <c r="C594" s="93"/>
      <c r="D594" s="106"/>
      <c r="E594" s="93"/>
      <c r="F594" s="93"/>
      <c r="G594" s="106"/>
      <c r="H594" s="50"/>
      <c r="I594" s="9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27.75" customHeight="1">
      <c r="A595" s="50"/>
      <c r="B595" s="93"/>
      <c r="C595" s="93"/>
      <c r="D595" s="106"/>
      <c r="E595" s="93"/>
      <c r="F595" s="93"/>
      <c r="G595" s="106"/>
      <c r="H595" s="50"/>
      <c r="I595" s="9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27.75" customHeight="1">
      <c r="A596" s="50"/>
      <c r="B596" s="93"/>
      <c r="C596" s="93"/>
      <c r="D596" s="106"/>
      <c r="E596" s="93"/>
      <c r="F596" s="93"/>
      <c r="G596" s="106"/>
      <c r="H596" s="50"/>
      <c r="I596" s="9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27.75" customHeight="1">
      <c r="A597" s="50"/>
      <c r="B597" s="93"/>
      <c r="C597" s="93"/>
      <c r="D597" s="106"/>
      <c r="E597" s="93"/>
      <c r="F597" s="93"/>
      <c r="G597" s="106"/>
      <c r="H597" s="50"/>
      <c r="I597" s="9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27.75" customHeight="1">
      <c r="A598" s="50"/>
      <c r="B598" s="93"/>
      <c r="C598" s="93"/>
      <c r="D598" s="106"/>
      <c r="E598" s="93"/>
      <c r="F598" s="93"/>
      <c r="G598" s="106"/>
      <c r="H598" s="50"/>
      <c r="I598" s="9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27.75" customHeight="1">
      <c r="A599" s="50"/>
      <c r="B599" s="93"/>
      <c r="C599" s="93"/>
      <c r="D599" s="106"/>
      <c r="E599" s="93"/>
      <c r="F599" s="93"/>
      <c r="G599" s="106"/>
      <c r="H599" s="50"/>
      <c r="I599" s="9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27.75" customHeight="1">
      <c r="A600" s="50"/>
      <c r="B600" s="93"/>
      <c r="C600" s="93"/>
      <c r="D600" s="106"/>
      <c r="E600" s="93"/>
      <c r="F600" s="93"/>
      <c r="G600" s="106"/>
      <c r="H600" s="50"/>
      <c r="I600" s="9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27.75" customHeight="1">
      <c r="A601" s="50"/>
      <c r="B601" s="93"/>
      <c r="C601" s="93"/>
      <c r="D601" s="106"/>
      <c r="E601" s="93"/>
      <c r="F601" s="93"/>
      <c r="G601" s="106"/>
      <c r="H601" s="50"/>
      <c r="I601" s="9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27.75" customHeight="1">
      <c r="A602" s="50"/>
      <c r="B602" s="93"/>
      <c r="C602" s="93"/>
      <c r="D602" s="106"/>
      <c r="E602" s="93"/>
      <c r="F602" s="93"/>
      <c r="G602" s="106"/>
      <c r="H602" s="50"/>
      <c r="I602" s="9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27.75" customHeight="1">
      <c r="A603" s="50"/>
      <c r="B603" s="93"/>
      <c r="C603" s="93"/>
      <c r="D603" s="106"/>
      <c r="E603" s="93"/>
      <c r="F603" s="93"/>
      <c r="G603" s="106"/>
      <c r="H603" s="50"/>
      <c r="I603" s="9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27.75" customHeight="1">
      <c r="A604" s="50"/>
      <c r="B604" s="93"/>
      <c r="C604" s="93"/>
      <c r="D604" s="106"/>
      <c r="E604" s="93"/>
      <c r="F604" s="93"/>
      <c r="G604" s="106"/>
      <c r="H604" s="50"/>
      <c r="I604" s="9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27.75" customHeight="1">
      <c r="A605" s="50"/>
      <c r="B605" s="93"/>
      <c r="C605" s="93"/>
      <c r="D605" s="106"/>
      <c r="E605" s="93"/>
      <c r="F605" s="93"/>
      <c r="G605" s="106"/>
      <c r="H605" s="50"/>
      <c r="I605" s="9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27.75" customHeight="1">
      <c r="A606" s="50"/>
      <c r="B606" s="93"/>
      <c r="C606" s="93"/>
      <c r="D606" s="106"/>
      <c r="E606" s="93"/>
      <c r="F606" s="93"/>
      <c r="G606" s="106"/>
      <c r="H606" s="50"/>
      <c r="I606" s="9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27.75" customHeight="1">
      <c r="A607" s="50"/>
      <c r="B607" s="93"/>
      <c r="C607" s="93"/>
      <c r="D607" s="106"/>
      <c r="E607" s="93"/>
      <c r="F607" s="93"/>
      <c r="G607" s="106"/>
      <c r="H607" s="50"/>
      <c r="I607" s="9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27.75" customHeight="1">
      <c r="A608" s="50"/>
      <c r="B608" s="93"/>
      <c r="C608" s="93"/>
      <c r="D608" s="106"/>
      <c r="E608" s="93"/>
      <c r="F608" s="93"/>
      <c r="G608" s="106"/>
      <c r="H608" s="50"/>
      <c r="I608" s="9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27.75" customHeight="1">
      <c r="A609" s="50"/>
      <c r="B609" s="93"/>
      <c r="C609" s="93"/>
      <c r="D609" s="106"/>
      <c r="E609" s="93"/>
      <c r="F609" s="93"/>
      <c r="G609" s="106"/>
      <c r="H609" s="50"/>
      <c r="I609" s="9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27.75" customHeight="1">
      <c r="A610" s="50"/>
      <c r="B610" s="93"/>
      <c r="C610" s="93"/>
      <c r="D610" s="106"/>
      <c r="E610" s="93"/>
      <c r="F610" s="93"/>
      <c r="G610" s="106"/>
      <c r="H610" s="50"/>
      <c r="I610" s="9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27.75" customHeight="1">
      <c r="A611" s="50"/>
      <c r="B611" s="93"/>
      <c r="C611" s="93"/>
      <c r="D611" s="106"/>
      <c r="E611" s="93"/>
      <c r="F611" s="93"/>
      <c r="G611" s="106"/>
      <c r="H611" s="50"/>
      <c r="I611" s="9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27.75" customHeight="1">
      <c r="A612" s="50"/>
      <c r="B612" s="93"/>
      <c r="C612" s="93"/>
      <c r="D612" s="106"/>
      <c r="E612" s="93"/>
      <c r="F612" s="93"/>
      <c r="G612" s="106"/>
      <c r="H612" s="50"/>
      <c r="I612" s="9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27.75" customHeight="1">
      <c r="A613" s="50"/>
      <c r="B613" s="93"/>
      <c r="C613" s="93"/>
      <c r="D613" s="106"/>
      <c r="E613" s="93"/>
      <c r="F613" s="93"/>
      <c r="G613" s="106"/>
      <c r="H613" s="50"/>
      <c r="I613" s="9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27.75" customHeight="1">
      <c r="A614" s="50"/>
      <c r="B614" s="93"/>
      <c r="C614" s="93"/>
      <c r="D614" s="106"/>
      <c r="E614" s="93"/>
      <c r="F614" s="93"/>
      <c r="G614" s="106"/>
      <c r="H614" s="50"/>
      <c r="I614" s="9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27.75" customHeight="1">
      <c r="A615" s="50"/>
      <c r="B615" s="93"/>
      <c r="C615" s="93"/>
      <c r="D615" s="106"/>
      <c r="E615" s="93"/>
      <c r="F615" s="93"/>
      <c r="G615" s="106"/>
      <c r="H615" s="50"/>
      <c r="I615" s="9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27.75" customHeight="1">
      <c r="A616" s="50"/>
      <c r="B616" s="93"/>
      <c r="C616" s="93"/>
      <c r="D616" s="106"/>
      <c r="E616" s="93"/>
      <c r="F616" s="93"/>
      <c r="G616" s="106"/>
      <c r="H616" s="50"/>
      <c r="I616" s="9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27.75" customHeight="1">
      <c r="A617" s="50"/>
      <c r="B617" s="93"/>
      <c r="C617" s="93"/>
      <c r="D617" s="106"/>
      <c r="E617" s="93"/>
      <c r="F617" s="93"/>
      <c r="G617" s="106"/>
      <c r="H617" s="50"/>
      <c r="I617" s="9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27.75" customHeight="1">
      <c r="A618" s="50"/>
      <c r="B618" s="93"/>
      <c r="C618" s="93"/>
      <c r="D618" s="106"/>
      <c r="E618" s="93"/>
      <c r="F618" s="93"/>
      <c r="G618" s="106"/>
      <c r="H618" s="50"/>
      <c r="I618" s="9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 ht="27.75" customHeight="1">
      <c r="A619" s="50"/>
      <c r="B619" s="93"/>
      <c r="C619" s="93"/>
      <c r="D619" s="106"/>
      <c r="E619" s="93"/>
      <c r="F619" s="93"/>
      <c r="G619" s="106"/>
      <c r="H619" s="50"/>
      <c r="I619" s="93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 ht="27.75" customHeight="1">
      <c r="A620" s="50"/>
      <c r="B620" s="93"/>
      <c r="C620" s="93"/>
      <c r="D620" s="106"/>
      <c r="E620" s="93"/>
      <c r="F620" s="93"/>
      <c r="G620" s="106"/>
      <c r="H620" s="50"/>
      <c r="I620" s="93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 ht="27.75" customHeight="1">
      <c r="A621" s="50"/>
      <c r="B621" s="93"/>
      <c r="C621" s="93"/>
      <c r="D621" s="106"/>
      <c r="E621" s="93"/>
      <c r="F621" s="93"/>
      <c r="G621" s="106"/>
      <c r="H621" s="50"/>
      <c r="I621" s="93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 ht="27.75" customHeight="1">
      <c r="A622" s="50"/>
      <c r="B622" s="93"/>
      <c r="C622" s="93"/>
      <c r="D622" s="106"/>
      <c r="E622" s="93"/>
      <c r="F622" s="93"/>
      <c r="G622" s="106"/>
      <c r="H622" s="50"/>
      <c r="I622" s="93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 ht="27.75" customHeight="1">
      <c r="A623" s="50"/>
      <c r="B623" s="93"/>
      <c r="C623" s="93"/>
      <c r="D623" s="106"/>
      <c r="E623" s="93"/>
      <c r="F623" s="93"/>
      <c r="G623" s="106"/>
      <c r="H623" s="50"/>
      <c r="I623" s="93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 ht="27.75" customHeight="1">
      <c r="A624" s="50"/>
      <c r="B624" s="93"/>
      <c r="C624" s="93"/>
      <c r="D624" s="106"/>
      <c r="E624" s="93"/>
      <c r="F624" s="93"/>
      <c r="G624" s="106"/>
      <c r="H624" s="50"/>
      <c r="I624" s="93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 ht="27.75" customHeight="1">
      <c r="A625" s="50"/>
      <c r="B625" s="93"/>
      <c r="C625" s="93"/>
      <c r="D625" s="106"/>
      <c r="E625" s="93"/>
      <c r="F625" s="93"/>
      <c r="G625" s="106"/>
      <c r="H625" s="50"/>
      <c r="I625" s="93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 ht="27.75" customHeight="1">
      <c r="A626" s="50"/>
      <c r="B626" s="93"/>
      <c r="C626" s="93"/>
      <c r="D626" s="106"/>
      <c r="E626" s="93"/>
      <c r="F626" s="93"/>
      <c r="G626" s="106"/>
      <c r="H626" s="50"/>
      <c r="I626" s="93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 ht="27.75" customHeight="1">
      <c r="A627" s="50"/>
      <c r="B627" s="93"/>
      <c r="C627" s="93"/>
      <c r="D627" s="106"/>
      <c r="E627" s="93"/>
      <c r="F627" s="93"/>
      <c r="G627" s="106"/>
      <c r="H627" s="50"/>
      <c r="I627" s="93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 ht="27.75" customHeight="1">
      <c r="A628" s="50"/>
      <c r="B628" s="93"/>
      <c r="C628" s="93"/>
      <c r="D628" s="106"/>
      <c r="E628" s="93"/>
      <c r="F628" s="93"/>
      <c r="G628" s="106"/>
      <c r="H628" s="50"/>
      <c r="I628" s="93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 ht="27.75" customHeight="1">
      <c r="A629" s="50"/>
      <c r="B629" s="93"/>
      <c r="C629" s="93"/>
      <c r="D629" s="106"/>
      <c r="E629" s="93"/>
      <c r="F629" s="93"/>
      <c r="G629" s="106"/>
      <c r="H629" s="50"/>
      <c r="I629" s="93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 ht="27.75" customHeight="1">
      <c r="A630" s="50"/>
      <c r="B630" s="93"/>
      <c r="C630" s="93"/>
      <c r="D630" s="106"/>
      <c r="E630" s="93"/>
      <c r="F630" s="93"/>
      <c r="G630" s="106"/>
      <c r="H630" s="50"/>
      <c r="I630" s="93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 ht="27.75" customHeight="1">
      <c r="A631" s="50"/>
      <c r="B631" s="93"/>
      <c r="C631" s="93"/>
      <c r="D631" s="106"/>
      <c r="E631" s="93"/>
      <c r="F631" s="93"/>
      <c r="G631" s="106"/>
      <c r="H631" s="50"/>
      <c r="I631" s="93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 ht="27.75" customHeight="1">
      <c r="A632" s="50"/>
      <c r="B632" s="93"/>
      <c r="C632" s="93"/>
      <c r="D632" s="106"/>
      <c r="E632" s="93"/>
      <c r="F632" s="93"/>
      <c r="G632" s="106"/>
      <c r="H632" s="50"/>
      <c r="I632" s="93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 ht="27.75" customHeight="1">
      <c r="A633" s="50"/>
      <c r="B633" s="93"/>
      <c r="C633" s="93"/>
      <c r="D633" s="106"/>
      <c r="E633" s="93"/>
      <c r="F633" s="93"/>
      <c r="G633" s="106"/>
      <c r="H633" s="50"/>
      <c r="I633" s="93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 ht="27.75" customHeight="1">
      <c r="A634" s="50"/>
      <c r="B634" s="93"/>
      <c r="C634" s="93"/>
      <c r="D634" s="106"/>
      <c r="E634" s="93"/>
      <c r="F634" s="93"/>
      <c r="G634" s="106"/>
      <c r="H634" s="50"/>
      <c r="I634" s="93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 ht="27.75" customHeight="1">
      <c r="A635" s="50"/>
      <c r="B635" s="93"/>
      <c r="C635" s="93"/>
      <c r="D635" s="106"/>
      <c r="E635" s="93"/>
      <c r="F635" s="93"/>
      <c r="G635" s="106"/>
      <c r="H635" s="50"/>
      <c r="I635" s="93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 ht="27.75" customHeight="1">
      <c r="A636" s="50"/>
      <c r="B636" s="93"/>
      <c r="C636" s="93"/>
      <c r="D636" s="106"/>
      <c r="E636" s="93"/>
      <c r="F636" s="93"/>
      <c r="G636" s="106"/>
      <c r="H636" s="50"/>
      <c r="I636" s="93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 ht="27.75" customHeight="1">
      <c r="A637" s="50"/>
      <c r="B637" s="93"/>
      <c r="C637" s="93"/>
      <c r="D637" s="106"/>
      <c r="E637" s="93"/>
      <c r="F637" s="93"/>
      <c r="G637" s="106"/>
      <c r="H637" s="50"/>
      <c r="I637" s="93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 ht="27.75" customHeight="1">
      <c r="A638" s="50"/>
      <c r="B638" s="93"/>
      <c r="C638" s="93"/>
      <c r="D638" s="106"/>
      <c r="E638" s="93"/>
      <c r="F638" s="93"/>
      <c r="G638" s="106"/>
      <c r="H638" s="50"/>
      <c r="I638" s="93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 ht="27.75" customHeight="1">
      <c r="A639" s="50"/>
      <c r="B639" s="93"/>
      <c r="C639" s="93"/>
      <c r="D639" s="106"/>
      <c r="E639" s="93"/>
      <c r="F639" s="93"/>
      <c r="G639" s="106"/>
      <c r="H639" s="50"/>
      <c r="I639" s="93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 ht="27.75" customHeight="1">
      <c r="A640" s="50"/>
      <c r="B640" s="93"/>
      <c r="C640" s="93"/>
      <c r="D640" s="106"/>
      <c r="E640" s="93"/>
      <c r="F640" s="93"/>
      <c r="G640" s="106"/>
      <c r="H640" s="50"/>
      <c r="I640" s="93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 ht="27.75" customHeight="1">
      <c r="A641" s="50"/>
      <c r="B641" s="93"/>
      <c r="C641" s="93"/>
      <c r="D641" s="106"/>
      <c r="E641" s="93"/>
      <c r="F641" s="93"/>
      <c r="G641" s="106"/>
      <c r="H641" s="50"/>
      <c r="I641" s="93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 ht="27.75" customHeight="1">
      <c r="A642" s="50"/>
      <c r="B642" s="93"/>
      <c r="C642" s="93"/>
      <c r="D642" s="106"/>
      <c r="E642" s="93"/>
      <c r="F642" s="93"/>
      <c r="G642" s="106"/>
      <c r="H642" s="50"/>
      <c r="I642" s="93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 ht="27.75" customHeight="1">
      <c r="A643" s="50"/>
      <c r="B643" s="93"/>
      <c r="C643" s="93"/>
      <c r="D643" s="106"/>
      <c r="E643" s="93"/>
      <c r="F643" s="93"/>
      <c r="G643" s="106"/>
      <c r="H643" s="50"/>
      <c r="I643" s="93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 ht="27.75" customHeight="1">
      <c r="A644" s="50"/>
      <c r="B644" s="93"/>
      <c r="C644" s="93"/>
      <c r="D644" s="106"/>
      <c r="E644" s="93"/>
      <c r="F644" s="93"/>
      <c r="G644" s="106"/>
      <c r="H644" s="50"/>
      <c r="I644" s="93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 ht="27.75" customHeight="1">
      <c r="A645" s="50"/>
      <c r="B645" s="93"/>
      <c r="C645" s="93"/>
      <c r="D645" s="106"/>
      <c r="E645" s="93"/>
      <c r="F645" s="93"/>
      <c r="G645" s="106"/>
      <c r="H645" s="50"/>
      <c r="I645" s="93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 ht="27.75" customHeight="1">
      <c r="A646" s="50"/>
      <c r="B646" s="93"/>
      <c r="C646" s="93"/>
      <c r="D646" s="106"/>
      <c r="E646" s="93"/>
      <c r="F646" s="93"/>
      <c r="G646" s="106"/>
      <c r="H646" s="50"/>
      <c r="I646" s="93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 ht="27.75" customHeight="1">
      <c r="A647" s="50"/>
      <c r="B647" s="93"/>
      <c r="C647" s="93"/>
      <c r="D647" s="106"/>
      <c r="E647" s="93"/>
      <c r="F647" s="93"/>
      <c r="G647" s="106"/>
      <c r="H647" s="50"/>
      <c r="I647" s="93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 ht="27.75" customHeight="1">
      <c r="A648" s="50"/>
      <c r="B648" s="93"/>
      <c r="C648" s="93"/>
      <c r="D648" s="106"/>
      <c r="E648" s="93"/>
      <c r="F648" s="93"/>
      <c r="G648" s="106"/>
      <c r="H648" s="50"/>
      <c r="I648" s="93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 ht="27.75" customHeight="1">
      <c r="A649" s="50"/>
      <c r="B649" s="93"/>
      <c r="C649" s="93"/>
      <c r="D649" s="106"/>
      <c r="E649" s="93"/>
      <c r="F649" s="93"/>
      <c r="G649" s="106"/>
      <c r="H649" s="50"/>
      <c r="I649" s="93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 ht="27.75" customHeight="1">
      <c r="A650" s="50"/>
      <c r="B650" s="93"/>
      <c r="C650" s="93"/>
      <c r="D650" s="106"/>
      <c r="E650" s="93"/>
      <c r="F650" s="93"/>
      <c r="G650" s="106"/>
      <c r="H650" s="50"/>
      <c r="I650" s="93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 ht="27.75" customHeight="1">
      <c r="A651" s="50"/>
      <c r="B651" s="93"/>
      <c r="C651" s="93"/>
      <c r="D651" s="106"/>
      <c r="E651" s="93"/>
      <c r="F651" s="93"/>
      <c r="G651" s="106"/>
      <c r="H651" s="50"/>
      <c r="I651" s="93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 ht="27.75" customHeight="1">
      <c r="A652" s="50"/>
      <c r="B652" s="93"/>
      <c r="C652" s="93"/>
      <c r="D652" s="106"/>
      <c r="E652" s="93"/>
      <c r="F652" s="93"/>
      <c r="G652" s="106"/>
      <c r="H652" s="50"/>
      <c r="I652" s="93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 ht="27.75" customHeight="1">
      <c r="A653" s="50"/>
      <c r="B653" s="93"/>
      <c r="C653" s="93"/>
      <c r="D653" s="106"/>
      <c r="E653" s="93"/>
      <c r="F653" s="93"/>
      <c r="G653" s="106"/>
      <c r="H653" s="50"/>
      <c r="I653" s="93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 ht="27.75" customHeight="1">
      <c r="A654" s="50"/>
      <c r="B654" s="93"/>
      <c r="C654" s="93"/>
      <c r="D654" s="106"/>
      <c r="E654" s="93"/>
      <c r="F654" s="93"/>
      <c r="G654" s="106"/>
      <c r="H654" s="50"/>
      <c r="I654" s="93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 ht="27.75" customHeight="1">
      <c r="A655" s="50"/>
      <c r="B655" s="93"/>
      <c r="C655" s="93"/>
      <c r="D655" s="106"/>
      <c r="E655" s="93"/>
      <c r="F655" s="93"/>
      <c r="G655" s="106"/>
      <c r="H655" s="50"/>
      <c r="I655" s="93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 ht="27.75" customHeight="1">
      <c r="A656" s="50"/>
      <c r="B656" s="93"/>
      <c r="C656" s="93"/>
      <c r="D656" s="106"/>
      <c r="E656" s="93"/>
      <c r="F656" s="93"/>
      <c r="G656" s="106"/>
      <c r="H656" s="50"/>
      <c r="I656" s="93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 ht="27.75" customHeight="1">
      <c r="A657" s="50"/>
      <c r="B657" s="93"/>
      <c r="C657" s="93"/>
      <c r="D657" s="106"/>
      <c r="E657" s="93"/>
      <c r="F657" s="93"/>
      <c r="G657" s="106"/>
      <c r="H657" s="50"/>
      <c r="I657" s="93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 ht="27.75" customHeight="1">
      <c r="A658" s="50"/>
      <c r="B658" s="93"/>
      <c r="C658" s="93"/>
      <c r="D658" s="106"/>
      <c r="E658" s="93"/>
      <c r="F658" s="93"/>
      <c r="G658" s="106"/>
      <c r="H658" s="50"/>
      <c r="I658" s="93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 ht="27.75" customHeight="1">
      <c r="A659" s="50"/>
      <c r="B659" s="93"/>
      <c r="C659" s="93"/>
      <c r="D659" s="106"/>
      <c r="E659" s="93"/>
      <c r="F659" s="93"/>
      <c r="G659" s="106"/>
      <c r="H659" s="50"/>
      <c r="I659" s="93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 ht="27.75" customHeight="1">
      <c r="A660" s="50"/>
      <c r="B660" s="93"/>
      <c r="C660" s="93"/>
      <c r="D660" s="106"/>
      <c r="E660" s="93"/>
      <c r="F660" s="93"/>
      <c r="G660" s="106"/>
      <c r="H660" s="50"/>
      <c r="I660" s="93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 ht="27.75" customHeight="1">
      <c r="A661" s="50"/>
      <c r="B661" s="93"/>
      <c r="C661" s="93"/>
      <c r="D661" s="106"/>
      <c r="E661" s="93"/>
      <c r="F661" s="93"/>
      <c r="G661" s="106"/>
      <c r="H661" s="50"/>
      <c r="I661" s="93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 ht="27.75" customHeight="1">
      <c r="A662" s="50"/>
      <c r="B662" s="93"/>
      <c r="C662" s="93"/>
      <c r="D662" s="106"/>
      <c r="E662" s="93"/>
      <c r="F662" s="93"/>
      <c r="G662" s="106"/>
      <c r="H662" s="50"/>
      <c r="I662" s="93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ht="27.75" customHeight="1">
      <c r="A663" s="50"/>
      <c r="B663" s="93"/>
      <c r="C663" s="93"/>
      <c r="D663" s="106"/>
      <c r="E663" s="93"/>
      <c r="F663" s="93"/>
      <c r="G663" s="106"/>
      <c r="H663" s="50"/>
      <c r="I663" s="93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 ht="27.75" customHeight="1">
      <c r="A664" s="50"/>
      <c r="B664" s="93"/>
      <c r="C664" s="93"/>
      <c r="D664" s="106"/>
      <c r="E664" s="93"/>
      <c r="F664" s="93"/>
      <c r="G664" s="106"/>
      <c r="H664" s="50"/>
      <c r="I664" s="93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 ht="27.75" customHeight="1">
      <c r="A665" s="50"/>
      <c r="B665" s="93"/>
      <c r="C665" s="93"/>
      <c r="D665" s="106"/>
      <c r="E665" s="93"/>
      <c r="F665" s="93"/>
      <c r="G665" s="106"/>
      <c r="H665" s="50"/>
      <c r="I665" s="93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ht="27.75" customHeight="1">
      <c r="A666" s="50"/>
      <c r="B666" s="93"/>
      <c r="C666" s="93"/>
      <c r="D666" s="106"/>
      <c r="E666" s="93"/>
      <c r="F666" s="93"/>
      <c r="G666" s="106"/>
      <c r="H666" s="50"/>
      <c r="I666" s="93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ht="27.75" customHeight="1">
      <c r="A667" s="50"/>
      <c r="B667" s="93"/>
      <c r="C667" s="93"/>
      <c r="D667" s="106"/>
      <c r="E667" s="93"/>
      <c r="F667" s="93"/>
      <c r="G667" s="106"/>
      <c r="H667" s="50"/>
      <c r="I667" s="93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 ht="27.75" customHeight="1">
      <c r="A668" s="50"/>
      <c r="B668" s="93"/>
      <c r="C668" s="93"/>
      <c r="D668" s="106"/>
      <c r="E668" s="93"/>
      <c r="F668" s="93"/>
      <c r="G668" s="106"/>
      <c r="H668" s="50"/>
      <c r="I668" s="93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 ht="27.75" customHeight="1">
      <c r="A669" s="50"/>
      <c r="B669" s="93"/>
      <c r="C669" s="93"/>
      <c r="D669" s="106"/>
      <c r="E669" s="93"/>
      <c r="F669" s="93"/>
      <c r="G669" s="106"/>
      <c r="H669" s="50"/>
      <c r="I669" s="93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 ht="27.75" customHeight="1">
      <c r="A670" s="50"/>
      <c r="B670" s="93"/>
      <c r="C670" s="93"/>
      <c r="D670" s="106"/>
      <c r="E670" s="93"/>
      <c r="F670" s="93"/>
      <c r="G670" s="106"/>
      <c r="H670" s="50"/>
      <c r="I670" s="93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 ht="27.75" customHeight="1">
      <c r="A671" s="50"/>
      <c r="B671" s="93"/>
      <c r="C671" s="93"/>
      <c r="D671" s="106"/>
      <c r="E671" s="93"/>
      <c r="F671" s="93"/>
      <c r="G671" s="106"/>
      <c r="H671" s="50"/>
      <c r="I671" s="93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 ht="27.75" customHeight="1">
      <c r="A672" s="50"/>
      <c r="B672" s="93"/>
      <c r="C672" s="93"/>
      <c r="D672" s="106"/>
      <c r="E672" s="93"/>
      <c r="F672" s="93"/>
      <c r="G672" s="106"/>
      <c r="H672" s="50"/>
      <c r="I672" s="93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 ht="27.75" customHeight="1">
      <c r="A673" s="50"/>
      <c r="B673" s="93"/>
      <c r="C673" s="93"/>
      <c r="D673" s="106"/>
      <c r="E673" s="93"/>
      <c r="F673" s="93"/>
      <c r="G673" s="106"/>
      <c r="H673" s="50"/>
      <c r="I673" s="93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 ht="27.75" customHeight="1">
      <c r="A674" s="50"/>
      <c r="B674" s="93"/>
      <c r="C674" s="93"/>
      <c r="D674" s="106"/>
      <c r="E674" s="93"/>
      <c r="F674" s="93"/>
      <c r="G674" s="106"/>
      <c r="H674" s="50"/>
      <c r="I674" s="93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 ht="27.75" customHeight="1">
      <c r="A675" s="50"/>
      <c r="B675" s="93"/>
      <c r="C675" s="93"/>
      <c r="D675" s="106"/>
      <c r="E675" s="93"/>
      <c r="F675" s="93"/>
      <c r="G675" s="106"/>
      <c r="H675" s="50"/>
      <c r="I675" s="93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 ht="27.75" customHeight="1">
      <c r="A676" s="50"/>
      <c r="B676" s="93"/>
      <c r="C676" s="93"/>
      <c r="D676" s="106"/>
      <c r="E676" s="93"/>
      <c r="F676" s="93"/>
      <c r="G676" s="106"/>
      <c r="H676" s="50"/>
      <c r="I676" s="93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 ht="27.75" customHeight="1">
      <c r="A677" s="50"/>
      <c r="B677" s="93"/>
      <c r="C677" s="93"/>
      <c r="D677" s="106"/>
      <c r="E677" s="93"/>
      <c r="F677" s="93"/>
      <c r="G677" s="106"/>
      <c r="H677" s="50"/>
      <c r="I677" s="93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 ht="27.75" customHeight="1">
      <c r="A678" s="50"/>
      <c r="B678" s="93"/>
      <c r="C678" s="93"/>
      <c r="D678" s="106"/>
      <c r="E678" s="93"/>
      <c r="F678" s="93"/>
      <c r="G678" s="106"/>
      <c r="H678" s="50"/>
      <c r="I678" s="93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 ht="27.75" customHeight="1">
      <c r="A679" s="50"/>
      <c r="B679" s="93"/>
      <c r="C679" s="93"/>
      <c r="D679" s="106"/>
      <c r="E679" s="93"/>
      <c r="F679" s="93"/>
      <c r="G679" s="106"/>
      <c r="H679" s="50"/>
      <c r="I679" s="93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 ht="27.75" customHeight="1">
      <c r="A680" s="50"/>
      <c r="B680" s="93"/>
      <c r="C680" s="93"/>
      <c r="D680" s="106"/>
      <c r="E680" s="93"/>
      <c r="F680" s="93"/>
      <c r="G680" s="106"/>
      <c r="H680" s="50"/>
      <c r="I680" s="93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 ht="27.75" customHeight="1">
      <c r="A681" s="50"/>
      <c r="B681" s="93"/>
      <c r="C681" s="93"/>
      <c r="D681" s="106"/>
      <c r="E681" s="93"/>
      <c r="F681" s="93"/>
      <c r="G681" s="106"/>
      <c r="H681" s="50"/>
      <c r="I681" s="93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 ht="27.75" customHeight="1">
      <c r="A682" s="50"/>
      <c r="B682" s="93"/>
      <c r="C682" s="93"/>
      <c r="D682" s="106"/>
      <c r="E682" s="93"/>
      <c r="F682" s="93"/>
      <c r="G682" s="106"/>
      <c r="H682" s="50"/>
      <c r="I682" s="93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 ht="27.75" customHeight="1">
      <c r="A683" s="50"/>
      <c r="B683" s="93"/>
      <c r="C683" s="93"/>
      <c r="D683" s="106"/>
      <c r="E683" s="93"/>
      <c r="F683" s="93"/>
      <c r="G683" s="106"/>
      <c r="H683" s="50"/>
      <c r="I683" s="93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 ht="27.75" customHeight="1">
      <c r="A684" s="50"/>
      <c r="B684" s="93"/>
      <c r="C684" s="93"/>
      <c r="D684" s="106"/>
      <c r="E684" s="93"/>
      <c r="F684" s="93"/>
      <c r="G684" s="106"/>
      <c r="H684" s="50"/>
      <c r="I684" s="93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 ht="27.75" customHeight="1">
      <c r="A685" s="50"/>
      <c r="B685" s="93"/>
      <c r="C685" s="93"/>
      <c r="D685" s="106"/>
      <c r="E685" s="93"/>
      <c r="F685" s="93"/>
      <c r="G685" s="106"/>
      <c r="H685" s="50"/>
      <c r="I685" s="93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 ht="27.75" customHeight="1">
      <c r="A686" s="50"/>
      <c r="B686" s="93"/>
      <c r="C686" s="93"/>
      <c r="D686" s="106"/>
      <c r="E686" s="93"/>
      <c r="F686" s="93"/>
      <c r="G686" s="106"/>
      <c r="H686" s="50"/>
      <c r="I686" s="93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 ht="27.75" customHeight="1">
      <c r="A687" s="50"/>
      <c r="B687" s="93"/>
      <c r="C687" s="93"/>
      <c r="D687" s="106"/>
      <c r="E687" s="93"/>
      <c r="F687" s="93"/>
      <c r="G687" s="106"/>
      <c r="H687" s="50"/>
      <c r="I687" s="93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 ht="27.75" customHeight="1">
      <c r="A688" s="50"/>
      <c r="B688" s="93"/>
      <c r="C688" s="93"/>
      <c r="D688" s="106"/>
      <c r="E688" s="93"/>
      <c r="F688" s="93"/>
      <c r="G688" s="106"/>
      <c r="H688" s="50"/>
      <c r="I688" s="93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 ht="27.75" customHeight="1">
      <c r="A689" s="50"/>
      <c r="B689" s="93"/>
      <c r="C689" s="93"/>
      <c r="D689" s="106"/>
      <c r="E689" s="93"/>
      <c r="F689" s="93"/>
      <c r="G689" s="106"/>
      <c r="H689" s="50"/>
      <c r="I689" s="93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 ht="27.75" customHeight="1">
      <c r="A690" s="50"/>
      <c r="B690" s="93"/>
      <c r="C690" s="93"/>
      <c r="D690" s="106"/>
      <c r="E690" s="93"/>
      <c r="F690" s="93"/>
      <c r="G690" s="106"/>
      <c r="H690" s="50"/>
      <c r="I690" s="93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 ht="27.75" customHeight="1">
      <c r="A691" s="50"/>
      <c r="B691" s="93"/>
      <c r="C691" s="93"/>
      <c r="D691" s="106"/>
      <c r="E691" s="93"/>
      <c r="F691" s="93"/>
      <c r="G691" s="106"/>
      <c r="H691" s="50"/>
      <c r="I691" s="93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 ht="27.75" customHeight="1">
      <c r="A692" s="50"/>
      <c r="B692" s="93"/>
      <c r="C692" s="93"/>
      <c r="D692" s="106"/>
      <c r="E692" s="93"/>
      <c r="F692" s="93"/>
      <c r="G692" s="106"/>
      <c r="H692" s="50"/>
      <c r="I692" s="93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 ht="27.75" customHeight="1">
      <c r="A693" s="50"/>
      <c r="B693" s="93"/>
      <c r="C693" s="93"/>
      <c r="D693" s="106"/>
      <c r="E693" s="93"/>
      <c r="F693" s="93"/>
      <c r="G693" s="106"/>
      <c r="H693" s="50"/>
      <c r="I693" s="93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 ht="27.75" customHeight="1">
      <c r="A694" s="50"/>
      <c r="B694" s="93"/>
      <c r="C694" s="93"/>
      <c r="D694" s="106"/>
      <c r="E694" s="93"/>
      <c r="F694" s="93"/>
      <c r="G694" s="106"/>
      <c r="H694" s="50"/>
      <c r="I694" s="93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 ht="27.75" customHeight="1">
      <c r="A695" s="50"/>
      <c r="B695" s="93"/>
      <c r="C695" s="93"/>
      <c r="D695" s="106"/>
      <c r="E695" s="93"/>
      <c r="F695" s="93"/>
      <c r="G695" s="106"/>
      <c r="H695" s="50"/>
      <c r="I695" s="93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 ht="27.75" customHeight="1">
      <c r="A696" s="50"/>
      <c r="B696" s="93"/>
      <c r="C696" s="93"/>
      <c r="D696" s="106"/>
      <c r="E696" s="93"/>
      <c r="F696" s="93"/>
      <c r="G696" s="106"/>
      <c r="H696" s="50"/>
      <c r="I696" s="93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 ht="27.75" customHeight="1">
      <c r="A697" s="50"/>
      <c r="B697" s="93"/>
      <c r="C697" s="93"/>
      <c r="D697" s="106"/>
      <c r="E697" s="93"/>
      <c r="F697" s="93"/>
      <c r="G697" s="106"/>
      <c r="H697" s="50"/>
      <c r="I697" s="93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 ht="27.75" customHeight="1">
      <c r="A698" s="50"/>
      <c r="B698" s="93"/>
      <c r="C698" s="93"/>
      <c r="D698" s="106"/>
      <c r="E698" s="93"/>
      <c r="F698" s="93"/>
      <c r="G698" s="106"/>
      <c r="H698" s="50"/>
      <c r="I698" s="93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 ht="27.75" customHeight="1">
      <c r="A699" s="50"/>
      <c r="B699" s="93"/>
      <c r="C699" s="93"/>
      <c r="D699" s="106"/>
      <c r="E699" s="93"/>
      <c r="F699" s="93"/>
      <c r="G699" s="106"/>
      <c r="H699" s="50"/>
      <c r="I699" s="93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 ht="27.75" customHeight="1">
      <c r="A700" s="50"/>
      <c r="B700" s="93"/>
      <c r="C700" s="93"/>
      <c r="D700" s="106"/>
      <c r="E700" s="93"/>
      <c r="F700" s="93"/>
      <c r="G700" s="106"/>
      <c r="H700" s="50"/>
      <c r="I700" s="93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 ht="27.75" customHeight="1">
      <c r="A701" s="50"/>
      <c r="B701" s="93"/>
      <c r="C701" s="93"/>
      <c r="D701" s="106"/>
      <c r="E701" s="93"/>
      <c r="F701" s="93"/>
      <c r="G701" s="106"/>
      <c r="H701" s="50"/>
      <c r="I701" s="93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 ht="27.75" customHeight="1">
      <c r="A702" s="50"/>
      <c r="B702" s="93"/>
      <c r="C702" s="93"/>
      <c r="D702" s="106"/>
      <c r="E702" s="93"/>
      <c r="F702" s="93"/>
      <c r="G702" s="106"/>
      <c r="H702" s="50"/>
      <c r="I702" s="93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 ht="27.75" customHeight="1">
      <c r="A703" s="50"/>
      <c r="B703" s="93"/>
      <c r="C703" s="93"/>
      <c r="D703" s="106"/>
      <c r="E703" s="93"/>
      <c r="F703" s="93"/>
      <c r="G703" s="106"/>
      <c r="H703" s="50"/>
      <c r="I703" s="93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 ht="27.75" customHeight="1">
      <c r="A704" s="50"/>
      <c r="B704" s="93"/>
      <c r="C704" s="93"/>
      <c r="D704" s="106"/>
      <c r="E704" s="93"/>
      <c r="F704" s="93"/>
      <c r="G704" s="106"/>
      <c r="H704" s="50"/>
      <c r="I704" s="93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 ht="27.75" customHeight="1">
      <c r="A705" s="50"/>
      <c r="B705" s="93"/>
      <c r="C705" s="93"/>
      <c r="D705" s="106"/>
      <c r="E705" s="93"/>
      <c r="F705" s="93"/>
      <c r="G705" s="106"/>
      <c r="H705" s="50"/>
      <c r="I705" s="93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 ht="27.75" customHeight="1">
      <c r="A706" s="50"/>
      <c r="B706" s="93"/>
      <c r="C706" s="93"/>
      <c r="D706" s="106"/>
      <c r="E706" s="93"/>
      <c r="F706" s="93"/>
      <c r="G706" s="106"/>
      <c r="H706" s="50"/>
      <c r="I706" s="93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 ht="27.75" customHeight="1">
      <c r="A707" s="50"/>
      <c r="B707" s="93"/>
      <c r="C707" s="93"/>
      <c r="D707" s="106"/>
      <c r="E707" s="93"/>
      <c r="F707" s="93"/>
      <c r="G707" s="106"/>
      <c r="H707" s="50"/>
      <c r="I707" s="93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 ht="27.75" customHeight="1">
      <c r="A708" s="50"/>
      <c r="B708" s="93"/>
      <c r="C708" s="93"/>
      <c r="D708" s="106"/>
      <c r="E708" s="93"/>
      <c r="F708" s="93"/>
      <c r="G708" s="106"/>
      <c r="H708" s="50"/>
      <c r="I708" s="93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 ht="27.75" customHeight="1">
      <c r="A709" s="50"/>
      <c r="B709" s="93"/>
      <c r="C709" s="93"/>
      <c r="D709" s="106"/>
      <c r="E709" s="93"/>
      <c r="F709" s="93"/>
      <c r="G709" s="106"/>
      <c r="H709" s="50"/>
      <c r="I709" s="93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 ht="27.75" customHeight="1">
      <c r="A710" s="50"/>
      <c r="B710" s="93"/>
      <c r="C710" s="93"/>
      <c r="D710" s="106"/>
      <c r="E710" s="93"/>
      <c r="F710" s="93"/>
      <c r="G710" s="106"/>
      <c r="H710" s="50"/>
      <c r="I710" s="93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 ht="27.75" customHeight="1">
      <c r="A711" s="50"/>
      <c r="B711" s="93"/>
      <c r="C711" s="93"/>
      <c r="D711" s="106"/>
      <c r="E711" s="93"/>
      <c r="F711" s="93"/>
      <c r="G711" s="106"/>
      <c r="H711" s="50"/>
      <c r="I711" s="93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 ht="27.75" customHeight="1">
      <c r="A712" s="50"/>
      <c r="B712" s="93"/>
      <c r="C712" s="93"/>
      <c r="D712" s="106"/>
      <c r="E712" s="93"/>
      <c r="F712" s="93"/>
      <c r="G712" s="106"/>
      <c r="H712" s="50"/>
      <c r="I712" s="93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 ht="27.75" customHeight="1">
      <c r="A713" s="50"/>
      <c r="B713" s="93"/>
      <c r="C713" s="93"/>
      <c r="D713" s="106"/>
      <c r="E713" s="93"/>
      <c r="F713" s="93"/>
      <c r="G713" s="106"/>
      <c r="H713" s="50"/>
      <c r="I713" s="93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 ht="27.75" customHeight="1">
      <c r="A714" s="50"/>
      <c r="B714" s="93"/>
      <c r="C714" s="93"/>
      <c r="D714" s="106"/>
      <c r="E714" s="93"/>
      <c r="F714" s="93"/>
      <c r="G714" s="106"/>
      <c r="H714" s="50"/>
      <c r="I714" s="93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 ht="27.75" customHeight="1">
      <c r="A715" s="50"/>
      <c r="B715" s="93"/>
      <c r="C715" s="93"/>
      <c r="D715" s="106"/>
      <c r="E715" s="93"/>
      <c r="F715" s="93"/>
      <c r="G715" s="106"/>
      <c r="H715" s="50"/>
      <c r="I715" s="93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 ht="27.75" customHeight="1">
      <c r="A716" s="50"/>
      <c r="B716" s="93"/>
      <c r="C716" s="93"/>
      <c r="D716" s="106"/>
      <c r="E716" s="93"/>
      <c r="F716" s="93"/>
      <c r="G716" s="106"/>
      <c r="H716" s="50"/>
      <c r="I716" s="93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 ht="27.75" customHeight="1">
      <c r="A717" s="50"/>
      <c r="B717" s="93"/>
      <c r="C717" s="93"/>
      <c r="D717" s="106"/>
      <c r="E717" s="93"/>
      <c r="F717" s="93"/>
      <c r="G717" s="106"/>
      <c r="H717" s="50"/>
      <c r="I717" s="93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 ht="27.75" customHeight="1">
      <c r="A718" s="50"/>
      <c r="B718" s="93"/>
      <c r="C718" s="93"/>
      <c r="D718" s="106"/>
      <c r="E718" s="93"/>
      <c r="F718" s="93"/>
      <c r="G718" s="106"/>
      <c r="H718" s="50"/>
      <c r="I718" s="93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 ht="27.75" customHeight="1">
      <c r="A719" s="50"/>
      <c r="B719" s="93"/>
      <c r="C719" s="93"/>
      <c r="D719" s="106"/>
      <c r="E719" s="93"/>
      <c r="F719" s="93"/>
      <c r="G719" s="106"/>
      <c r="H719" s="50"/>
      <c r="I719" s="93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 ht="27.75" customHeight="1">
      <c r="A720" s="50"/>
      <c r="B720" s="93"/>
      <c r="C720" s="93"/>
      <c r="D720" s="106"/>
      <c r="E720" s="93"/>
      <c r="F720" s="93"/>
      <c r="G720" s="106"/>
      <c r="H720" s="50"/>
      <c r="I720" s="93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 ht="27.75" customHeight="1">
      <c r="A721" s="50"/>
      <c r="B721" s="93"/>
      <c r="C721" s="93"/>
      <c r="D721" s="106"/>
      <c r="E721" s="93"/>
      <c r="F721" s="93"/>
      <c r="G721" s="106"/>
      <c r="H721" s="50"/>
      <c r="I721" s="93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 ht="27.75" customHeight="1">
      <c r="A722" s="50"/>
      <c r="B722" s="93"/>
      <c r="C722" s="93"/>
      <c r="D722" s="106"/>
      <c r="E722" s="93"/>
      <c r="F722" s="93"/>
      <c r="G722" s="106"/>
      <c r="H722" s="50"/>
      <c r="I722" s="93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 ht="27.75" customHeight="1">
      <c r="A723" s="50"/>
      <c r="B723" s="93"/>
      <c r="C723" s="93"/>
      <c r="D723" s="106"/>
      <c r="E723" s="93"/>
      <c r="F723" s="93"/>
      <c r="G723" s="106"/>
      <c r="H723" s="50"/>
      <c r="I723" s="93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 ht="27.75" customHeight="1">
      <c r="A724" s="50"/>
      <c r="B724" s="93"/>
      <c r="C724" s="93"/>
      <c r="D724" s="106"/>
      <c r="E724" s="93"/>
      <c r="F724" s="93"/>
      <c r="G724" s="106"/>
      <c r="H724" s="50"/>
      <c r="I724" s="93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 ht="27.75" customHeight="1">
      <c r="A725" s="50"/>
      <c r="B725" s="93"/>
      <c r="C725" s="93"/>
      <c r="D725" s="106"/>
      <c r="E725" s="93"/>
      <c r="F725" s="93"/>
      <c r="G725" s="106"/>
      <c r="H725" s="50"/>
      <c r="I725" s="93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 ht="27.75" customHeight="1">
      <c r="A726" s="50"/>
      <c r="B726" s="93"/>
      <c r="C726" s="93"/>
      <c r="D726" s="106"/>
      <c r="E726" s="93"/>
      <c r="F726" s="93"/>
      <c r="G726" s="106"/>
      <c r="H726" s="50"/>
      <c r="I726" s="93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 ht="27.75" customHeight="1">
      <c r="A727" s="50"/>
      <c r="B727" s="93"/>
      <c r="C727" s="93"/>
      <c r="D727" s="106"/>
      <c r="E727" s="93"/>
      <c r="F727" s="93"/>
      <c r="G727" s="106"/>
      <c r="H727" s="50"/>
      <c r="I727" s="93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 ht="27.75" customHeight="1">
      <c r="A728" s="50"/>
      <c r="B728" s="93"/>
      <c r="C728" s="93"/>
      <c r="D728" s="106"/>
      <c r="E728" s="93"/>
      <c r="F728" s="93"/>
      <c r="G728" s="106"/>
      <c r="H728" s="50"/>
      <c r="I728" s="93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 ht="27.75" customHeight="1">
      <c r="A729" s="50"/>
      <c r="B729" s="93"/>
      <c r="C729" s="93"/>
      <c r="D729" s="106"/>
      <c r="E729" s="93"/>
      <c r="F729" s="93"/>
      <c r="G729" s="106"/>
      <c r="H729" s="50"/>
      <c r="I729" s="93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 ht="27.75" customHeight="1">
      <c r="A730" s="50"/>
      <c r="B730" s="93"/>
      <c r="C730" s="93"/>
      <c r="D730" s="106"/>
      <c r="E730" s="93"/>
      <c r="F730" s="93"/>
      <c r="G730" s="106"/>
      <c r="H730" s="50"/>
      <c r="I730" s="93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 ht="27.75" customHeight="1">
      <c r="A731" s="50"/>
      <c r="B731" s="93"/>
      <c r="C731" s="93"/>
      <c r="D731" s="106"/>
      <c r="E731" s="93"/>
      <c r="F731" s="93"/>
      <c r="G731" s="106"/>
      <c r="H731" s="50"/>
      <c r="I731" s="93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 ht="27.75" customHeight="1">
      <c r="A732" s="50"/>
      <c r="B732" s="93"/>
      <c r="C732" s="93"/>
      <c r="D732" s="106"/>
      <c r="E732" s="93"/>
      <c r="F732" s="93"/>
      <c r="G732" s="106"/>
      <c r="H732" s="50"/>
      <c r="I732" s="93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 ht="27.75" customHeight="1">
      <c r="A733" s="50"/>
      <c r="B733" s="93"/>
      <c r="C733" s="93"/>
      <c r="D733" s="106"/>
      <c r="E733" s="93"/>
      <c r="F733" s="93"/>
      <c r="G733" s="106"/>
      <c r="H733" s="50"/>
      <c r="I733" s="93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ht="27.75" customHeight="1">
      <c r="A734" s="50"/>
      <c r="B734" s="93"/>
      <c r="C734" s="93"/>
      <c r="D734" s="106"/>
      <c r="E734" s="93"/>
      <c r="F734" s="93"/>
      <c r="G734" s="106"/>
      <c r="H734" s="50"/>
      <c r="I734" s="93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 ht="27.75" customHeight="1">
      <c r="A735" s="50"/>
      <c r="B735" s="93"/>
      <c r="C735" s="93"/>
      <c r="D735" s="106"/>
      <c r="E735" s="93"/>
      <c r="F735" s="93"/>
      <c r="G735" s="106"/>
      <c r="H735" s="50"/>
      <c r="I735" s="93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 ht="27.75" customHeight="1">
      <c r="A736" s="50"/>
      <c r="B736" s="93"/>
      <c r="C736" s="93"/>
      <c r="D736" s="106"/>
      <c r="E736" s="93"/>
      <c r="F736" s="93"/>
      <c r="G736" s="106"/>
      <c r="H736" s="50"/>
      <c r="I736" s="93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 ht="27.75" customHeight="1">
      <c r="A737" s="50"/>
      <c r="B737" s="93"/>
      <c r="C737" s="93"/>
      <c r="D737" s="106"/>
      <c r="E737" s="93"/>
      <c r="F737" s="93"/>
      <c r="G737" s="106"/>
      <c r="H737" s="50"/>
      <c r="I737" s="93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 ht="27.75" customHeight="1">
      <c r="A738" s="50"/>
      <c r="B738" s="93"/>
      <c r="C738" s="93"/>
      <c r="D738" s="106"/>
      <c r="E738" s="93"/>
      <c r="F738" s="93"/>
      <c r="G738" s="106"/>
      <c r="H738" s="50"/>
      <c r="I738" s="93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ht="27.75" customHeight="1">
      <c r="A739" s="50"/>
      <c r="B739" s="93"/>
      <c r="C739" s="93"/>
      <c r="D739" s="106"/>
      <c r="E739" s="93"/>
      <c r="F739" s="93"/>
      <c r="G739" s="106"/>
      <c r="H739" s="50"/>
      <c r="I739" s="93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ht="27.75" customHeight="1">
      <c r="A740" s="50"/>
      <c r="B740" s="93"/>
      <c r="C740" s="93"/>
      <c r="D740" s="106"/>
      <c r="E740" s="93"/>
      <c r="F740" s="93"/>
      <c r="G740" s="106"/>
      <c r="H740" s="50"/>
      <c r="I740" s="93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 ht="27.75" customHeight="1">
      <c r="A741" s="50"/>
      <c r="B741" s="93"/>
      <c r="C741" s="93"/>
      <c r="D741" s="106"/>
      <c r="E741" s="93"/>
      <c r="F741" s="93"/>
      <c r="G741" s="106"/>
      <c r="H741" s="50"/>
      <c r="I741" s="93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 ht="27.75" customHeight="1">
      <c r="A742" s="50"/>
      <c r="B742" s="93"/>
      <c r="C742" s="93"/>
      <c r="D742" s="106"/>
      <c r="E742" s="93"/>
      <c r="F742" s="93"/>
      <c r="G742" s="106"/>
      <c r="H742" s="50"/>
      <c r="I742" s="93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 ht="27.75" customHeight="1">
      <c r="A743" s="50"/>
      <c r="B743" s="93"/>
      <c r="C743" s="93"/>
      <c r="D743" s="106"/>
      <c r="E743" s="93"/>
      <c r="F743" s="93"/>
      <c r="G743" s="106"/>
      <c r="H743" s="50"/>
      <c r="I743" s="93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 ht="27.75" customHeight="1">
      <c r="A744" s="50"/>
      <c r="B744" s="93"/>
      <c r="C744" s="93"/>
      <c r="D744" s="106"/>
      <c r="E744" s="93"/>
      <c r="F744" s="93"/>
      <c r="G744" s="106"/>
      <c r="H744" s="50"/>
      <c r="I744" s="93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 ht="27.75" customHeight="1">
      <c r="A745" s="50"/>
      <c r="B745" s="93"/>
      <c r="C745" s="93"/>
      <c r="D745" s="106"/>
      <c r="E745" s="93"/>
      <c r="F745" s="93"/>
      <c r="G745" s="106"/>
      <c r="H745" s="50"/>
      <c r="I745" s="93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 ht="27.75" customHeight="1">
      <c r="A746" s="50"/>
      <c r="B746" s="93"/>
      <c r="C746" s="93"/>
      <c r="D746" s="106"/>
      <c r="E746" s="93"/>
      <c r="F746" s="93"/>
      <c r="G746" s="106"/>
      <c r="H746" s="50"/>
      <c r="I746" s="93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 ht="27.75" customHeight="1">
      <c r="A747" s="50"/>
      <c r="B747" s="93"/>
      <c r="C747" s="93"/>
      <c r="D747" s="106"/>
      <c r="E747" s="93"/>
      <c r="F747" s="93"/>
      <c r="G747" s="106"/>
      <c r="H747" s="50"/>
      <c r="I747" s="93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 ht="27.75" customHeight="1">
      <c r="A748" s="50"/>
      <c r="B748" s="93"/>
      <c r="C748" s="93"/>
      <c r="D748" s="106"/>
      <c r="E748" s="93"/>
      <c r="F748" s="93"/>
      <c r="G748" s="106"/>
      <c r="H748" s="50"/>
      <c r="I748" s="93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 ht="27.75" customHeight="1">
      <c r="A749" s="50"/>
      <c r="B749" s="93"/>
      <c r="C749" s="93"/>
      <c r="D749" s="106"/>
      <c r="E749" s="93"/>
      <c r="F749" s="93"/>
      <c r="G749" s="106"/>
      <c r="H749" s="50"/>
      <c r="I749" s="93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 ht="27.75" customHeight="1">
      <c r="A750" s="50"/>
      <c r="B750" s="93"/>
      <c r="C750" s="93"/>
      <c r="D750" s="106"/>
      <c r="E750" s="93"/>
      <c r="F750" s="93"/>
      <c r="G750" s="106"/>
      <c r="H750" s="50"/>
      <c r="I750" s="93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 ht="27.75" customHeight="1">
      <c r="A751" s="50"/>
      <c r="B751" s="93"/>
      <c r="C751" s="93"/>
      <c r="D751" s="106"/>
      <c r="E751" s="93"/>
      <c r="F751" s="93"/>
      <c r="G751" s="106"/>
      <c r="H751" s="50"/>
      <c r="I751" s="93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 ht="27.75" customHeight="1">
      <c r="A752" s="50"/>
      <c r="B752" s="93"/>
      <c r="C752" s="93"/>
      <c r="D752" s="106"/>
      <c r="E752" s="93"/>
      <c r="F752" s="93"/>
      <c r="G752" s="106"/>
      <c r="H752" s="50"/>
      <c r="I752" s="93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 ht="27.75" customHeight="1">
      <c r="A753" s="50"/>
      <c r="B753" s="93"/>
      <c r="C753" s="93"/>
      <c r="D753" s="106"/>
      <c r="E753" s="93"/>
      <c r="F753" s="93"/>
      <c r="G753" s="106"/>
      <c r="H753" s="50"/>
      <c r="I753" s="93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 ht="27.75" customHeight="1">
      <c r="A754" s="50"/>
      <c r="B754" s="93"/>
      <c r="C754" s="93"/>
      <c r="D754" s="106"/>
      <c r="E754" s="93"/>
      <c r="F754" s="93"/>
      <c r="G754" s="106"/>
      <c r="H754" s="50"/>
      <c r="I754" s="93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 ht="27.75" customHeight="1">
      <c r="A755" s="50"/>
      <c r="B755" s="93"/>
      <c r="C755" s="93"/>
      <c r="D755" s="106"/>
      <c r="E755" s="93"/>
      <c r="F755" s="93"/>
      <c r="G755" s="106"/>
      <c r="H755" s="50"/>
      <c r="I755" s="93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 ht="27.75" customHeight="1">
      <c r="A756" s="50"/>
      <c r="B756" s="93"/>
      <c r="C756" s="93"/>
      <c r="D756" s="106"/>
      <c r="E756" s="93"/>
      <c r="F756" s="93"/>
      <c r="G756" s="106"/>
      <c r="H756" s="50"/>
      <c r="I756" s="93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 ht="27.75" customHeight="1">
      <c r="A757" s="50"/>
      <c r="B757" s="93"/>
      <c r="C757" s="93"/>
      <c r="D757" s="106"/>
      <c r="E757" s="93"/>
      <c r="F757" s="93"/>
      <c r="G757" s="106"/>
      <c r="H757" s="50"/>
      <c r="I757" s="93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 ht="27.75" customHeight="1">
      <c r="A758" s="50"/>
      <c r="B758" s="93"/>
      <c r="C758" s="93"/>
      <c r="D758" s="106"/>
      <c r="E758" s="93"/>
      <c r="F758" s="93"/>
      <c r="G758" s="106"/>
      <c r="H758" s="50"/>
      <c r="I758" s="93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 ht="27.75" customHeight="1">
      <c r="A759" s="50"/>
      <c r="B759" s="93"/>
      <c r="C759" s="93"/>
      <c r="D759" s="106"/>
      <c r="E759" s="93"/>
      <c r="F759" s="93"/>
      <c r="G759" s="106"/>
      <c r="H759" s="50"/>
      <c r="I759" s="93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 ht="27.75" customHeight="1">
      <c r="A760" s="50"/>
      <c r="B760" s="93"/>
      <c r="C760" s="93"/>
      <c r="D760" s="106"/>
      <c r="E760" s="93"/>
      <c r="F760" s="93"/>
      <c r="G760" s="106"/>
      <c r="H760" s="50"/>
      <c r="I760" s="93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 ht="27.75" customHeight="1">
      <c r="A761" s="50"/>
      <c r="B761" s="93"/>
      <c r="C761" s="93"/>
      <c r="D761" s="106"/>
      <c r="E761" s="93"/>
      <c r="F761" s="93"/>
      <c r="G761" s="106"/>
      <c r="H761" s="50"/>
      <c r="I761" s="93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 ht="27.75" customHeight="1">
      <c r="A762" s="50"/>
      <c r="B762" s="93"/>
      <c r="C762" s="93"/>
      <c r="D762" s="106"/>
      <c r="E762" s="93"/>
      <c r="F762" s="93"/>
      <c r="G762" s="106"/>
      <c r="H762" s="50"/>
      <c r="I762" s="93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 ht="27.75" customHeight="1">
      <c r="A763" s="50"/>
      <c r="B763" s="93"/>
      <c r="C763" s="93"/>
      <c r="D763" s="106"/>
      <c r="E763" s="93"/>
      <c r="F763" s="93"/>
      <c r="G763" s="106"/>
      <c r="H763" s="50"/>
      <c r="I763" s="93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 ht="27.75" customHeight="1">
      <c r="A764" s="50"/>
      <c r="B764" s="93"/>
      <c r="C764" s="93"/>
      <c r="D764" s="106"/>
      <c r="E764" s="93"/>
      <c r="F764" s="93"/>
      <c r="G764" s="106"/>
      <c r="H764" s="50"/>
      <c r="I764" s="93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 ht="27.75" customHeight="1">
      <c r="A765" s="50"/>
      <c r="B765" s="93"/>
      <c r="C765" s="93"/>
      <c r="D765" s="106"/>
      <c r="E765" s="93"/>
      <c r="F765" s="93"/>
      <c r="G765" s="106"/>
      <c r="H765" s="50"/>
      <c r="I765" s="93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 ht="27.75" customHeight="1">
      <c r="A766" s="50"/>
      <c r="B766" s="93"/>
      <c r="C766" s="93"/>
      <c r="D766" s="106"/>
      <c r="E766" s="93"/>
      <c r="F766" s="93"/>
      <c r="G766" s="106"/>
      <c r="H766" s="50"/>
      <c r="I766" s="93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 ht="27.75" customHeight="1">
      <c r="A767" s="50"/>
      <c r="B767" s="93"/>
      <c r="C767" s="93"/>
      <c r="D767" s="106"/>
      <c r="E767" s="93"/>
      <c r="F767" s="93"/>
      <c r="G767" s="106"/>
      <c r="H767" s="50"/>
      <c r="I767" s="93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 ht="27.75" customHeight="1">
      <c r="A768" s="50"/>
      <c r="B768" s="93"/>
      <c r="C768" s="93"/>
      <c r="D768" s="106"/>
      <c r="E768" s="93"/>
      <c r="F768" s="93"/>
      <c r="G768" s="106"/>
      <c r="H768" s="50"/>
      <c r="I768" s="93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 ht="27.75" customHeight="1">
      <c r="A769" s="50"/>
      <c r="B769" s="93"/>
      <c r="C769" s="93"/>
      <c r="D769" s="106"/>
      <c r="E769" s="93"/>
      <c r="F769" s="93"/>
      <c r="G769" s="106"/>
      <c r="H769" s="50"/>
      <c r="I769" s="93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 ht="27.75" customHeight="1">
      <c r="A770" s="50"/>
      <c r="B770" s="93"/>
      <c r="C770" s="93"/>
      <c r="D770" s="106"/>
      <c r="E770" s="93"/>
      <c r="F770" s="93"/>
      <c r="G770" s="106"/>
      <c r="H770" s="50"/>
      <c r="I770" s="93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 ht="27.75" customHeight="1">
      <c r="A771" s="50"/>
      <c r="B771" s="93"/>
      <c r="C771" s="93"/>
      <c r="D771" s="106"/>
      <c r="E771" s="93"/>
      <c r="F771" s="93"/>
      <c r="G771" s="106"/>
      <c r="H771" s="50"/>
      <c r="I771" s="93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 ht="27.75" customHeight="1">
      <c r="A772" s="50"/>
      <c r="B772" s="93"/>
      <c r="C772" s="93"/>
      <c r="D772" s="106"/>
      <c r="E772" s="93"/>
      <c r="F772" s="93"/>
      <c r="G772" s="106"/>
      <c r="H772" s="50"/>
      <c r="I772" s="93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 ht="27.75" customHeight="1">
      <c r="A773" s="50"/>
      <c r="B773" s="93"/>
      <c r="C773" s="93"/>
      <c r="D773" s="106"/>
      <c r="E773" s="93"/>
      <c r="F773" s="93"/>
      <c r="G773" s="106"/>
      <c r="H773" s="50"/>
      <c r="I773" s="93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 ht="27.75" customHeight="1">
      <c r="A774" s="50"/>
      <c r="B774" s="93"/>
      <c r="C774" s="93"/>
      <c r="D774" s="106"/>
      <c r="E774" s="93"/>
      <c r="F774" s="93"/>
      <c r="G774" s="106"/>
      <c r="H774" s="50"/>
      <c r="I774" s="93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 ht="27.75" customHeight="1">
      <c r="A775" s="50"/>
      <c r="B775" s="93"/>
      <c r="C775" s="93"/>
      <c r="D775" s="106"/>
      <c r="E775" s="93"/>
      <c r="F775" s="93"/>
      <c r="G775" s="106"/>
      <c r="H775" s="50"/>
      <c r="I775" s="93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 ht="27.75" customHeight="1">
      <c r="A776" s="50"/>
      <c r="B776" s="93"/>
      <c r="C776" s="93"/>
      <c r="D776" s="106"/>
      <c r="E776" s="93"/>
      <c r="F776" s="93"/>
      <c r="G776" s="106"/>
      <c r="H776" s="50"/>
      <c r="I776" s="93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 ht="27.75" customHeight="1">
      <c r="A777" s="50"/>
      <c r="B777" s="93"/>
      <c r="C777" s="93"/>
      <c r="D777" s="106"/>
      <c r="E777" s="93"/>
      <c r="F777" s="93"/>
      <c r="G777" s="106"/>
      <c r="H777" s="50"/>
      <c r="I777" s="93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 ht="27.75" customHeight="1">
      <c r="A778" s="50"/>
      <c r="B778" s="93"/>
      <c r="C778" s="93"/>
      <c r="D778" s="106"/>
      <c r="E778" s="93"/>
      <c r="F778" s="93"/>
      <c r="G778" s="106"/>
      <c r="H778" s="50"/>
      <c r="I778" s="93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 ht="27.75" customHeight="1">
      <c r="A779" s="50"/>
      <c r="B779" s="93"/>
      <c r="C779" s="93"/>
      <c r="D779" s="106"/>
      <c r="E779" s="93"/>
      <c r="F779" s="93"/>
      <c r="G779" s="106"/>
      <c r="H779" s="50"/>
      <c r="I779" s="93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 ht="27.75" customHeight="1">
      <c r="A780" s="50"/>
      <c r="B780" s="93"/>
      <c r="C780" s="93"/>
      <c r="D780" s="106"/>
      <c r="E780" s="93"/>
      <c r="F780" s="93"/>
      <c r="G780" s="106"/>
      <c r="H780" s="50"/>
      <c r="I780" s="93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 ht="27.75" customHeight="1">
      <c r="A781" s="50"/>
      <c r="B781" s="93"/>
      <c r="C781" s="93"/>
      <c r="D781" s="106"/>
      <c r="E781" s="93"/>
      <c r="F781" s="93"/>
      <c r="G781" s="106"/>
      <c r="H781" s="50"/>
      <c r="I781" s="93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 ht="27.75" customHeight="1">
      <c r="A782" s="50"/>
      <c r="B782" s="93"/>
      <c r="C782" s="93"/>
      <c r="D782" s="106"/>
      <c r="E782" s="93"/>
      <c r="F782" s="93"/>
      <c r="G782" s="106"/>
      <c r="H782" s="50"/>
      <c r="I782" s="93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 ht="27.75" customHeight="1">
      <c r="A783" s="50"/>
      <c r="B783" s="93"/>
      <c r="C783" s="93"/>
      <c r="D783" s="106"/>
      <c r="E783" s="93"/>
      <c r="F783" s="93"/>
      <c r="G783" s="106"/>
      <c r="H783" s="50"/>
      <c r="I783" s="93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 ht="27.75" customHeight="1">
      <c r="A784" s="50"/>
      <c r="B784" s="93"/>
      <c r="C784" s="93"/>
      <c r="D784" s="106"/>
      <c r="E784" s="93"/>
      <c r="F784" s="93"/>
      <c r="G784" s="106"/>
      <c r="H784" s="50"/>
      <c r="I784" s="93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 ht="27.75" customHeight="1">
      <c r="A785" s="50"/>
      <c r="B785" s="93"/>
      <c r="C785" s="93"/>
      <c r="D785" s="106"/>
      <c r="E785" s="93"/>
      <c r="F785" s="93"/>
      <c r="G785" s="106"/>
      <c r="H785" s="50"/>
      <c r="I785" s="93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 ht="27.75" customHeight="1">
      <c r="A786" s="50"/>
      <c r="B786" s="93"/>
      <c r="C786" s="93"/>
      <c r="D786" s="106"/>
      <c r="E786" s="93"/>
      <c r="F786" s="93"/>
      <c r="G786" s="106"/>
      <c r="H786" s="50"/>
      <c r="I786" s="93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 ht="27.75" customHeight="1">
      <c r="A787" s="50"/>
      <c r="B787" s="93"/>
      <c r="C787" s="93"/>
      <c r="D787" s="106"/>
      <c r="E787" s="93"/>
      <c r="F787" s="93"/>
      <c r="G787" s="106"/>
      <c r="H787" s="50"/>
      <c r="I787" s="93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 ht="27.75" customHeight="1">
      <c r="A788" s="50"/>
      <c r="B788" s="93"/>
      <c r="C788" s="93"/>
      <c r="D788" s="106"/>
      <c r="E788" s="93"/>
      <c r="F788" s="93"/>
      <c r="G788" s="106"/>
      <c r="H788" s="50"/>
      <c r="I788" s="93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 ht="27.75" customHeight="1">
      <c r="A789" s="50"/>
      <c r="B789" s="93"/>
      <c r="C789" s="93"/>
      <c r="D789" s="106"/>
      <c r="E789" s="93"/>
      <c r="F789" s="93"/>
      <c r="G789" s="106"/>
      <c r="H789" s="50"/>
      <c r="I789" s="93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 ht="27.75" customHeight="1">
      <c r="A790" s="50"/>
      <c r="B790" s="93"/>
      <c r="C790" s="93"/>
      <c r="D790" s="106"/>
      <c r="E790" s="93"/>
      <c r="F790" s="93"/>
      <c r="G790" s="106"/>
      <c r="H790" s="50"/>
      <c r="I790" s="93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 ht="27.75" customHeight="1">
      <c r="A791" s="50"/>
      <c r="B791" s="93"/>
      <c r="C791" s="93"/>
      <c r="D791" s="106"/>
      <c r="E791" s="93"/>
      <c r="F791" s="93"/>
      <c r="G791" s="106"/>
      <c r="H791" s="50"/>
      <c r="I791" s="93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 ht="27.75" customHeight="1">
      <c r="A792" s="50"/>
      <c r="B792" s="93"/>
      <c r="C792" s="93"/>
      <c r="D792" s="106"/>
      <c r="E792" s="93"/>
      <c r="F792" s="93"/>
      <c r="G792" s="106"/>
      <c r="H792" s="50"/>
      <c r="I792" s="93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 ht="27.75" customHeight="1">
      <c r="A793" s="50"/>
      <c r="B793" s="93"/>
      <c r="C793" s="93"/>
      <c r="D793" s="106"/>
      <c r="E793" s="93"/>
      <c r="F793" s="93"/>
      <c r="G793" s="106"/>
      <c r="H793" s="50"/>
      <c r="I793" s="93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 ht="27.75" customHeight="1">
      <c r="A794" s="50"/>
      <c r="B794" s="93"/>
      <c r="C794" s="93"/>
      <c r="D794" s="106"/>
      <c r="E794" s="93"/>
      <c r="F794" s="93"/>
      <c r="G794" s="106"/>
      <c r="H794" s="50"/>
      <c r="I794" s="93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 ht="27.75" customHeight="1">
      <c r="A795" s="50"/>
      <c r="B795" s="93"/>
      <c r="C795" s="93"/>
      <c r="D795" s="106"/>
      <c r="E795" s="93"/>
      <c r="F795" s="93"/>
      <c r="G795" s="106"/>
      <c r="H795" s="50"/>
      <c r="I795" s="93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 ht="27.75" customHeight="1">
      <c r="A796" s="50"/>
      <c r="B796" s="93"/>
      <c r="C796" s="93"/>
      <c r="D796" s="106"/>
      <c r="E796" s="93"/>
      <c r="F796" s="93"/>
      <c r="G796" s="106"/>
      <c r="H796" s="50"/>
      <c r="I796" s="93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 ht="27.75" customHeight="1">
      <c r="A797" s="50"/>
      <c r="B797" s="93"/>
      <c r="C797" s="93"/>
      <c r="D797" s="106"/>
      <c r="E797" s="93"/>
      <c r="F797" s="93"/>
      <c r="G797" s="106"/>
      <c r="H797" s="50"/>
      <c r="I797" s="93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 ht="27.75" customHeight="1">
      <c r="A798" s="50"/>
      <c r="B798" s="93"/>
      <c r="C798" s="93"/>
      <c r="D798" s="106"/>
      <c r="E798" s="93"/>
      <c r="F798" s="93"/>
      <c r="G798" s="106"/>
      <c r="H798" s="50"/>
      <c r="I798" s="93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 ht="27.75" customHeight="1">
      <c r="A799" s="50"/>
      <c r="B799" s="93"/>
      <c r="C799" s="93"/>
      <c r="D799" s="106"/>
      <c r="E799" s="93"/>
      <c r="F799" s="93"/>
      <c r="G799" s="106"/>
      <c r="H799" s="50"/>
      <c r="I799" s="93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ht="27.75" customHeight="1">
      <c r="A800" s="50"/>
      <c r="B800" s="93"/>
      <c r="C800" s="93"/>
      <c r="D800" s="106"/>
      <c r="E800" s="93"/>
      <c r="F800" s="93"/>
      <c r="G800" s="106"/>
      <c r="H800" s="50"/>
      <c r="I800" s="93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 ht="27.75" customHeight="1">
      <c r="A801" s="50"/>
      <c r="B801" s="93"/>
      <c r="C801" s="93"/>
      <c r="D801" s="106"/>
      <c r="E801" s="93"/>
      <c r="F801" s="93"/>
      <c r="G801" s="106"/>
      <c r="H801" s="50"/>
      <c r="I801" s="93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 ht="27.75" customHeight="1">
      <c r="A802" s="50"/>
      <c r="B802" s="93"/>
      <c r="C802" s="93"/>
      <c r="D802" s="106"/>
      <c r="E802" s="93"/>
      <c r="F802" s="93"/>
      <c r="G802" s="106"/>
      <c r="H802" s="50"/>
      <c r="I802" s="93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ht="27.75" customHeight="1">
      <c r="A803" s="50"/>
      <c r="B803" s="93"/>
      <c r="C803" s="93"/>
      <c r="D803" s="106"/>
      <c r="E803" s="93"/>
      <c r="F803" s="93"/>
      <c r="G803" s="106"/>
      <c r="H803" s="50"/>
      <c r="I803" s="93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ht="27.75" customHeight="1">
      <c r="A804" s="50"/>
      <c r="B804" s="93"/>
      <c r="C804" s="93"/>
      <c r="D804" s="106"/>
      <c r="E804" s="93"/>
      <c r="F804" s="93"/>
      <c r="G804" s="106"/>
      <c r="H804" s="50"/>
      <c r="I804" s="93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ht="27.75" customHeight="1">
      <c r="A805" s="50"/>
      <c r="B805" s="93"/>
      <c r="C805" s="93"/>
      <c r="D805" s="106"/>
      <c r="E805" s="93"/>
      <c r="F805" s="93"/>
      <c r="G805" s="106"/>
      <c r="H805" s="50"/>
      <c r="I805" s="93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 ht="27.75" customHeight="1">
      <c r="A806" s="50"/>
      <c r="B806" s="93"/>
      <c r="C806" s="93"/>
      <c r="D806" s="106"/>
      <c r="E806" s="93"/>
      <c r="F806" s="93"/>
      <c r="G806" s="106"/>
      <c r="H806" s="50"/>
      <c r="I806" s="93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 ht="27.75" customHeight="1">
      <c r="A807" s="50"/>
      <c r="B807" s="93"/>
      <c r="C807" s="93"/>
      <c r="D807" s="106"/>
      <c r="E807" s="93"/>
      <c r="F807" s="93"/>
      <c r="G807" s="106"/>
      <c r="H807" s="50"/>
      <c r="I807" s="93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 ht="27.75" customHeight="1">
      <c r="A808" s="50"/>
      <c r="B808" s="93"/>
      <c r="C808" s="93"/>
      <c r="D808" s="106"/>
      <c r="E808" s="93"/>
      <c r="F808" s="93"/>
      <c r="G808" s="106"/>
      <c r="H808" s="50"/>
      <c r="I808" s="93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 ht="27.75" customHeight="1">
      <c r="A809" s="50"/>
      <c r="B809" s="93"/>
      <c r="C809" s="93"/>
      <c r="D809" s="106"/>
      <c r="E809" s="93"/>
      <c r="F809" s="93"/>
      <c r="G809" s="106"/>
      <c r="H809" s="50"/>
      <c r="I809" s="93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 ht="27.75" customHeight="1">
      <c r="A810" s="50"/>
      <c r="B810" s="93"/>
      <c r="C810" s="93"/>
      <c r="D810" s="106"/>
      <c r="E810" s="93"/>
      <c r="F810" s="93"/>
      <c r="G810" s="106"/>
      <c r="H810" s="50"/>
      <c r="I810" s="93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 ht="27.75" customHeight="1">
      <c r="A811" s="50"/>
      <c r="B811" s="93"/>
      <c r="C811" s="93"/>
      <c r="D811" s="106"/>
      <c r="E811" s="93"/>
      <c r="F811" s="93"/>
      <c r="G811" s="106"/>
      <c r="H811" s="50"/>
      <c r="I811" s="93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 ht="27.75" customHeight="1">
      <c r="A812" s="50"/>
      <c r="B812" s="93"/>
      <c r="C812" s="93"/>
      <c r="D812" s="106"/>
      <c r="E812" s="93"/>
      <c r="F812" s="93"/>
      <c r="G812" s="106"/>
      <c r="H812" s="50"/>
      <c r="I812" s="93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 ht="27.75" customHeight="1">
      <c r="A813" s="50"/>
      <c r="B813" s="93"/>
      <c r="C813" s="93"/>
      <c r="D813" s="106"/>
      <c r="E813" s="93"/>
      <c r="F813" s="93"/>
      <c r="G813" s="106"/>
      <c r="H813" s="50"/>
      <c r="I813" s="93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 ht="27.75" customHeight="1">
      <c r="A814" s="50"/>
      <c r="B814" s="93"/>
      <c r="C814" s="93"/>
      <c r="D814" s="106"/>
      <c r="E814" s="93"/>
      <c r="F814" s="93"/>
      <c r="G814" s="106"/>
      <c r="H814" s="50"/>
      <c r="I814" s="93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 ht="27.75" customHeight="1">
      <c r="A815" s="50"/>
      <c r="B815" s="93"/>
      <c r="C815" s="93"/>
      <c r="D815" s="106"/>
      <c r="E815" s="93"/>
      <c r="F815" s="93"/>
      <c r="G815" s="106"/>
      <c r="H815" s="50"/>
      <c r="I815" s="93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 ht="27.75" customHeight="1">
      <c r="A816" s="50"/>
      <c r="B816" s="93"/>
      <c r="C816" s="93"/>
      <c r="D816" s="106"/>
      <c r="E816" s="93"/>
      <c r="F816" s="93"/>
      <c r="G816" s="106"/>
      <c r="H816" s="50"/>
      <c r="I816" s="93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 ht="27.75" customHeight="1">
      <c r="A817" s="50"/>
      <c r="B817" s="93"/>
      <c r="C817" s="93"/>
      <c r="D817" s="106"/>
      <c r="E817" s="93"/>
      <c r="F817" s="93"/>
      <c r="G817" s="106"/>
      <c r="H817" s="50"/>
      <c r="I817" s="93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 ht="27.75" customHeight="1">
      <c r="A818" s="50"/>
      <c r="B818" s="93"/>
      <c r="C818" s="93"/>
      <c r="D818" s="106"/>
      <c r="E818" s="93"/>
      <c r="F818" s="93"/>
      <c r="G818" s="106"/>
      <c r="H818" s="50"/>
      <c r="I818" s="93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 ht="27.75" customHeight="1">
      <c r="A819" s="50"/>
      <c r="B819" s="93"/>
      <c r="C819" s="93"/>
      <c r="D819" s="106"/>
      <c r="E819" s="93"/>
      <c r="F819" s="93"/>
      <c r="G819" s="106"/>
      <c r="H819" s="50"/>
      <c r="I819" s="93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 ht="27.75" customHeight="1">
      <c r="A820" s="50"/>
      <c r="B820" s="93"/>
      <c r="C820" s="93"/>
      <c r="D820" s="106"/>
      <c r="E820" s="93"/>
      <c r="F820" s="93"/>
      <c r="G820" s="106"/>
      <c r="H820" s="50"/>
      <c r="I820" s="93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 ht="27.75" customHeight="1">
      <c r="A821" s="50"/>
      <c r="B821" s="93"/>
      <c r="C821" s="93"/>
      <c r="D821" s="106"/>
      <c r="E821" s="93"/>
      <c r="F821" s="93"/>
      <c r="G821" s="106"/>
      <c r="H821" s="50"/>
      <c r="I821" s="93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 ht="27.75" customHeight="1">
      <c r="A822" s="50"/>
      <c r="B822" s="93"/>
      <c r="C822" s="93"/>
      <c r="D822" s="106"/>
      <c r="E822" s="93"/>
      <c r="F822" s="93"/>
      <c r="G822" s="106"/>
      <c r="H822" s="50"/>
      <c r="I822" s="93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 ht="27.75" customHeight="1">
      <c r="A823" s="50"/>
      <c r="B823" s="93"/>
      <c r="C823" s="93"/>
      <c r="D823" s="106"/>
      <c r="E823" s="93"/>
      <c r="F823" s="93"/>
      <c r="G823" s="106"/>
      <c r="H823" s="50"/>
      <c r="I823" s="93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 ht="27.75" customHeight="1">
      <c r="A824" s="50"/>
      <c r="B824" s="93"/>
      <c r="C824" s="93"/>
      <c r="D824" s="106"/>
      <c r="E824" s="93"/>
      <c r="F824" s="93"/>
      <c r="G824" s="106"/>
      <c r="H824" s="50"/>
      <c r="I824" s="93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 ht="27.75" customHeight="1">
      <c r="A825" s="50"/>
      <c r="B825" s="93"/>
      <c r="C825" s="93"/>
      <c r="D825" s="106"/>
      <c r="E825" s="93"/>
      <c r="F825" s="93"/>
      <c r="G825" s="106"/>
      <c r="H825" s="50"/>
      <c r="I825" s="93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 ht="27.75" customHeight="1">
      <c r="A826" s="50"/>
      <c r="B826" s="93"/>
      <c r="C826" s="93"/>
      <c r="D826" s="106"/>
      <c r="E826" s="93"/>
      <c r="F826" s="93"/>
      <c r="G826" s="106"/>
      <c r="H826" s="50"/>
      <c r="I826" s="93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 ht="27.75" customHeight="1">
      <c r="A827" s="50"/>
      <c r="B827" s="93"/>
      <c r="C827" s="93"/>
      <c r="D827" s="106"/>
      <c r="E827" s="93"/>
      <c r="F827" s="93"/>
      <c r="G827" s="106"/>
      <c r="H827" s="50"/>
      <c r="I827" s="93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 ht="27.75" customHeight="1">
      <c r="A828" s="50"/>
      <c r="B828" s="93"/>
      <c r="C828" s="93"/>
      <c r="D828" s="106"/>
      <c r="E828" s="93"/>
      <c r="F828" s="93"/>
      <c r="G828" s="106"/>
      <c r="H828" s="50"/>
      <c r="I828" s="93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 ht="27.75" customHeight="1">
      <c r="A829" s="50"/>
      <c r="B829" s="93"/>
      <c r="C829" s="93"/>
      <c r="D829" s="106"/>
      <c r="E829" s="93"/>
      <c r="F829" s="93"/>
      <c r="G829" s="106"/>
      <c r="H829" s="50"/>
      <c r="I829" s="93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 ht="27.75" customHeight="1">
      <c r="A830" s="50"/>
      <c r="B830" s="93"/>
      <c r="C830" s="93"/>
      <c r="D830" s="106"/>
      <c r="E830" s="93"/>
      <c r="F830" s="93"/>
      <c r="G830" s="106"/>
      <c r="H830" s="50"/>
      <c r="I830" s="93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 ht="27.75" customHeight="1">
      <c r="A831" s="50"/>
      <c r="B831" s="93"/>
      <c r="C831" s="93"/>
      <c r="D831" s="106"/>
      <c r="E831" s="93"/>
      <c r="F831" s="93"/>
      <c r="G831" s="106"/>
      <c r="H831" s="50"/>
      <c r="I831" s="93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 ht="27.75" customHeight="1">
      <c r="A832" s="50"/>
      <c r="B832" s="93"/>
      <c r="C832" s="93"/>
      <c r="D832" s="106"/>
      <c r="E832" s="93"/>
      <c r="F832" s="93"/>
      <c r="G832" s="106"/>
      <c r="H832" s="50"/>
      <c r="I832" s="93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 ht="27.75" customHeight="1">
      <c r="A833" s="50"/>
      <c r="B833" s="93"/>
      <c r="C833" s="93"/>
      <c r="D833" s="106"/>
      <c r="E833" s="93"/>
      <c r="F833" s="93"/>
      <c r="G833" s="106"/>
      <c r="H833" s="50"/>
      <c r="I833" s="93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 ht="27.75" customHeight="1">
      <c r="A834" s="50"/>
      <c r="B834" s="93"/>
      <c r="C834" s="93"/>
      <c r="D834" s="106"/>
      <c r="E834" s="93"/>
      <c r="F834" s="93"/>
      <c r="G834" s="106"/>
      <c r="H834" s="50"/>
      <c r="I834" s="93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 ht="27.75" customHeight="1">
      <c r="A835" s="50"/>
      <c r="B835" s="93"/>
      <c r="C835" s="93"/>
      <c r="D835" s="106"/>
      <c r="E835" s="93"/>
      <c r="F835" s="93"/>
      <c r="G835" s="106"/>
      <c r="H835" s="50"/>
      <c r="I835" s="93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 ht="27.75" customHeight="1">
      <c r="A836" s="50"/>
      <c r="B836" s="93"/>
      <c r="C836" s="93"/>
      <c r="D836" s="106"/>
      <c r="E836" s="93"/>
      <c r="F836" s="93"/>
      <c r="G836" s="106"/>
      <c r="H836" s="50"/>
      <c r="I836" s="93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 ht="27.75" customHeight="1">
      <c r="A837" s="50"/>
      <c r="B837" s="93"/>
      <c r="C837" s="93"/>
      <c r="D837" s="106"/>
      <c r="E837" s="93"/>
      <c r="F837" s="93"/>
      <c r="G837" s="106"/>
      <c r="H837" s="50"/>
      <c r="I837" s="93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 ht="27.75" customHeight="1">
      <c r="A838" s="50"/>
      <c r="B838" s="93"/>
      <c r="C838" s="93"/>
      <c r="D838" s="106"/>
      <c r="E838" s="93"/>
      <c r="F838" s="93"/>
      <c r="G838" s="106"/>
      <c r="H838" s="50"/>
      <c r="I838" s="93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 ht="27.75" customHeight="1">
      <c r="A839" s="50"/>
      <c r="B839" s="93"/>
      <c r="C839" s="93"/>
      <c r="D839" s="106"/>
      <c r="E839" s="93"/>
      <c r="F839" s="93"/>
      <c r="G839" s="106"/>
      <c r="H839" s="50"/>
      <c r="I839" s="93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 ht="27.75" customHeight="1">
      <c r="A840" s="50"/>
      <c r="B840" s="93"/>
      <c r="C840" s="93"/>
      <c r="D840" s="106"/>
      <c r="E840" s="93"/>
      <c r="F840" s="93"/>
      <c r="G840" s="106"/>
      <c r="H840" s="50"/>
      <c r="I840" s="93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 ht="27.75" customHeight="1">
      <c r="A841" s="50"/>
      <c r="B841" s="93"/>
      <c r="C841" s="93"/>
      <c r="D841" s="106"/>
      <c r="E841" s="93"/>
      <c r="F841" s="93"/>
      <c r="G841" s="106"/>
      <c r="H841" s="50"/>
      <c r="I841" s="93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 ht="27.75" customHeight="1">
      <c r="A842" s="50"/>
      <c r="B842" s="93"/>
      <c r="C842" s="93"/>
      <c r="D842" s="106"/>
      <c r="E842" s="93"/>
      <c r="F842" s="93"/>
      <c r="G842" s="106"/>
      <c r="H842" s="50"/>
      <c r="I842" s="93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 ht="27.75" customHeight="1">
      <c r="A843" s="50"/>
      <c r="B843" s="93"/>
      <c r="C843" s="93"/>
      <c r="D843" s="106"/>
      <c r="E843" s="93"/>
      <c r="F843" s="93"/>
      <c r="G843" s="106"/>
      <c r="H843" s="50"/>
      <c r="I843" s="93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 ht="27.75" customHeight="1">
      <c r="A844" s="50"/>
      <c r="B844" s="93"/>
      <c r="C844" s="93"/>
      <c r="D844" s="106"/>
      <c r="E844" s="93"/>
      <c r="F844" s="93"/>
      <c r="G844" s="106"/>
      <c r="H844" s="50"/>
      <c r="I844" s="93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 ht="27.75" customHeight="1">
      <c r="A845" s="50"/>
      <c r="B845" s="93"/>
      <c r="C845" s="93"/>
      <c r="D845" s="106"/>
      <c r="E845" s="93"/>
      <c r="F845" s="93"/>
      <c r="G845" s="106"/>
      <c r="H845" s="50"/>
      <c r="I845" s="93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 ht="27.75" customHeight="1">
      <c r="A846" s="50"/>
      <c r="B846" s="93"/>
      <c r="C846" s="93"/>
      <c r="D846" s="106"/>
      <c r="E846" s="93"/>
      <c r="F846" s="93"/>
      <c r="G846" s="106"/>
      <c r="H846" s="50"/>
      <c r="I846" s="93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 ht="27.75" customHeight="1">
      <c r="A847" s="50"/>
      <c r="B847" s="93"/>
      <c r="C847" s="93"/>
      <c r="D847" s="106"/>
      <c r="E847" s="93"/>
      <c r="F847" s="93"/>
      <c r="G847" s="106"/>
      <c r="H847" s="50"/>
      <c r="I847" s="93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 ht="27.75" customHeight="1">
      <c r="A848" s="50"/>
      <c r="B848" s="93"/>
      <c r="C848" s="93"/>
      <c r="D848" s="106"/>
      <c r="E848" s="93"/>
      <c r="F848" s="93"/>
      <c r="G848" s="106"/>
      <c r="H848" s="50"/>
      <c r="I848" s="93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ht="27.75" customHeight="1">
      <c r="A849" s="50"/>
      <c r="B849" s="93"/>
      <c r="C849" s="93"/>
      <c r="D849" s="106"/>
      <c r="E849" s="93"/>
      <c r="F849" s="93"/>
      <c r="G849" s="106"/>
      <c r="H849" s="50"/>
      <c r="I849" s="93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 ht="27.75" customHeight="1">
      <c r="A850" s="50"/>
      <c r="B850" s="93"/>
      <c r="C850" s="93"/>
      <c r="D850" s="106"/>
      <c r="E850" s="93"/>
      <c r="F850" s="93"/>
      <c r="G850" s="106"/>
      <c r="H850" s="50"/>
      <c r="I850" s="93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 ht="27.75" customHeight="1">
      <c r="A851" s="50"/>
      <c r="B851" s="93"/>
      <c r="C851" s="93"/>
      <c r="D851" s="106"/>
      <c r="E851" s="93"/>
      <c r="F851" s="93"/>
      <c r="G851" s="106"/>
      <c r="H851" s="50"/>
      <c r="I851" s="93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 ht="27.75" customHeight="1">
      <c r="A852" s="50"/>
      <c r="B852" s="93"/>
      <c r="C852" s="93"/>
      <c r="D852" s="106"/>
      <c r="E852" s="93"/>
      <c r="F852" s="93"/>
      <c r="G852" s="106"/>
      <c r="H852" s="50"/>
      <c r="I852" s="93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 ht="27.75" customHeight="1">
      <c r="A853" s="50"/>
      <c r="B853" s="93"/>
      <c r="C853" s="50"/>
      <c r="D853" s="109"/>
      <c r="E853" s="50"/>
      <c r="F853" s="50"/>
      <c r="G853" s="106"/>
      <c r="H853" s="50"/>
      <c r="I853" s="93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 ht="27.75" customHeight="1">
      <c r="A854" s="50"/>
      <c r="B854" s="93"/>
      <c r="C854" s="50"/>
      <c r="D854" s="109"/>
      <c r="E854" s="50"/>
      <c r="F854" s="50"/>
      <c r="G854" s="106"/>
      <c r="H854" s="50"/>
      <c r="I854" s="93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 ht="27.75" customHeight="1">
      <c r="A855" s="50"/>
      <c r="B855" s="93"/>
      <c r="C855" s="50"/>
      <c r="D855" s="109"/>
      <c r="E855" s="50"/>
      <c r="F855" s="50"/>
      <c r="G855" s="106"/>
      <c r="H855" s="50"/>
      <c r="I855" s="93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 ht="27.75" customHeight="1">
      <c r="A856" s="50"/>
      <c r="B856" s="93"/>
      <c r="C856" s="50"/>
      <c r="D856" s="109"/>
      <c r="E856" s="50"/>
      <c r="F856" s="50"/>
      <c r="G856" s="106"/>
      <c r="H856" s="50"/>
      <c r="I856" s="93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 ht="27.75" customHeight="1">
      <c r="A857" s="50"/>
      <c r="B857" s="93"/>
      <c r="C857" s="50"/>
      <c r="D857" s="109"/>
      <c r="E857" s="50"/>
      <c r="F857" s="50"/>
      <c r="G857" s="106"/>
      <c r="H857" s="50"/>
      <c r="I857" s="93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 ht="27.75" customHeight="1">
      <c r="A858" s="50"/>
      <c r="B858" s="93"/>
      <c r="C858" s="50"/>
      <c r="D858" s="109"/>
      <c r="E858" s="50"/>
      <c r="F858" s="50"/>
      <c r="G858" s="106"/>
      <c r="H858" s="50"/>
      <c r="I858" s="93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 ht="27.75" customHeight="1">
      <c r="A859" s="50"/>
      <c r="B859" s="93"/>
      <c r="C859" s="50"/>
      <c r="D859" s="109"/>
      <c r="E859" s="50"/>
      <c r="F859" s="50"/>
      <c r="G859" s="106"/>
      <c r="H859" s="50"/>
      <c r="I859" s="93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 ht="27.75" customHeight="1">
      <c r="A860" s="50"/>
      <c r="B860" s="93"/>
      <c r="C860" s="50"/>
      <c r="D860" s="109"/>
      <c r="E860" s="50"/>
      <c r="F860" s="50"/>
      <c r="G860" s="106"/>
      <c r="H860" s="50"/>
      <c r="I860" s="93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 ht="27.75" customHeight="1">
      <c r="A861" s="50"/>
      <c r="B861" s="93"/>
      <c r="C861" s="50"/>
      <c r="D861" s="109"/>
      <c r="E861" s="50"/>
      <c r="F861" s="50"/>
      <c r="G861" s="106"/>
      <c r="H861" s="50"/>
      <c r="I861" s="93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 ht="27.75" customHeight="1">
      <c r="A862" s="50"/>
      <c r="B862" s="93"/>
      <c r="C862" s="50"/>
      <c r="D862" s="109"/>
      <c r="E862" s="50"/>
      <c r="F862" s="50"/>
      <c r="G862" s="106"/>
      <c r="H862" s="50"/>
      <c r="I862" s="93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 ht="27.75" customHeight="1">
      <c r="A863" s="50"/>
      <c r="B863" s="93"/>
      <c r="C863" s="50"/>
      <c r="D863" s="109"/>
      <c r="E863" s="50"/>
      <c r="F863" s="50"/>
      <c r="G863" s="106"/>
      <c r="H863" s="50"/>
      <c r="I863" s="93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 ht="27.75" customHeight="1">
      <c r="A864" s="50"/>
      <c r="B864" s="93"/>
      <c r="C864" s="50"/>
      <c r="D864" s="109"/>
      <c r="E864" s="50"/>
      <c r="F864" s="50"/>
      <c r="G864" s="106"/>
      <c r="H864" s="50"/>
      <c r="I864" s="93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 ht="27.75" customHeight="1">
      <c r="A865" s="50"/>
      <c r="B865" s="93"/>
      <c r="C865" s="50"/>
      <c r="D865" s="109"/>
      <c r="E865" s="50"/>
      <c r="F865" s="50"/>
      <c r="G865" s="106"/>
      <c r="H865" s="50"/>
      <c r="I865" s="93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 ht="27.75" customHeight="1">
      <c r="A866" s="50"/>
      <c r="B866" s="93"/>
      <c r="C866" s="50"/>
      <c r="D866" s="109"/>
      <c r="E866" s="50"/>
      <c r="F866" s="50"/>
      <c r="G866" s="106"/>
      <c r="H866" s="50"/>
      <c r="I866" s="93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 ht="27.75" customHeight="1">
      <c r="A867" s="50"/>
      <c r="B867" s="93"/>
      <c r="C867" s="50"/>
      <c r="D867" s="109"/>
      <c r="E867" s="50"/>
      <c r="F867" s="50"/>
      <c r="G867" s="106"/>
      <c r="H867" s="50"/>
      <c r="I867" s="93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</row>
    <row r="868" ht="27.75" customHeight="1">
      <c r="A868" s="50"/>
      <c r="B868" s="93"/>
      <c r="C868" s="50"/>
      <c r="D868" s="109"/>
      <c r="E868" s="50"/>
      <c r="F868" s="50"/>
      <c r="G868" s="106"/>
      <c r="H868" s="50"/>
      <c r="I868" s="93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</row>
    <row r="869" ht="27.75" customHeight="1">
      <c r="A869" s="50"/>
      <c r="B869" s="93"/>
      <c r="C869" s="50"/>
      <c r="D869" s="109"/>
      <c r="E869" s="50"/>
      <c r="F869" s="50"/>
      <c r="G869" s="106"/>
      <c r="H869" s="50"/>
      <c r="I869" s="93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</row>
    <row r="870" ht="27.75" customHeight="1">
      <c r="A870" s="50"/>
      <c r="B870" s="93"/>
      <c r="C870" s="50"/>
      <c r="D870" s="109"/>
      <c r="E870" s="50"/>
      <c r="F870" s="50"/>
      <c r="G870" s="106"/>
      <c r="H870" s="50"/>
      <c r="I870" s="93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 ht="27.75" customHeight="1">
      <c r="A871" s="50"/>
      <c r="B871" s="93"/>
      <c r="C871" s="50"/>
      <c r="D871" s="109"/>
      <c r="E871" s="50"/>
      <c r="F871" s="50"/>
      <c r="G871" s="106"/>
      <c r="H871" s="50"/>
      <c r="I871" s="93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</row>
    <row r="872" ht="27.75" customHeight="1">
      <c r="A872" s="50"/>
      <c r="B872" s="93"/>
      <c r="C872" s="50"/>
      <c r="D872" s="109"/>
      <c r="E872" s="50"/>
      <c r="F872" s="50"/>
      <c r="G872" s="106"/>
      <c r="H872" s="50"/>
      <c r="I872" s="93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</row>
    <row r="873" ht="27.75" customHeight="1">
      <c r="A873" s="50"/>
      <c r="B873" s="93"/>
      <c r="C873" s="50"/>
      <c r="D873" s="109"/>
      <c r="E873" s="50"/>
      <c r="F873" s="50"/>
      <c r="G873" s="106"/>
      <c r="H873" s="50"/>
      <c r="I873" s="93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</row>
    <row r="874" ht="27.75" customHeight="1">
      <c r="A874" s="50"/>
      <c r="B874" s="93"/>
      <c r="C874" s="50"/>
      <c r="D874" s="109"/>
      <c r="E874" s="50"/>
      <c r="F874" s="50"/>
      <c r="G874" s="106"/>
      <c r="H874" s="50"/>
      <c r="I874" s="93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</row>
    <row r="875" ht="27.75" customHeight="1">
      <c r="A875" s="50"/>
      <c r="B875" s="93"/>
      <c r="C875" s="50"/>
      <c r="D875" s="109"/>
      <c r="E875" s="50"/>
      <c r="F875" s="50"/>
      <c r="G875" s="106"/>
      <c r="H875" s="50"/>
      <c r="I875" s="93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</row>
    <row r="876" ht="27.75" customHeight="1">
      <c r="A876" s="50"/>
      <c r="B876" s="93"/>
      <c r="C876" s="50"/>
      <c r="D876" s="109"/>
      <c r="E876" s="50"/>
      <c r="F876" s="50"/>
      <c r="G876" s="106"/>
      <c r="H876" s="50"/>
      <c r="I876" s="93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 ht="27.75" customHeight="1">
      <c r="A877" s="208"/>
      <c r="B877" s="208"/>
      <c r="C877" s="208"/>
      <c r="D877" s="209"/>
      <c r="E877" s="208"/>
      <c r="F877" s="208"/>
      <c r="G877" s="209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</row>
    <row r="878" ht="27.75" customHeight="1">
      <c r="A878" s="208"/>
      <c r="B878" s="208"/>
      <c r="C878" s="208"/>
      <c r="D878" s="209"/>
      <c r="E878" s="208"/>
      <c r="F878" s="208"/>
      <c r="G878" s="209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</row>
    <row r="879" ht="27.75" customHeight="1">
      <c r="A879" s="208"/>
      <c r="B879" s="208"/>
      <c r="C879" s="208"/>
      <c r="D879" s="209"/>
      <c r="E879" s="208"/>
      <c r="F879" s="208"/>
      <c r="G879" s="209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</row>
    <row r="880" ht="27.75" customHeight="1">
      <c r="A880" s="208"/>
      <c r="B880" s="208"/>
      <c r="C880" s="208"/>
      <c r="D880" s="209"/>
      <c r="E880" s="208"/>
      <c r="F880" s="208"/>
      <c r="G880" s="209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</row>
    <row r="881" ht="27.75" customHeight="1">
      <c r="A881" s="208"/>
      <c r="B881" s="208"/>
      <c r="C881" s="208"/>
      <c r="D881" s="209"/>
      <c r="E881" s="208"/>
      <c r="F881" s="208"/>
      <c r="G881" s="209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</row>
    <row r="882" ht="27.75" customHeight="1">
      <c r="A882" s="208"/>
      <c r="B882" s="208"/>
      <c r="C882" s="208"/>
      <c r="D882" s="209"/>
      <c r="E882" s="208"/>
      <c r="F882" s="208"/>
      <c r="G882" s="209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</row>
    <row r="883" ht="27.75" customHeight="1">
      <c r="A883" s="208"/>
      <c r="B883" s="208"/>
      <c r="C883" s="208"/>
      <c r="D883" s="209"/>
      <c r="E883" s="208"/>
      <c r="F883" s="208"/>
      <c r="G883" s="209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</row>
    <row r="884" ht="27.75" customHeight="1">
      <c r="A884" s="208"/>
      <c r="B884" s="208"/>
      <c r="C884" s="208"/>
      <c r="D884" s="209"/>
      <c r="E884" s="208"/>
      <c r="F884" s="208"/>
      <c r="G884" s="209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</row>
    <row r="885" ht="27.75" customHeight="1">
      <c r="A885" s="208"/>
      <c r="B885" s="208"/>
      <c r="C885" s="208"/>
      <c r="D885" s="209"/>
      <c r="E885" s="208"/>
      <c r="F885" s="208"/>
      <c r="G885" s="209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</row>
    <row r="886" ht="27.75" customHeight="1">
      <c r="A886" s="208"/>
      <c r="B886" s="208"/>
      <c r="C886" s="208"/>
      <c r="D886" s="209"/>
      <c r="E886" s="208"/>
      <c r="F886" s="208"/>
      <c r="G886" s="209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</row>
    <row r="887" ht="27.75" customHeight="1">
      <c r="A887" s="208"/>
      <c r="B887" s="208"/>
      <c r="C887" s="208"/>
      <c r="D887" s="209"/>
      <c r="E887" s="208"/>
      <c r="F887" s="208"/>
      <c r="G887" s="209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</row>
    <row r="888" ht="27.75" customHeight="1">
      <c r="A888" s="208"/>
      <c r="B888" s="208"/>
      <c r="C888" s="208"/>
      <c r="D888" s="209"/>
      <c r="E888" s="208"/>
      <c r="F888" s="208"/>
      <c r="G888" s="209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</row>
    <row r="889" ht="27.75" customHeight="1">
      <c r="A889" s="208"/>
      <c r="B889" s="208"/>
      <c r="C889" s="208"/>
      <c r="D889" s="209"/>
      <c r="E889" s="208"/>
      <c r="F889" s="208"/>
      <c r="G889" s="209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</row>
    <row r="890" ht="27.75" customHeight="1">
      <c r="A890" s="208"/>
      <c r="B890" s="208"/>
      <c r="C890" s="208"/>
      <c r="D890" s="209"/>
      <c r="E890" s="208"/>
      <c r="F890" s="208"/>
      <c r="G890" s="209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</row>
    <row r="891" ht="27.75" customHeight="1">
      <c r="A891" s="208"/>
      <c r="B891" s="208"/>
      <c r="C891" s="208"/>
      <c r="D891" s="209"/>
      <c r="E891" s="208"/>
      <c r="F891" s="208"/>
      <c r="G891" s="209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</row>
    <row r="892" ht="27.75" customHeight="1">
      <c r="A892" s="208"/>
      <c r="B892" s="208"/>
      <c r="C892" s="208"/>
      <c r="D892" s="209"/>
      <c r="E892" s="208"/>
      <c r="F892" s="208"/>
      <c r="G892" s="209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</row>
    <row r="893" ht="27.75" customHeight="1">
      <c r="A893" s="208"/>
      <c r="B893" s="208"/>
      <c r="C893" s="208"/>
      <c r="D893" s="209"/>
      <c r="E893" s="208"/>
      <c r="F893" s="208"/>
      <c r="G893" s="209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</row>
    <row r="894" ht="27.75" customHeight="1">
      <c r="A894" s="208"/>
      <c r="B894" s="208"/>
      <c r="C894" s="208"/>
      <c r="D894" s="209"/>
      <c r="E894" s="208"/>
      <c r="F894" s="208"/>
      <c r="G894" s="209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</row>
    <row r="895" ht="27.75" customHeight="1">
      <c r="A895" s="208"/>
      <c r="B895" s="208"/>
      <c r="C895" s="208"/>
      <c r="D895" s="209"/>
      <c r="E895" s="208"/>
      <c r="F895" s="208"/>
      <c r="G895" s="209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</row>
    <row r="896" ht="27.75" customHeight="1">
      <c r="A896" s="208"/>
      <c r="B896" s="208"/>
      <c r="C896" s="208"/>
      <c r="D896" s="209"/>
      <c r="E896" s="208"/>
      <c r="F896" s="208"/>
      <c r="G896" s="209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</row>
    <row r="897" ht="27.75" customHeight="1">
      <c r="A897" s="208"/>
      <c r="B897" s="208"/>
      <c r="C897" s="208"/>
      <c r="D897" s="209"/>
      <c r="E897" s="208"/>
      <c r="F897" s="208"/>
      <c r="G897" s="209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</row>
    <row r="898" ht="27.75" customHeight="1">
      <c r="A898" s="208"/>
      <c r="B898" s="208"/>
      <c r="C898" s="208"/>
      <c r="D898" s="209"/>
      <c r="E898" s="208"/>
      <c r="F898" s="208"/>
      <c r="G898" s="209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</row>
    <row r="899" ht="27.75" customHeight="1">
      <c r="A899" s="208"/>
      <c r="B899" s="208"/>
      <c r="C899" s="208"/>
      <c r="D899" s="209"/>
      <c r="E899" s="208"/>
      <c r="F899" s="208"/>
      <c r="G899" s="209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</row>
    <row r="900" ht="27.75" customHeight="1">
      <c r="A900" s="208"/>
      <c r="B900" s="208"/>
      <c r="C900" s="208"/>
      <c r="D900" s="209"/>
      <c r="E900" s="208"/>
      <c r="F900" s="208"/>
      <c r="G900" s="209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</row>
    <row r="901" ht="27.75" customHeight="1">
      <c r="A901" s="208"/>
      <c r="B901" s="208"/>
      <c r="C901" s="208"/>
      <c r="D901" s="209"/>
      <c r="E901" s="208"/>
      <c r="F901" s="208"/>
      <c r="G901" s="209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</row>
    <row r="902" ht="27.75" customHeight="1">
      <c r="A902" s="208"/>
      <c r="B902" s="208"/>
      <c r="C902" s="208"/>
      <c r="D902" s="209"/>
      <c r="E902" s="208"/>
      <c r="F902" s="208"/>
      <c r="G902" s="209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</row>
    <row r="903" ht="27.75" customHeight="1">
      <c r="A903" s="208"/>
      <c r="B903" s="208"/>
      <c r="C903" s="208"/>
      <c r="D903" s="209"/>
      <c r="E903" s="208"/>
      <c r="F903" s="208"/>
      <c r="G903" s="209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</row>
    <row r="904" ht="27.75" customHeight="1">
      <c r="A904" s="208"/>
      <c r="B904" s="208"/>
      <c r="C904" s="208"/>
      <c r="D904" s="209"/>
      <c r="E904" s="208"/>
      <c r="F904" s="208"/>
      <c r="G904" s="209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</row>
    <row r="905" ht="27.75" customHeight="1">
      <c r="A905" s="208"/>
      <c r="B905" s="208"/>
      <c r="C905" s="208"/>
      <c r="D905" s="209"/>
      <c r="E905" s="208"/>
      <c r="F905" s="208"/>
      <c r="G905" s="209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</row>
    <row r="906" ht="27.75" customHeight="1">
      <c r="A906" s="208"/>
      <c r="B906" s="208"/>
      <c r="C906" s="208"/>
      <c r="D906" s="209"/>
      <c r="E906" s="208"/>
      <c r="F906" s="208"/>
      <c r="G906" s="209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</row>
    <row r="907" ht="27.75" customHeight="1">
      <c r="A907" s="208"/>
      <c r="B907" s="208"/>
      <c r="C907" s="208"/>
      <c r="D907" s="209"/>
      <c r="E907" s="208"/>
      <c r="F907" s="208"/>
      <c r="G907" s="209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</row>
    <row r="908" ht="27.75" customHeight="1">
      <c r="A908" s="208"/>
      <c r="B908" s="208"/>
      <c r="C908" s="208"/>
      <c r="D908" s="209"/>
      <c r="E908" s="208"/>
      <c r="F908" s="208"/>
      <c r="G908" s="209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</row>
    <row r="909" ht="27.75" customHeight="1">
      <c r="A909" s="208"/>
      <c r="B909" s="208"/>
      <c r="C909" s="208"/>
      <c r="D909" s="209"/>
      <c r="E909" s="208"/>
      <c r="F909" s="208"/>
      <c r="G909" s="209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</row>
    <row r="910" ht="27.75" customHeight="1">
      <c r="A910" s="208"/>
      <c r="B910" s="208"/>
      <c r="C910" s="208"/>
      <c r="D910" s="209"/>
      <c r="E910" s="208"/>
      <c r="F910" s="208"/>
      <c r="G910" s="209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</row>
    <row r="911" ht="27.75" customHeight="1">
      <c r="A911" s="208"/>
      <c r="B911" s="208"/>
      <c r="C911" s="208"/>
      <c r="D911" s="209"/>
      <c r="E911" s="208"/>
      <c r="F911" s="208"/>
      <c r="G911" s="209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</row>
    <row r="912" ht="27.75" customHeight="1">
      <c r="A912" s="208"/>
      <c r="B912" s="208"/>
      <c r="C912" s="208"/>
      <c r="D912" s="209"/>
      <c r="E912" s="208"/>
      <c r="F912" s="208"/>
      <c r="G912" s="209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</row>
    <row r="913" ht="27.75" customHeight="1">
      <c r="A913" s="208"/>
      <c r="B913" s="208"/>
      <c r="C913" s="208"/>
      <c r="D913" s="209"/>
      <c r="E913" s="208"/>
      <c r="F913" s="208"/>
      <c r="G913" s="209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</row>
    <row r="914" ht="27.75" customHeight="1">
      <c r="A914" s="208"/>
      <c r="B914" s="208"/>
      <c r="C914" s="208"/>
      <c r="D914" s="209"/>
      <c r="E914" s="208"/>
      <c r="F914" s="208"/>
      <c r="G914" s="209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</row>
    <row r="915" ht="27.75" customHeight="1">
      <c r="A915" s="208"/>
      <c r="B915" s="208"/>
      <c r="C915" s="208"/>
      <c r="D915" s="209"/>
      <c r="E915" s="208"/>
      <c r="F915" s="208"/>
      <c r="G915" s="209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</row>
    <row r="916" ht="27.75" customHeight="1">
      <c r="A916" s="208"/>
      <c r="B916" s="208"/>
      <c r="C916" s="208"/>
      <c r="D916" s="209"/>
      <c r="E916" s="208"/>
      <c r="F916" s="208"/>
      <c r="G916" s="209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</row>
  </sheetData>
  <autoFilter ref="$A$1:$V$8"/>
  <printOptions/>
  <pageMargins bottom="0.75" footer="0.0" header="0.0" left="0.25" right="0.25" top="0.75"/>
  <pageSetup fitToHeight="0" paperSize="9" orientation="landscape"/>
  <drawing r:id="rId1"/>
</worksheet>
</file>